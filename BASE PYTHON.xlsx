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F98E042-6379-462D-AB8A-CD0DE687FAB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4" i="2"/>
  <c r="V31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3" i="2"/>
  <c r="J34" i="2"/>
  <c r="D40" i="2"/>
  <c r="D43" i="2"/>
  <c r="P21" i="2"/>
  <c r="J31" i="2"/>
  <c r="P24" i="2"/>
  <c r="P22" i="2"/>
  <c r="D44" i="2"/>
  <c r="P25" i="2"/>
  <c r="D41" i="2"/>
  <c r="D42" i="2"/>
  <c r="J35" i="2"/>
  <c r="P23" i="2"/>
  <c r="J3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<sst xmlns="http://schemas.openxmlformats.org/spreadsheetml/2006/main" count="215" uniqueCount="54">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</sst>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  <cell r="H5" t="str">
            <v>INDAIATUBA</v>
          </cell>
          <cell r="I5">
            <v>119.9</v>
          </cell>
        </row>
        <row r="6">
          <cell r="E6" t="str">
            <v>CENTRO</v>
          </cell>
          <cell r="F6">
            <v>260716.2799999995</v>
          </cell>
          <cell r="H6" t="str">
            <v>INTERLAGOS</v>
          </cell>
          <cell r="I6">
            <v>158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KEY ABC</v>
          </cell>
          <cell r="I7">
            <v>1217.5999999999999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LESTE</v>
          </cell>
          <cell r="I8">
            <v>1019.85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51318.109999999993</v>
          </cell>
          <cell r="H9" t="str">
            <v>LESTE MOOCA</v>
          </cell>
          <cell r="I9">
            <v>349.75</v>
          </cell>
          <cell r="K9" t="str">
            <v>CENTRO</v>
          </cell>
          <cell r="N9">
            <v>41</v>
          </cell>
        </row>
        <row r="10">
          <cell r="E10" t="str">
            <v>INTERLAGOS</v>
          </cell>
          <cell r="F10">
            <v>175610.38999999984</v>
          </cell>
          <cell r="H10" t="str">
            <v>LESTE PENHA</v>
          </cell>
          <cell r="I10">
            <v>299.8</v>
          </cell>
          <cell r="K10" t="str">
            <v>INDAIATUBA</v>
          </cell>
          <cell r="N10">
            <v>33</v>
          </cell>
        </row>
        <row r="11">
          <cell r="E11" t="str">
            <v>JUNDIAI</v>
          </cell>
          <cell r="F11">
            <v>51759.880000000063</v>
          </cell>
          <cell r="H11" t="str">
            <v>LESTE TATUAPE</v>
          </cell>
          <cell r="I11">
            <v>313.10000000000002</v>
          </cell>
          <cell r="K11" t="str">
            <v>INTERLAGOS</v>
          </cell>
          <cell r="N11">
            <v>50</v>
          </cell>
        </row>
        <row r="12">
          <cell r="E12" t="str">
            <v>KEY ABC</v>
          </cell>
          <cell r="F12">
            <v>212847.61999999997</v>
          </cell>
          <cell r="H12" t="str">
            <v>SJC</v>
          </cell>
          <cell r="I12">
            <v>649.5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263985.40000000084</v>
          </cell>
          <cell r="H13" t="str">
            <v>Total Geral</v>
          </cell>
          <cell r="I13">
            <v>4127.5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851393.40000000026</v>
          </cell>
          <cell r="K14" t="str">
            <v>LESTE MOOCA</v>
          </cell>
          <cell r="N14">
            <v>48</v>
          </cell>
        </row>
        <row r="15">
          <cell r="E15" t="str">
            <v>KEY PIRACICABA</v>
          </cell>
          <cell r="F15">
            <v>87483.259999999951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K16" t="str">
            <v>LESTE TATUAPE</v>
          </cell>
          <cell r="N16">
            <v>36</v>
          </cell>
        </row>
        <row r="17">
          <cell r="E17" t="str">
            <v>KEY SP</v>
          </cell>
          <cell r="F17">
            <v>266913.34999999992</v>
          </cell>
          <cell r="K17" t="str">
            <v>MOGI</v>
          </cell>
          <cell r="N17">
            <v>35</v>
          </cell>
        </row>
        <row r="18">
          <cell r="E18" t="str">
            <v>KEY ZL</v>
          </cell>
          <cell r="F18">
            <v>278371.99999999994</v>
          </cell>
          <cell r="K18" t="str">
            <v>NORTE</v>
          </cell>
          <cell r="N18">
            <v>40</v>
          </cell>
        </row>
        <row r="19">
          <cell r="E19" t="str">
            <v>LESTE</v>
          </cell>
          <cell r="F19">
            <v>73484.23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134203.51499999966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96574.790000000066</v>
          </cell>
          <cell r="K21" t="str">
            <v>SANTO ANDRE</v>
          </cell>
          <cell r="N21">
            <v>27</v>
          </cell>
        </row>
        <row r="22">
          <cell r="E22" t="str">
            <v>LESTE TATUAPE</v>
          </cell>
          <cell r="F22">
            <v>84866.179999999833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49159.000000000095</v>
          </cell>
          <cell r="K23" t="str">
            <v>SJC</v>
          </cell>
          <cell r="N23">
            <v>21</v>
          </cell>
        </row>
        <row r="24">
          <cell r="E24" t="str">
            <v>NORTE</v>
          </cell>
          <cell r="F24">
            <v>163165.17999999976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236192.96999999977</v>
          </cell>
          <cell r="K25" t="str">
            <v>Total Geral</v>
          </cell>
          <cell r="N25">
            <v>573</v>
          </cell>
        </row>
        <row r="26">
          <cell r="E26" t="str">
            <v>PIRITUBA</v>
          </cell>
          <cell r="F26">
            <v>92708.429999999935</v>
          </cell>
        </row>
        <row r="27">
          <cell r="E27" t="str">
            <v>SANTO ANDRE</v>
          </cell>
          <cell r="F27">
            <v>116320.90999999995</v>
          </cell>
        </row>
        <row r="28">
          <cell r="E28" t="str">
            <v>SBC</v>
          </cell>
          <cell r="F28">
            <v>179510.92999999985</v>
          </cell>
        </row>
        <row r="29">
          <cell r="E29" t="str">
            <v>SJC</v>
          </cell>
          <cell r="F29">
            <v>58990.890000000087</v>
          </cell>
        </row>
        <row r="30">
          <cell r="E30" t="str">
            <v>SJC/VALE</v>
          </cell>
          <cell r="F30">
            <v>29667.840000000015</v>
          </cell>
        </row>
        <row r="31">
          <cell r="E31" t="str">
            <v>VENDEDOR INTERNO 1</v>
          </cell>
          <cell r="F31">
            <v>52844.850000000006</v>
          </cell>
        </row>
        <row r="32">
          <cell r="E32" t="str">
            <v>Total Geral</v>
          </cell>
          <cell r="F32">
            <v>4022790.604999952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4022790.6049999995</v>
      </c>
      <c r="D5" s="2"/>
      <c r="E5" s="4"/>
      <c r="F5" s="4"/>
      <c r="G5" s="4"/>
      <c r="H5" s="4" t="s">
        <v>1</v>
      </c>
      <c r="I5" s="7">
        <f>SUM(J10:J27)</f>
        <v>2909.9</v>
      </c>
      <c r="J5" s="4"/>
      <c r="K5" s="4"/>
      <c r="L5" s="4"/>
      <c r="M5" s="4"/>
      <c r="N5" s="4" t="s">
        <v>1</v>
      </c>
      <c r="O5" s="7">
        <f>SUM(P11:P17)</f>
        <v>1217.5999999999999</v>
      </c>
      <c r="P5" s="4"/>
      <c r="Q5" s="4"/>
      <c r="R5" s="4"/>
      <c r="S5" s="4"/>
      <c r="T5" s="4" t="s">
        <v>1</v>
      </c>
      <c r="U5" s="4">
        <f>SUM(V10:V26)</f>
        <v>573</v>
      </c>
      <c r="V5" s="4"/>
      <c r="W5" s="4"/>
    </row>
    <row r="6" spans="1:23" x14ac:dyDescent="0.25">
      <c r="A6" s="4"/>
      <c r="B6" s="4" t="s">
        <v>2</v>
      </c>
      <c r="C6" s="2">
        <f>C4-C5</f>
        <v>1569709.3950000005</v>
      </c>
      <c r="D6" s="2"/>
      <c r="E6" s="4"/>
      <c r="F6" s="4"/>
      <c r="G6" s="4"/>
      <c r="H6" s="4" t="s">
        <v>2</v>
      </c>
      <c r="I6" s="7">
        <f>I4-I5</f>
        <v>127090.1</v>
      </c>
      <c r="J6" s="4"/>
      <c r="K6" s="4"/>
      <c r="L6" s="4"/>
      <c r="M6" s="4"/>
      <c r="N6" s="4" t="s">
        <v>2</v>
      </c>
      <c r="O6" s="7">
        <f>O4-O5</f>
        <v>-1217.5999999999999</v>
      </c>
      <c r="P6" s="4"/>
      <c r="Q6" s="4"/>
      <c r="R6" s="4"/>
      <c r="S6" s="4"/>
      <c r="T6" s="4" t="s">
        <v>2</v>
      </c>
      <c r="U6" s="4">
        <f>U4-U5</f>
        <v>185</v>
      </c>
      <c r="V6" s="4"/>
      <c r="W6" s="4"/>
    </row>
    <row r="7" spans="1:23" x14ac:dyDescent="0.25">
      <c r="A7" s="4"/>
      <c r="B7" s="4" t="s">
        <v>3</v>
      </c>
      <c r="C7" s="3">
        <f>1-(C6/C4)</f>
        <v>0.71931883862315593</v>
      </c>
      <c r="D7" s="2"/>
      <c r="E7" s="4"/>
      <c r="F7" s="4"/>
      <c r="G7" s="4"/>
      <c r="H7" s="4" t="s">
        <v>3</v>
      </c>
      <c r="I7" s="3">
        <f>1-(I6/I4)</f>
        <v>2.2383846153846143E-2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0.75593667546174137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12090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23</v>
      </c>
      <c r="W10" s="19">
        <f>U10-V10</f>
        <v>13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260716.2799999995</v>
      </c>
      <c r="E11" s="24">
        <f>Tabela13[[#This Row],[META A]]-Tabela13[[#This Row],[ATINGIDO]]</f>
        <v>64283.720000000496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1217.5999999999999</v>
      </c>
      <c r="Q11" s="2">
        <f>O11-P11</f>
        <v>-1217.5999999999999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5400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33</v>
      </c>
      <c r="W12" s="19">
        <f t="shared" si="0"/>
        <v>8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51318.109999999993</v>
      </c>
      <c r="E13" s="24">
        <f>Tabela13[[#This Row],[META A]]-Tabela13[[#This Row],[ATINGIDO]]</f>
        <v>38681.890000000007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0</v>
      </c>
      <c r="Q13" s="2">
        <f t="shared" ref="Q13:Q17" si="1">O13-P13</f>
        <v>0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50</v>
      </c>
      <c r="W13" s="19">
        <f t="shared" si="0"/>
        <v>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175610.38999999984</v>
      </c>
      <c r="E14" s="27">
        <f>Tabela13[[#This Row],[META A]]-Tabela13[[#This Row],[ATINGIDO]]</f>
        <v>97389.610000000161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313.10000000000002</v>
      </c>
      <c r="K14" s="23">
        <f>Tabela5[[#This Row],[COMPROMISSO]]-Tabela5[[#This Row],[ATINGIDO]]</f>
        <v>3526.9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19</v>
      </c>
      <c r="W14" s="19">
        <f t="shared" si="0"/>
        <v>8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212847.61999999997</v>
      </c>
      <c r="E16" s="27">
        <f>Tabela13[[#This Row],[META A]]-Tabela13[[#This Row],[ATINGIDO]]</f>
        <v>112152.38000000003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9840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35</v>
      </c>
      <c r="W16" s="19">
        <f t="shared" si="0"/>
        <v>4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4850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48</v>
      </c>
      <c r="W17" s="19">
        <f t="shared" si="0"/>
        <v>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1019.85</v>
      </c>
      <c r="K18" s="23">
        <f>Tabela5[[#This Row],[COMPROMISSO]]-Tabela5[[#This Row],[ATINGIDO]]</f>
        <v>5820.15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40</v>
      </c>
      <c r="W18" s="19">
        <f t="shared" si="0"/>
        <v>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349.75</v>
      </c>
      <c r="K19" s="23">
        <f>Tabela5[[#This Row],[COMPROMISSO]]-Tabela5[[#This Row],[ATINGIDO]]</f>
        <v>6770.25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158</v>
      </c>
      <c r="K20" s="23">
        <f>Tabela5[[#This Row],[COMPROMISSO]]-Tabela5[[#This Row],[ATINGIDO]]</f>
        <v>14842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5100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73484.23</v>
      </c>
      <c r="E22" s="27">
        <f>Tabela13[[#This Row],[META A]]-Tabela13[[#This Row],[ATINGIDO]]</f>
        <v>48515.770000000004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299.8</v>
      </c>
      <c r="K22" s="23">
        <f>Tabela5[[#This Row],[COMPROMISSO]]-Tabela5[[#This Row],[ATINGIDO]]</f>
        <v>3020.2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27</v>
      </c>
      <c r="W22" s="19">
        <f t="shared" si="2"/>
        <v>13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134203.51499999966</v>
      </c>
      <c r="E23" s="24">
        <f>Tabela13[[#This Row],[META A]]-Tabela13[[#This Row],[ATINGIDO]]</f>
        <v>60796.485000000335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119.9</v>
      </c>
      <c r="K23" s="23">
        <f>Tabela5[[#This Row],[COMPROMISSO]]-Tabela5[[#This Row],[ATINGIDO]]</f>
        <v>3890.1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685907.54999999946</v>
      </c>
      <c r="Q23" s="7">
        <f>O23-P23</f>
        <v>-66589.368181817583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35</v>
      </c>
      <c r="W23" s="19">
        <f t="shared" si="2"/>
        <v>20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96574.790000000066</v>
      </c>
      <c r="E24" s="27">
        <f>Tabela13[[#This Row],[META A]]-Tabela13[[#This Row],[ATINGIDO]]</f>
        <v>43425.209999999934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4700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550898.80999999971</v>
      </c>
      <c r="Q24" s="7">
        <f>O24-P24</f>
        <v>68419.371818182175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84866.179999999833</v>
      </c>
      <c r="E25" s="24">
        <f>Tabela13[[#This Row],[META A]]-Tabela13[[#This Row],[ATINGIDO]]</f>
        <v>57633.820000000167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649.5</v>
      </c>
      <c r="K25" s="23">
        <f>Tabela5[[#This Row],[COMPROMISSO]]-Tabela5[[#This Row],[ATINGIDO]]</f>
        <v>2040.5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36</v>
      </c>
      <c r="W25" s="19">
        <f t="shared" si="2"/>
        <v>15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49159.000000000095</v>
      </c>
      <c r="E26" s="27">
        <f>Tabela13[[#This Row],[META A]]-Tabela13[[#This Row],[ATINGIDO]]</f>
        <v>40840.999999999905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23</v>
      </c>
      <c r="W26" s="19">
        <f t="shared" si="2"/>
        <v>12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163165.17999999976</v>
      </c>
      <c r="E27" s="24">
        <f>Tabela13[[#This Row],[META A]]-Tabela13[[#This Row],[ATINGIDO]]</f>
        <v>74334.82000000024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2670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236192.96999999977</v>
      </c>
      <c r="E28" s="27">
        <f>Tabela13[[#This Row],[META A]]-Tabela13[[#This Row],[ATINGIDO]]</f>
        <v>82307.030000000232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116320.90999999995</v>
      </c>
      <c r="E31" s="24">
        <f>Tabela13[[#This Row],[META A]]-Tabela13[[#This Row],[ATINGIDO]]</f>
        <v>50679.090000000055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179510.92999999985</v>
      </c>
      <c r="E32" s="27">
        <f>Tabela13[[#This Row],[META A]]-Tabela13[[#This Row],[ATINGIDO]]</f>
        <v>80489.070000000153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540157.79000000341</v>
      </c>
      <c r="K32" s="7">
        <f t="shared" ref="K32:K34" si="4">I32-J32</f>
        <v>-19157.790000003413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58990.890000000087</v>
      </c>
      <c r="E33" s="24">
        <f>Tabela13[[#This Row],[META A]]-Tabela13[[#This Row],[ATINGIDO]]</f>
        <v>41009.109999999913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188</v>
      </c>
      <c r="W33" s="6">
        <f t="shared" si="3"/>
        <v>-15.727272727272748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29667.840000000015</v>
      </c>
      <c r="E34" s="27">
        <f>Tabela13[[#This Row],[META A]]-Tabela13[[#This Row],[ATINGIDO]]</f>
        <v>25332.159999999985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435780.93500000192</v>
      </c>
      <c r="K34" s="7">
        <f t="shared" si="4"/>
        <v>215469.06499999808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52844.850000000006</v>
      </c>
      <c r="E35" s="24">
        <f>Tabela13[[#This Row],[META A]]-Tabela13[[#This Row],[ATINGIDO]]</f>
        <v>20155.149999999994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1386417.7799999914</v>
      </c>
      <c r="E42" s="7">
        <f t="shared" si="5"/>
        <v>-735167.77999999141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986933.63500000199</v>
      </c>
      <c r="E43" s="7">
        <f t="shared" si="5"/>
        <v>-335683.63500000199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2026-07-23T11:37:45Z</dcterms:modified>
</cp:coreProperties>
</file>