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0A1845FD-FA3A-4E34-8D10-EADB3AED4FB9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3" i="2"/>
  <c r="V32" i="2"/>
  <c r="V34" i="2"/>
  <c r="V30" i="2"/>
  <c r="V31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5" i="2"/>
  <c r="P22" i="2"/>
  <c r="P21" i="2"/>
  <c r="J34" i="2"/>
  <c r="P23" i="2"/>
  <c r="D41" i="2"/>
  <c r="D39" i="2"/>
  <c r="D43" i="2"/>
  <c r="J31" i="2"/>
  <c r="D42" i="2"/>
  <c r="D40" i="2"/>
  <c r="P25" i="2"/>
  <c r="J32" i="2"/>
  <c r="J33" i="2"/>
  <c r="P24" i="2"/>
  <c r="K16" i="2" l="1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3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<sst xmlns="http://schemas.openxmlformats.org/spreadsheetml/2006/main" count="213" uniqueCount="54">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</sst>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13/07/2026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17375.800000000003</v>
          </cell>
          <cell r="H5" t="str">
            <v>CAMPINAS</v>
          </cell>
          <cell r="I5">
            <v>905.3</v>
          </cell>
        </row>
        <row r="6">
          <cell r="E6" t="str">
            <v>CENTRO</v>
          </cell>
          <cell r="F6">
            <v>129467.75999999995</v>
          </cell>
          <cell r="H6" t="str">
            <v>CENTRO</v>
          </cell>
          <cell r="I6">
            <v>20141.109999999997</v>
          </cell>
          <cell r="K6" t="str">
            <v>Contagem Distinta de COD_CLIENTE</v>
          </cell>
        </row>
        <row r="7">
          <cell r="E7" t="str">
            <v>ECOMMERCE</v>
          </cell>
          <cell r="F7">
            <v>488.70000000000005</v>
          </cell>
          <cell r="H7" t="str">
            <v>INDAIATUBA</v>
          </cell>
          <cell r="I7">
            <v>5055.8600000000006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49.09</v>
          </cell>
          <cell r="H8" t="str">
            <v>INTERLAGOS</v>
          </cell>
          <cell r="I8">
            <v>8910.5999999999985</v>
          </cell>
          <cell r="K8" t="str">
            <v>CENTRO</v>
          </cell>
          <cell r="N8">
            <v>31</v>
          </cell>
        </row>
        <row r="9">
          <cell r="E9" t="str">
            <v>INDAIATUBA</v>
          </cell>
          <cell r="F9">
            <v>26603.559999999998</v>
          </cell>
          <cell r="H9" t="str">
            <v>JUNDIAI</v>
          </cell>
          <cell r="I9">
            <v>864.5</v>
          </cell>
          <cell r="K9" t="str">
            <v>INDAIATUBA</v>
          </cell>
          <cell r="N9">
            <v>21</v>
          </cell>
        </row>
        <row r="10">
          <cell r="E10" t="str">
            <v>INTERLAGOS</v>
          </cell>
          <cell r="F10">
            <v>78688.299999999974</v>
          </cell>
          <cell r="H10" t="str">
            <v>KEY CASA</v>
          </cell>
          <cell r="I10">
            <v>8068.9999999999991</v>
          </cell>
          <cell r="K10" t="str">
            <v>JUNDIAI</v>
          </cell>
          <cell r="N10">
            <v>12</v>
          </cell>
        </row>
        <row r="11">
          <cell r="E11" t="str">
            <v>JUNDIAI</v>
          </cell>
          <cell r="F11">
            <v>27635.870000000021</v>
          </cell>
          <cell r="H11" t="str">
            <v>KEY ZL</v>
          </cell>
          <cell r="I11">
            <v>7328.6</v>
          </cell>
          <cell r="K11" t="str">
            <v>LESTE</v>
          </cell>
          <cell r="N11">
            <v>17</v>
          </cell>
        </row>
        <row r="12">
          <cell r="E12" t="str">
            <v>KEY ABC</v>
          </cell>
          <cell r="F12">
            <v>118036.82000000002</v>
          </cell>
          <cell r="H12" t="str">
            <v>LESTE MOOCA</v>
          </cell>
          <cell r="I12">
            <v>2291.1</v>
          </cell>
          <cell r="K12" t="str">
            <v>LESTE PENHA</v>
          </cell>
          <cell r="N12">
            <v>10</v>
          </cell>
        </row>
        <row r="13">
          <cell r="E13" t="str">
            <v>KEY CASA</v>
          </cell>
          <cell r="F13">
            <v>134013.46</v>
          </cell>
          <cell r="H13" t="str">
            <v>LESTE PENHA</v>
          </cell>
          <cell r="I13">
            <v>5696.4</v>
          </cell>
          <cell r="K13" t="str">
            <v>LESTE TATUAPE</v>
          </cell>
          <cell r="N13">
            <v>17</v>
          </cell>
        </row>
        <row r="14">
          <cell r="E14" t="str">
            <v>KEY INTERIOR</v>
          </cell>
          <cell r="F14">
            <v>335094.5</v>
          </cell>
          <cell r="H14" t="str">
            <v>LESTE TATUAPE</v>
          </cell>
          <cell r="I14">
            <v>7604</v>
          </cell>
          <cell r="K14" t="str">
            <v>NORTE</v>
          </cell>
          <cell r="N14">
            <v>18</v>
          </cell>
        </row>
        <row r="15">
          <cell r="E15" t="str">
            <v>KEY SJC</v>
          </cell>
          <cell r="F15">
            <v>15117</v>
          </cell>
          <cell r="H15" t="str">
            <v>MOGI</v>
          </cell>
          <cell r="I15">
            <v>1267.6300000000001</v>
          </cell>
          <cell r="K15" t="str">
            <v>OSASCO</v>
          </cell>
          <cell r="N15">
            <v>30</v>
          </cell>
        </row>
        <row r="16">
          <cell r="E16" t="str">
            <v>KEY SP</v>
          </cell>
          <cell r="F16">
            <v>68104.53</v>
          </cell>
          <cell r="H16" t="str">
            <v>NORTE</v>
          </cell>
          <cell r="I16">
            <v>6434.7999999999993</v>
          </cell>
          <cell r="K16" t="str">
            <v>PIRITUBA</v>
          </cell>
          <cell r="N16">
            <v>18</v>
          </cell>
        </row>
        <row r="17">
          <cell r="E17" t="str">
            <v>KEY ZL</v>
          </cell>
          <cell r="F17">
            <v>133028.49999999997</v>
          </cell>
          <cell r="H17" t="str">
            <v>OSASCO</v>
          </cell>
          <cell r="I17">
            <v>6578.51</v>
          </cell>
          <cell r="K17" t="str">
            <v>SANTO ANDRE</v>
          </cell>
          <cell r="N17">
            <v>16</v>
          </cell>
        </row>
        <row r="18">
          <cell r="E18" t="str">
            <v>LESTE</v>
          </cell>
          <cell r="F18">
            <v>32134.140000000014</v>
          </cell>
          <cell r="H18" t="str">
            <v>PIRACICABA</v>
          </cell>
          <cell r="I18">
            <v>1505.5</v>
          </cell>
          <cell r="K18" t="str">
            <v>SJC</v>
          </cell>
          <cell r="N18">
            <v>15</v>
          </cell>
        </row>
        <row r="19">
          <cell r="E19" t="str">
            <v>LESTE MOOCA</v>
          </cell>
          <cell r="F19">
            <v>54478.090000000055</v>
          </cell>
          <cell r="H19" t="str">
            <v>PIRITUBA</v>
          </cell>
          <cell r="I19">
            <v>2910.9500000000003</v>
          </cell>
          <cell r="K19" t="str">
            <v>Total Geral</v>
          </cell>
          <cell r="N19">
            <v>205</v>
          </cell>
        </row>
        <row r="20">
          <cell r="E20" t="str">
            <v>LESTE PENHA</v>
          </cell>
          <cell r="F20">
            <v>41810.140000000007</v>
          </cell>
          <cell r="H20" t="str">
            <v>SANTO ANDRE</v>
          </cell>
          <cell r="I20">
            <v>6333.9600000000009</v>
          </cell>
        </row>
        <row r="21">
          <cell r="E21" t="str">
            <v>LESTE TATUAPE</v>
          </cell>
          <cell r="F21">
            <v>32904.980000000025</v>
          </cell>
          <cell r="H21" t="str">
            <v>SBC</v>
          </cell>
          <cell r="I21">
            <v>14219.94</v>
          </cell>
        </row>
        <row r="22">
          <cell r="E22" t="str">
            <v>MOGI</v>
          </cell>
          <cell r="F22">
            <v>18485.969999999994</v>
          </cell>
          <cell r="H22" t="str">
            <v>SJC</v>
          </cell>
          <cell r="I22">
            <v>4629.8</v>
          </cell>
        </row>
        <row r="23">
          <cell r="E23" t="str">
            <v>NORTE</v>
          </cell>
          <cell r="F23">
            <v>81458.24000000002</v>
          </cell>
          <cell r="H23" t="str">
            <v>SJC/VALE</v>
          </cell>
          <cell r="I23">
            <v>1175.0900000000001</v>
          </cell>
        </row>
        <row r="24">
          <cell r="E24" t="str">
            <v>OSASCO</v>
          </cell>
          <cell r="F24">
            <v>112523.48000000005</v>
          </cell>
          <cell r="H24" t="str">
            <v>VENDEDOR INTERNO 1</v>
          </cell>
          <cell r="I24">
            <v>1531.14</v>
          </cell>
        </row>
        <row r="25">
          <cell r="E25" t="str">
            <v>PIRACICABA</v>
          </cell>
          <cell r="F25">
            <v>53478.660000000011</v>
          </cell>
          <cell r="H25" t="str">
            <v>Total Geral</v>
          </cell>
          <cell r="I25">
            <v>113453.79</v>
          </cell>
        </row>
        <row r="26">
          <cell r="E26" t="str">
            <v>PIRITUBA</v>
          </cell>
          <cell r="F26">
            <v>45802.37999999999</v>
          </cell>
        </row>
        <row r="27">
          <cell r="E27" t="str">
            <v>SANTO ANDRE</v>
          </cell>
          <cell r="F27">
            <v>54823.51</v>
          </cell>
        </row>
        <row r="28">
          <cell r="E28" t="str">
            <v>SBC</v>
          </cell>
          <cell r="F28">
            <v>86994.229999999938</v>
          </cell>
        </row>
        <row r="29">
          <cell r="E29" t="str">
            <v>SJC</v>
          </cell>
          <cell r="F29">
            <v>28935.709999999992</v>
          </cell>
        </row>
        <row r="30">
          <cell r="E30" t="str">
            <v>SJC/VALE</v>
          </cell>
          <cell r="F30">
            <v>14697.789999999988</v>
          </cell>
        </row>
        <row r="31">
          <cell r="E31" t="str">
            <v>VENDEDOR INTERNO 1</v>
          </cell>
          <cell r="F31">
            <v>26858.460000000003</v>
          </cell>
        </row>
        <row r="32">
          <cell r="E32" t="str">
            <v>Total Geral</v>
          </cell>
          <cell r="F32">
            <v>1769089.6699999834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D5" sqref="D5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300104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1768600.9699999997</v>
      </c>
      <c r="D5" s="2"/>
      <c r="E5" s="4"/>
      <c r="F5" s="4"/>
      <c r="G5" s="4"/>
      <c r="H5" s="4" t="s">
        <v>1</v>
      </c>
      <c r="I5" s="7">
        <f>SUM(J10:J27)</f>
        <v>96550.69</v>
      </c>
      <c r="J5" s="4"/>
      <c r="K5" s="4"/>
      <c r="L5" s="4"/>
      <c r="M5" s="4"/>
      <c r="N5" s="4" t="s">
        <v>1</v>
      </c>
      <c r="O5" s="7">
        <f>SUM(P11:P17)</f>
        <v>16903.099999999999</v>
      </c>
      <c r="P5" s="4"/>
      <c r="Q5" s="4"/>
      <c r="R5" s="4"/>
      <c r="S5" s="4"/>
      <c r="T5" s="4" t="s">
        <v>1</v>
      </c>
      <c r="U5" s="4">
        <f>SUM(V10:V26)</f>
        <v>205</v>
      </c>
      <c r="V5" s="4"/>
      <c r="W5" s="4"/>
    </row>
    <row r="6" spans="1:23" x14ac:dyDescent="0.25">
      <c r="A6" s="4"/>
      <c r="B6" s="4" t="s">
        <v>2</v>
      </c>
      <c r="C6" s="2">
        <f>C4-C5</f>
        <v>3822899.0300000003</v>
      </c>
      <c r="D6" s="2"/>
      <c r="E6" s="4"/>
      <c r="F6" s="4"/>
      <c r="G6" s="4"/>
      <c r="H6" s="4" t="s">
        <v>2</v>
      </c>
      <c r="I6" s="7">
        <f>I4-I5</f>
        <v>203553.31</v>
      </c>
      <c r="J6" s="4"/>
      <c r="K6" s="4"/>
      <c r="L6" s="4"/>
      <c r="M6" s="4"/>
      <c r="N6" s="4" t="s">
        <v>2</v>
      </c>
      <c r="O6" s="7">
        <f>O4-O5</f>
        <v>-16903.099999999999</v>
      </c>
      <c r="P6" s="4"/>
      <c r="Q6" s="4"/>
      <c r="R6" s="4"/>
      <c r="S6" s="4"/>
      <c r="T6" s="4" t="s">
        <v>2</v>
      </c>
      <c r="U6" s="4">
        <f>U4-U5</f>
        <v>553</v>
      </c>
      <c r="V6" s="4"/>
      <c r="W6" s="4"/>
    </row>
    <row r="7" spans="1:23" x14ac:dyDescent="0.25">
      <c r="A7" s="4"/>
      <c r="B7" s="4" t="s">
        <v>3</v>
      </c>
      <c r="C7" s="3">
        <f>1-(C6/C4)</f>
        <v>0.3163017025842797</v>
      </c>
      <c r="D7" s="2"/>
      <c r="E7" s="4"/>
      <c r="F7" s="4"/>
      <c r="G7" s="4"/>
      <c r="H7" s="4" t="s">
        <v>3</v>
      </c>
      <c r="I7" s="3">
        <f>1-(I6/I4)</f>
        <v>0.32172410231119875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0.27044854881266489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17375.800000000003</v>
      </c>
      <c r="E10" s="27">
        <f>Tabela13[[#This Row],[META A]]-Tabela13[[#This Row],[ATINGIDO]]</f>
        <v>47124.2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29150</v>
      </c>
      <c r="J10" s="22">
        <f>_xlfn.XLOOKUP(Tabela5[[#This Row],[VENDEDOR]],'[1]BASE PYTHON'!$H:$H,'[1]BASE PYTHON'!$I:$I,0)</f>
        <v>6578.51</v>
      </c>
      <c r="K10" s="23">
        <f>Tabela5[[#This Row],[COMPROMISSO]]-Tabela5[[#This Row],[ATINGIDO]]</f>
        <v>22571.489999999998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129467.75999999995</v>
      </c>
      <c r="E11" s="24">
        <f>Tabela13[[#This Row],[META A]]-Tabela13[[#This Row],[ATINGIDO]]</f>
        <v>195532.24000000005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26150</v>
      </c>
      <c r="J11" s="22">
        <f>_xlfn.XLOOKUP(Tabela5[[#This Row],[VENDEDOR]],'[1]BASE PYTHON'!$H:$H,'[1]BASE PYTHON'!$I:$I,0)</f>
        <v>6434.7999999999993</v>
      </c>
      <c r="K11" s="23">
        <f>Tabela5[[#This Row],[COMPROMISSO]]-Tabela5[[#This Row],[ATINGIDO]]</f>
        <v>19715.2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31</v>
      </c>
      <c r="W11" s="19">
        <f t="shared" ref="W11:W20" si="0">U11-V11</f>
        <v>21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49.09</v>
      </c>
      <c r="E12" s="27">
        <f>Tabela13[[#This Row],[META A]]-Tabela13[[#This Row],[ATINGIDO]]</f>
        <v>950.91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12180</v>
      </c>
      <c r="J12" s="22">
        <f>_xlfn.XLOOKUP(Tabela5[[#This Row],[VENDEDOR]],'[1]BASE PYTHON'!$H:$H,'[1]BASE PYTHON'!$I:$I,0)</f>
        <v>2910.9500000000003</v>
      </c>
      <c r="K12" s="23">
        <f>Tabela5[[#This Row],[COMPROMISSO]]-Tabela5[[#This Row],[ATINGIDO]]</f>
        <v>9269.0499999999993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1505.5</v>
      </c>
      <c r="Q12" s="2">
        <f>O12-P12</f>
        <v>-1505.5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21</v>
      </c>
      <c r="W12" s="19">
        <f t="shared" si="0"/>
        <v>20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26603.559999999998</v>
      </c>
      <c r="E13" s="24">
        <f>Tabela13[[#This Row],[META A]]-Tabela13[[#This Row],[ATINGIDO]]</f>
        <v>63396.44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24150</v>
      </c>
      <c r="J13" s="22">
        <f>_xlfn.XLOOKUP(Tabela5[[#This Row],[VENDEDOR]],'[1]BASE PYTHON'!$H:$H,'[1]BASE PYTHON'!$I:$I,0)</f>
        <v>14219.94</v>
      </c>
      <c r="K13" s="23">
        <f>Tabela5[[#This Row],[COMPROMISSO]]-Tabela5[[#This Row],[ATINGIDO]]</f>
        <v>9930.06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7328.6</v>
      </c>
      <c r="Q13" s="2">
        <f t="shared" ref="Q13:Q17" si="1">O13-P13</f>
        <v>-7328.6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78688.299999999974</v>
      </c>
      <c r="E14" s="27">
        <f>Tabela13[[#This Row],[META A]]-Tabela13[[#This Row],[ATINGIDO]]</f>
        <v>194311.7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22495</v>
      </c>
      <c r="J14" s="22">
        <f>_xlfn.XLOOKUP(Tabela5[[#This Row],[VENDEDOR]],'[1]BASE PYTHON'!$H:$H,'[1]BASE PYTHON'!$I:$I,0)</f>
        <v>7604</v>
      </c>
      <c r="K14" s="23">
        <f>Tabela5[[#This Row],[COMPROMISSO]]-Tabela5[[#This Row],[ATINGIDO]]</f>
        <v>14891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12</v>
      </c>
      <c r="W14" s="19">
        <f t="shared" si="0"/>
        <v>15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27635.870000000021</v>
      </c>
      <c r="E15" s="24">
        <f>Tabela13[[#This Row],[META A]]-Tabela13[[#This Row],[ATINGIDO]]</f>
        <v>50364.129999999976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25150</v>
      </c>
      <c r="J15" s="22">
        <f>_xlfn.XLOOKUP(Tabela5[[#This Row],[VENDEDOR]],'[1]BASE PYTHON'!$H:$H,'[1]BASE PYTHON'!$I:$I,0)</f>
        <v>20141.109999999997</v>
      </c>
      <c r="K15" s="23">
        <f>Tabela5[[#This Row],[COMPROMISSO]]-Tabela5[[#This Row],[ATINGIDO]]</f>
        <v>5008.8900000000031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17</v>
      </c>
      <c r="W15" s="19">
        <f>U15-V15</f>
        <v>31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118036.82000000002</v>
      </c>
      <c r="E16" s="27">
        <f>Tabela13[[#This Row],[META A]]-Tabela13[[#This Row],[ATINGIDO]]</f>
        <v>206963.18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17150</v>
      </c>
      <c r="J16" s="22">
        <f>_xlfn.XLOOKUP(Tabela5[[#This Row],[VENDEDOR]],'[1]BASE PYTHON'!$H:$H,'[1]BASE PYTHON'!$I:$I,0)</f>
        <v>6333.9600000000009</v>
      </c>
      <c r="K16" s="23">
        <f>Tabela5[[#This Row],[COMPROMISSO]]-Tabela5[[#This Row],[ATINGIDO]]</f>
        <v>10816.039999999999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134013.46</v>
      </c>
      <c r="E17" s="24">
        <f>Tabela13[[#This Row],[META A]]-Tabela13[[#This Row],[ATINGIDO]]</f>
        <v>35986.540000000008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6701</v>
      </c>
      <c r="J17" s="22">
        <f>_xlfn.XLOOKUP(Tabela5[[#This Row],[VENDEDOR]],'[1]BASE PYTHON'!$H:$H,'[1]BASE PYTHON'!$I:$I,0)</f>
        <v>1267.6300000000001</v>
      </c>
      <c r="K17" s="23">
        <f>Tabela5[[#This Row],[COMPROMISSO]]-Tabela5[[#This Row],[ATINGIDO]]</f>
        <v>5433.37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8068.9999999999991</v>
      </c>
      <c r="Q17" s="2">
        <f t="shared" si="1"/>
        <v>-8068.9999999999991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335094.5</v>
      </c>
      <c r="E18" s="27">
        <f>Tabela13[[#This Row],[META A]]-Tabela13[[#This Row],[ATINGIDO]]</f>
        <v>614905.5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15912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15912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18</v>
      </c>
      <c r="W18" s="19">
        <f t="shared" si="0"/>
        <v>27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15117</v>
      </c>
      <c r="E19" s="24">
        <f>Tabela13[[#This Row],[META A]]-Tabela13[[#This Row],[ATINGIDO]]</f>
        <v>114883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18150</v>
      </c>
      <c r="J19" s="22">
        <f>_xlfn.XLOOKUP(Tabela5[[#This Row],[VENDEDOR]],'[1]BASE PYTHON'!$H:$H,'[1]BASE PYTHON'!$I:$I,0)</f>
        <v>2291.1</v>
      </c>
      <c r="K19" s="23">
        <f>Tabela5[[#This Row],[COMPROMISSO]]-Tabela5[[#This Row],[ATINGIDO]]</f>
        <v>15858.9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30</v>
      </c>
      <c r="W19" s="19">
        <f t="shared" si="0"/>
        <v>31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68104.53</v>
      </c>
      <c r="E20" s="27">
        <f>Tabela13[[#This Row],[META A]]-Tabela13[[#This Row],[ATINGIDO]]</f>
        <v>491895.47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20150</v>
      </c>
      <c r="J20" s="22">
        <f>_xlfn.XLOOKUP(Tabela5[[#This Row],[VENDEDOR]],'[1]BASE PYTHON'!$H:$H,'[1]BASE PYTHON'!$I:$I,0)</f>
        <v>8910.5999999999985</v>
      </c>
      <c r="K20" s="23">
        <f>Tabela5[[#This Row],[COMPROMISSO]]-Tabela5[[#This Row],[ATINGIDO]]</f>
        <v>11239.400000000001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10</v>
      </c>
      <c r="W20" s="19">
        <f t="shared" si="0"/>
        <v>29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133028.49999999997</v>
      </c>
      <c r="E21" s="24">
        <f>Tabela13[[#This Row],[META A]]-Tabela13[[#This Row],[ATINGIDO]]</f>
        <v>281971.5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8150</v>
      </c>
      <c r="J21" s="22">
        <f>_xlfn.XLOOKUP(Tabela5[[#This Row],[VENDEDOR]],'[1]BASE PYTHON'!$H:$H,'[1]BASE PYTHON'!$I:$I,0)</f>
        <v>864.5</v>
      </c>
      <c r="K21" s="23">
        <f>Tabela5[[#This Row],[COMPROMISSO]]-Tabela5[[#This Row],[ATINGIDO]]</f>
        <v>7285.5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18</v>
      </c>
      <c r="W21" s="19">
        <f t="shared" ref="W21:W26" si="2">U21-V21</f>
        <v>26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32134.140000000014</v>
      </c>
      <c r="E22" s="27">
        <f>Tabela13[[#This Row],[META A]]-Tabela13[[#This Row],[ATINGIDO]]</f>
        <v>89865.859999999986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15870</v>
      </c>
      <c r="J22" s="22">
        <f>_xlfn.XLOOKUP(Tabela5[[#This Row],[VENDEDOR]],'[1]BASE PYTHON'!$H:$H,'[1]BASE PYTHON'!$I:$I,0)</f>
        <v>5696.4</v>
      </c>
      <c r="K22" s="23">
        <f>Tabela5[[#This Row],[COMPROMISSO]]-Tabela5[[#This Row],[ATINGIDO]]</f>
        <v>10173.6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564728.75000000047</v>
      </c>
      <c r="Q22" s="7">
        <f>O22-P22</f>
        <v>-69274.204545454995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16</v>
      </c>
      <c r="W22" s="19">
        <f t="shared" si="2"/>
        <v>24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54478.090000000055</v>
      </c>
      <c r="E23" s="24">
        <f>Tabela13[[#This Row],[META A]]-Tabela13[[#This Row],[ATINGIDO]]</f>
        <v>140521.90999999995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15604</v>
      </c>
      <c r="J23" s="22">
        <f>_xlfn.XLOOKUP(Tabela5[[#This Row],[VENDEDOR]],'[1]BASE PYTHON'!$H:$H,'[1]BASE PYTHON'!$I:$I,0)</f>
        <v>5055.8600000000006</v>
      </c>
      <c r="K23" s="23">
        <f>Tabela5[[#This Row],[COMPROMISSO]]-Tabela5[[#This Row],[ATINGIDO]]</f>
        <v>10548.14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16903.100000000006</v>
      </c>
      <c r="Q23" s="7">
        <f>O23-P23</f>
        <v>602415.0818181819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41810.140000000007</v>
      </c>
      <c r="E24" s="27">
        <f>Tabela13[[#This Row],[META A]]-Tabela13[[#This Row],[ATINGIDO]]</f>
        <v>98189.859999999986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11650</v>
      </c>
      <c r="J24" s="22">
        <f>_xlfn.XLOOKUP(Tabela5[[#This Row],[VENDEDOR]],'[1]BASE PYTHON'!$H:$H,'[1]BASE PYTHON'!$I:$I,0)</f>
        <v>1531.14</v>
      </c>
      <c r="K24" s="23">
        <f>Tabela5[[#This Row],[COMPROMISSO]]-Tabela5[[#This Row],[ATINGIDO]]</f>
        <v>10118.86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15</v>
      </c>
      <c r="W24" s="19">
        <f t="shared" si="2"/>
        <v>22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32904.980000000025</v>
      </c>
      <c r="E25" s="24">
        <f>Tabela13[[#This Row],[META A]]-Tabela13[[#This Row],[ATINGIDO]]</f>
        <v>109595.01999999997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15130</v>
      </c>
      <c r="J25" s="22">
        <f>_xlfn.XLOOKUP(Tabela5[[#This Row],[VENDEDOR]],'[1]BASE PYTHON'!$H:$H,'[1]BASE PYTHON'!$I:$I,0)</f>
        <v>4629.8</v>
      </c>
      <c r="K25" s="23">
        <f>Tabela5[[#This Row],[COMPROMISSO]]-Tabela5[[#This Row],[ATINGIDO]]</f>
        <v>10500.2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17</v>
      </c>
      <c r="W25" s="19">
        <f t="shared" si="2"/>
        <v>34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18485.969999999994</v>
      </c>
      <c r="E26" s="27">
        <f>Tabela13[[#This Row],[META A]]-Tabela13[[#This Row],[ATINGIDO]]</f>
        <v>71514.03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6925</v>
      </c>
      <c r="J26" s="22">
        <f>_xlfn.XLOOKUP(Tabela5[[#This Row],[VENDEDOR]],'[1]BASE PYTHON'!$H:$H,'[1]BASE PYTHON'!$I:$I,0)</f>
        <v>1175.0900000000001</v>
      </c>
      <c r="K26" s="23">
        <f>Tabela5[[#This Row],[COMPROMISSO]]-Tabela5[[#This Row],[ATINGIDO]]</f>
        <v>5749.91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81458.24000000002</v>
      </c>
      <c r="E27" s="24">
        <f>Tabela13[[#This Row],[META A]]-Tabela13[[#This Row],[ATINGIDO]]</f>
        <v>156041.75999999998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9437</v>
      </c>
      <c r="J27" s="22">
        <f>_xlfn.XLOOKUP(Tabela5[[#This Row],[VENDEDOR]],'[1]BASE PYTHON'!$H:$H,'[1]BASE PYTHON'!$I:$I,0)</f>
        <v>905.3</v>
      </c>
      <c r="K27" s="23">
        <f>Tabela5[[#This Row],[COMPROMISSO]]-Tabela5[[#This Row],[ATINGIDO]]</f>
        <v>8531.7000000000007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112523.48000000005</v>
      </c>
      <c r="E28" s="27">
        <f>Tabela13[[#This Row],[META A]]-Tabela13[[#This Row],[ATINGIDO]]</f>
        <v>205976.51999999996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53478.660000000011</v>
      </c>
      <c r="E29" s="24">
        <f>Tabela13[[#This Row],[META A]]-Tabela13[[#This Row],[ATINGIDO]]</f>
        <v>121521.34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45802.37999999999</v>
      </c>
      <c r="E30" s="27">
        <f>Tabela13[[#This Row],[META A]]-Tabela13[[#This Row],[ATINGIDO]]</f>
        <v>88697.62000000001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54823.51</v>
      </c>
      <c r="E31" s="24">
        <f>Tabela13[[#This Row],[META A]]-Tabela13[[#This Row],[ATINGIDO]]</f>
        <v>112176.48999999999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257833.44999999981</v>
      </c>
      <c r="K31" s="7">
        <f>I31-J31</f>
        <v>132916.55000000019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86994.229999999938</v>
      </c>
      <c r="E32" s="27">
        <f>Tabela13[[#This Row],[META A]]-Tabela13[[#This Row],[ATINGIDO]]</f>
        <v>173005.77000000008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505107.28000000294</v>
      </c>
      <c r="K32" s="7">
        <f t="shared" ref="K32:K34" si="4">I32-J32</f>
        <v>15892.719999997062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17</v>
      </c>
      <c r="W32" s="6">
        <f t="shared" si="3"/>
        <v>155.27272727272725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28935.709999999992</v>
      </c>
      <c r="E33" s="24">
        <f>Tabela13[[#This Row],[META A]]-Tabela13[[#This Row],[ATINGIDO]]</f>
        <v>71064.290000000008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94259.589999999982</v>
      </c>
      <c r="K33" s="7">
        <f t="shared" si="4"/>
        <v>556990.41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14697.789999999988</v>
      </c>
      <c r="E34" s="27">
        <f>Tabela13[[#This Row],[META A]]-Tabela13[[#This Row],[ATINGIDO]]</f>
        <v>40302.210000000014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26858.460000000003</v>
      </c>
      <c r="E35" s="24">
        <f>Tabela13[[#This Row],[META A]]-Tabela13[[#This Row],[ATINGIDO]]</f>
        <v>46141.539999999994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546899.75000000163</v>
      </c>
      <c r="E39" s="7">
        <f>C39-D39</f>
        <v>-156149.75000000163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1108736.1299999962</v>
      </c>
      <c r="E40" s="7">
        <f t="shared" ref="E40:E42" si="5">C40-D40</f>
        <v>-587736.12999999616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113453.79</v>
      </c>
      <c r="E41" s="7">
        <f t="shared" si="5"/>
        <v>537796.21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2026-07-13T14:11:50Z</dcterms:modified>
</cp:coreProperties>
</file>