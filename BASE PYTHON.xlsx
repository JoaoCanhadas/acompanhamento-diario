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41187DA-1ADC-43E9-A334-40DE617CF87C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1" i="2" l="1" a="1"/>
  <c r="P11" i="2"/>
  <c r="P12" i="2"/>
  <c r="P13" i="2"/>
  <c r="P14" i="2"/>
  <c r="P15" i="2"/>
  <c r="P16" i="2"/>
  <c r="P1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1" i="2"/>
  <c r="V34" i="2"/>
  <c r="V30" i="2"/>
  <c r="V33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3" i="2"/>
  <c r="J35" i="2"/>
  <c r="D41" i="2"/>
  <c r="D42" i="2"/>
  <c r="P25" i="2"/>
  <c r="J34" i="2"/>
  <c r="D40" i="2"/>
  <c r="P24" i="2"/>
  <c r="J32" i="2"/>
  <c r="P22" i="2"/>
  <c r="D44" i="2"/>
  <c r="J33" i="2"/>
  <c r="P21" i="2"/>
  <c r="D43" i="2"/>
  <c r="J31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<sst xmlns="http://schemas.openxmlformats.org/spreadsheetml/2006/main" count="215" uniqueCount="54">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</sst>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50860.459999999977</v>
          </cell>
          <cell r="H5" t="str">
            <v>CENTRO</v>
          </cell>
          <cell r="I5">
            <v>4856.7000000000007</v>
          </cell>
        </row>
        <row r="6">
          <cell r="E6" t="str">
            <v>CENTRO</v>
          </cell>
          <cell r="F6">
            <v>306749.96999999962</v>
          </cell>
          <cell r="H6" t="str">
            <v>INTERLAGOS</v>
          </cell>
          <cell r="I6">
            <v>969.4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JUNDIAI</v>
          </cell>
          <cell r="I7">
            <v>171.48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166.49</v>
          </cell>
          <cell r="H8" t="str">
            <v>KEY SP</v>
          </cell>
          <cell r="I8">
            <v>2080.6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65158.469999999965</v>
          </cell>
          <cell r="H9" t="str">
            <v>LESTE</v>
          </cell>
          <cell r="I9">
            <v>771.3</v>
          </cell>
          <cell r="K9" t="str">
            <v>CENTRO</v>
          </cell>
          <cell r="N9">
            <v>49</v>
          </cell>
        </row>
        <row r="10">
          <cell r="E10" t="str">
            <v>INTERLAGOS</v>
          </cell>
          <cell r="F10">
            <v>213597.55999999988</v>
          </cell>
          <cell r="H10" t="str">
            <v>LESTE MOOCA</v>
          </cell>
          <cell r="I10">
            <v>1351.3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63542.360000000081</v>
          </cell>
          <cell r="H11" t="str">
            <v>Total Geral</v>
          </cell>
          <cell r="I11">
            <v>10200.779999999999</v>
          </cell>
          <cell r="K11" t="str">
            <v>INTERLAGOS</v>
          </cell>
          <cell r="N11">
            <v>57</v>
          </cell>
        </row>
        <row r="12">
          <cell r="E12" t="str">
            <v>KEY ABC</v>
          </cell>
          <cell r="F12">
            <v>281298.46999999991</v>
          </cell>
          <cell r="K12" t="str">
            <v>JUNDIAI</v>
          </cell>
          <cell r="N12">
            <v>24</v>
          </cell>
        </row>
        <row r="13">
          <cell r="E13" t="str">
            <v>KEY CASA</v>
          </cell>
          <cell r="F13">
            <v>289653.48000000004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940217.00000000012</v>
          </cell>
          <cell r="K14" t="str">
            <v>LESTE MOOCA</v>
          </cell>
          <cell r="N14">
            <v>51</v>
          </cell>
        </row>
        <row r="15">
          <cell r="E15" t="str">
            <v>KEY PIRACICABA</v>
          </cell>
          <cell r="F15">
            <v>107460.07999999997</v>
          </cell>
          <cell r="K15" t="str">
            <v>LESTE PENHA</v>
          </cell>
          <cell r="N15">
            <v>30</v>
          </cell>
        </row>
        <row r="16">
          <cell r="E16" t="str">
            <v>KEY SJC</v>
          </cell>
          <cell r="F16">
            <v>127140.10000000006</v>
          </cell>
          <cell r="K16" t="str">
            <v>LESTE TATUAPE</v>
          </cell>
          <cell r="N16">
            <v>44</v>
          </cell>
        </row>
        <row r="17">
          <cell r="E17" t="str">
            <v>KEY SP</v>
          </cell>
          <cell r="F17">
            <v>302147.56999999995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335556.29999999958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88046.659999999916</v>
          </cell>
          <cell r="K19" t="str">
            <v>OSASCO</v>
          </cell>
          <cell r="N19">
            <v>63</v>
          </cell>
        </row>
        <row r="20">
          <cell r="E20" t="str">
            <v>LESTE MOOCA</v>
          </cell>
          <cell r="F20">
            <v>157351.63499999949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111025.40999999999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111809.97999999968</v>
          </cell>
          <cell r="K22" t="str">
            <v>SBC</v>
          </cell>
          <cell r="N22">
            <v>40</v>
          </cell>
        </row>
        <row r="23">
          <cell r="E23" t="str">
            <v>MOGI</v>
          </cell>
          <cell r="F23">
            <v>61909.870000000177</v>
          </cell>
          <cell r="K23" t="str">
            <v>SJC</v>
          </cell>
          <cell r="N23">
            <v>23</v>
          </cell>
        </row>
        <row r="24">
          <cell r="E24" t="str">
            <v>NORTE</v>
          </cell>
          <cell r="F24">
            <v>204894.11999999947</v>
          </cell>
          <cell r="K24" t="str">
            <v>SJC/VALE</v>
          </cell>
          <cell r="N24">
            <v>28</v>
          </cell>
        </row>
        <row r="25">
          <cell r="E25" t="str">
            <v>OSASCO</v>
          </cell>
          <cell r="F25">
            <v>271333.46499999968</v>
          </cell>
          <cell r="K25" t="str">
            <v>Total Geral</v>
          </cell>
          <cell r="N25">
            <v>646</v>
          </cell>
        </row>
        <row r="26">
          <cell r="E26" t="str">
            <v>PIRITUBA</v>
          </cell>
          <cell r="F26">
            <v>108703.64999999989</v>
          </cell>
        </row>
        <row r="27">
          <cell r="E27" t="str">
            <v>SANTO ANDRE</v>
          </cell>
          <cell r="F27">
            <v>136131.16999999998</v>
          </cell>
        </row>
        <row r="28">
          <cell r="E28" t="str">
            <v>SBC</v>
          </cell>
          <cell r="F28">
            <v>207544.25999999981</v>
          </cell>
        </row>
        <row r="29">
          <cell r="E29" t="str">
            <v>SJC</v>
          </cell>
          <cell r="F29">
            <v>72382.990000000049</v>
          </cell>
        </row>
        <row r="30">
          <cell r="E30" t="str">
            <v>SJC/VALE</v>
          </cell>
          <cell r="F30">
            <v>36745.17000000002</v>
          </cell>
        </row>
        <row r="31">
          <cell r="E31" t="str">
            <v>VENDEDOR INTERNO 1</v>
          </cell>
          <cell r="F31">
            <v>66010.880000000005</v>
          </cell>
        </row>
        <row r="32">
          <cell r="E32" t="str">
            <v>Total Geral</v>
          </cell>
          <cell r="F32">
            <v>4718520.3999999352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0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6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6"/>
    <tableColumn id="2" xr3:uid="{E2D85F5C-4525-4FA4-B813-A1322F5C254D}" name="REFERENCIA" dataDxfId="25"/>
    <tableColumn id="3" xr3:uid="{53C55BB3-DDD4-47EF-87D5-552E4D02B5BA}" name="META A" dataDxfId="24">
      <calculatedColumnFormula>_xlfn.XLOOKUP(Tabela2[[#This Row],[VENDEDOR]],[1]!Tabela5[VENDEDOR],[1]!Tabela5[META A])</calculatedColumnFormula>
    </tableColumn>
    <tableColumn id="4" xr3:uid="{018C7BF7-4C79-4668-95B2-CBF2E10B657D}" name="ATINGIDO" dataDxfId="23">
      <calculatedColumnFormula>_xlfn.XLOOKUP(Tabela2[[#This Row],[VENDEDOR]],'[1]BASE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VENDEDOR" dataDxfId="18"/>
    <tableColumn id="2" xr3:uid="{A71A6478-3B31-4F54-A10C-E6EC00E95E0B}" name="REFERENCIA" dataDxfId="17"/>
    <tableColumn id="3" xr3:uid="{9F5EDCDD-D442-4FBE-9C74-26084F24EFCB}" name="COMPROMISSO" dataDxfId="16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1" totalsRowDxfId="10"/>
    <tableColumn id="2" xr3:uid="{4F0BAF4D-D0FC-4B7C-8FF4-8DDD6505FDA1}" name="REFERENCIA" dataDxfId="9" totalsRowDxfId="8"/>
    <tableColumn id="3" xr3:uid="{CCB341E8-8BC2-4209-AEA0-D6F26BFCB356}" name="META A" dataDxfId="7" totalsRowDxfId="6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5" totalsRowDxfId="4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E1" zoomScaleNormal="100" workbookViewId="0">
      <selection activeCell="P11" sqref="P11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608500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4718520.3999999976</v>
      </c>
      <c r="D5" s="2"/>
      <c r="E5" s="4"/>
      <c r="F5" s="4"/>
      <c r="G5" s="4"/>
      <c r="H5" s="4" t="s">
        <v>1</v>
      </c>
      <c r="I5" s="7">
        <f>SUM(J10:J27)</f>
        <v>8120.18</v>
      </c>
      <c r="J5" s="4"/>
      <c r="K5" s="4"/>
      <c r="L5" s="4"/>
      <c r="M5" s="4"/>
      <c r="N5" s="4" t="s">
        <v>1</v>
      </c>
      <c r="O5" s="7">
        <f>SUM(P11:P17)</f>
        <v>2080.6</v>
      </c>
      <c r="P5" s="4"/>
      <c r="Q5" s="4"/>
      <c r="R5" s="4"/>
      <c r="S5" s="4"/>
      <c r="T5" s="4" t="s">
        <v>1</v>
      </c>
      <c r="U5" s="4">
        <f>SUM(V10:V26)</f>
        <v>646</v>
      </c>
      <c r="V5" s="4"/>
      <c r="W5" s="4"/>
    </row>
    <row r="6" spans="1:23" x14ac:dyDescent="0.25">
      <c r="A6" s="4"/>
      <c r="B6" s="4" t="s">
        <v>2</v>
      </c>
      <c r="C6" s="2">
        <f>C4-C5</f>
        <v>873979.60000000242</v>
      </c>
      <c r="D6" s="2"/>
      <c r="E6" s="4"/>
      <c r="F6" s="4"/>
      <c r="G6" s="4"/>
      <c r="H6" s="4" t="s">
        <v>2</v>
      </c>
      <c r="I6" s="7">
        <f>I4-I5</f>
        <v>191879.82</v>
      </c>
      <c r="J6" s="4"/>
      <c r="K6" s="4"/>
      <c r="L6" s="4"/>
      <c r="M6" s="4"/>
      <c r="N6" s="4" t="s">
        <v>2</v>
      </c>
      <c r="O6" s="7">
        <f>O4-O5</f>
        <v>606419.4</v>
      </c>
      <c r="P6" s="4"/>
      <c r="Q6" s="4"/>
      <c r="R6" s="4"/>
      <c r="S6" s="4"/>
      <c r="T6" s="4" t="s">
        <v>2</v>
      </c>
      <c r="U6" s="4">
        <f>U4-U5</f>
        <v>112</v>
      </c>
      <c r="V6" s="4"/>
      <c r="W6" s="4"/>
    </row>
    <row r="7" spans="1:23" x14ac:dyDescent="0.25">
      <c r="A7" s="4"/>
      <c r="B7" s="4" t="s">
        <v>3</v>
      </c>
      <c r="C7" s="3">
        <f>1-(C6/C4)</f>
        <v>0.84372291461779125</v>
      </c>
      <c r="D7" s="2"/>
      <c r="E7" s="4"/>
      <c r="F7" s="4"/>
      <c r="G7" s="4"/>
      <c r="H7" s="4" t="s">
        <v>3</v>
      </c>
      <c r="I7" s="3">
        <f>1-(I6/I4)</f>
        <v>4.060089999999994E-2</v>
      </c>
      <c r="J7" s="4"/>
      <c r="K7" s="4"/>
      <c r="L7" s="4"/>
      <c r="M7" s="4"/>
      <c r="N7" s="4" t="s">
        <v>3</v>
      </c>
      <c r="O7" s="3">
        <f>1-(O6/O4)</f>
        <v>3.4192276088742535E-3</v>
      </c>
      <c r="P7" s="4"/>
      <c r="Q7" s="4"/>
      <c r="R7" s="4"/>
      <c r="S7" s="4"/>
      <c r="T7" s="4" t="s">
        <v>3</v>
      </c>
      <c r="U7" s="3">
        <f>1-(U6/U4)</f>
        <v>0.85224274406332456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50860.459999999977</v>
      </c>
      <c r="E10" s="27">
        <f>Tabela13[[#This Row],[META A]]-Tabela13[[#This Row],[ATINGIDO]]</f>
        <v>13639.540000000023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19700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19700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306749.96999999962</v>
      </c>
      <c r="E11" s="24">
        <f>Tabela13[[#This Row],[META A]]-Tabela13[[#This Row],[ATINGIDO]]</f>
        <v>18250.030000000377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14940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14940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 cm="1">
        <f t="array" ref="P11">IFERROR(_xlfn.XLOOKUP(M11,[1]!Tabela3[[#All],[VENDEDOR]],INDEX([1]!Tabela3[#All],0,MATCH($O$9,[1]!Tabela3[#Headers],0))),0)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49</v>
      </c>
      <c r="W11" s="19">
        <f t="shared" ref="W11:W20" si="0">U11-V11</f>
        <v>3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166.49</v>
      </c>
      <c r="E12" s="27">
        <f>Tabela13[[#This Row],[META A]]-Tabela13[[#This Row],[ATINGIDO]]</f>
        <v>833.51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14750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14750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_xlfn.XLOOKUP(Tabela8[[#This Row],[VENDEDOR]],'[1]BASE PYTHON'!$H:$H,'[1]BASE PYTHON'!$I:$I,0)</f>
        <v>0</v>
      </c>
      <c r="Q12" s="2">
        <f>O12-P12</f>
        <v>69000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65158.469999999965</v>
      </c>
      <c r="E13" s="24">
        <f>Tabela13[[#This Row],[META A]]-Tabela13[[#This Row],[ATINGIDO]]</f>
        <v>24841.530000000035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22120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22120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_xlfn.XLOOKUP(Tabela8[[#This Row],[VENDEDOR]],'[1]BASE PYTHON'!$H:$H,'[1]BASE PYTHON'!$I:$I,0)</f>
        <v>0</v>
      </c>
      <c r="Q13" s="2">
        <f t="shared" ref="Q13:Q17" si="1">O13-P13</f>
        <v>138500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57</v>
      </c>
      <c r="W13" s="19">
        <f t="shared" si="0"/>
        <v>2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213597.55999999988</v>
      </c>
      <c r="E14" s="27">
        <f>Tabela13[[#This Row],[META A]]-Tabela13[[#This Row],[ATINGIDO]]</f>
        <v>59402.440000000119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10330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10330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_xlfn.XLOOKUP(Tabela8[[#This Row],[VENDEDOR]],'[1]BASE PYTHON'!$H:$H,'[1]BASE PYTHON'!$I:$I,0)</f>
        <v>0</v>
      </c>
      <c r="Q14" s="2">
        <f t="shared" si="1"/>
        <v>185000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24</v>
      </c>
      <c r="W14" s="19">
        <f t="shared" si="0"/>
        <v>3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63542.360000000081</v>
      </c>
      <c r="E15" s="24">
        <f>Tabela13[[#This Row],[META A]]-Tabela13[[#This Row],[ATINGIDO]]</f>
        <v>14457.639999999919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25680</v>
      </c>
      <c r="J15" s="22">
        <f>_xlfn.XLOOKUP(Tabela5[[#This Row],[VENDEDOR]],'[1]BASE PYTHON'!$H:$H,'[1]BASE PYTHON'!$I:$I,0)</f>
        <v>4856.7000000000007</v>
      </c>
      <c r="K15" s="23">
        <f>Tabela5[[#This Row],[COMPROMISSO]]-Tabela5[[#This Row],[ATINGIDO]]</f>
        <v>20823.3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_xlfn.XLOOKUP(Tabela8[[#This Row],[VENDEDOR]],'[1]BASE PYTHON'!$H:$H,'[1]BASE PYTHON'!$I:$I,0)</f>
        <v>2080.6</v>
      </c>
      <c r="Q15" s="2">
        <f t="shared" si="1"/>
        <v>147919.4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281298.46999999991</v>
      </c>
      <c r="E16" s="27">
        <f>Tabela13[[#This Row],[META A]]-Tabela13[[#This Row],[ATINGIDO]]</f>
        <v>43701.530000000086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9690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9690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_xlfn.XLOOKUP(Tabela8[[#This Row],[VENDEDOR]],'[1]BASE PYTHON'!$H:$H,'[1]BASE PYTHON'!$I:$I,0)</f>
        <v>0</v>
      </c>
      <c r="Q16" s="2">
        <f t="shared" si="1"/>
        <v>66000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289653.48000000004</v>
      </c>
      <c r="E17" s="24">
        <f>Tabela13[[#This Row],[META A]]-Tabela13[[#This Row],[ATINGIDO]]</f>
        <v>-119653.48000000004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7260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7260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51</v>
      </c>
      <c r="W17" s="19">
        <f t="shared" si="0"/>
        <v>-2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940217.00000000012</v>
      </c>
      <c r="E18" s="27">
        <f>Tabela13[[#This Row],[META A]]-Tabela13[[#This Row],[ATINGIDO]]</f>
        <v>9782.9999999998836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10040</v>
      </c>
      <c r="J18" s="22">
        <f>_xlfn.XLOOKUP(Tabela5[[#This Row],[VENDEDOR]],'[1]BASE PYTHON'!$H:$H,'[1]BASE PYTHON'!$I:$I,0)</f>
        <v>771.3</v>
      </c>
      <c r="K18" s="23">
        <f>Tabela5[[#This Row],[COMPROMISSO]]-Tabela5[[#This Row],[ATINGIDO]]</f>
        <v>9268.7000000000007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10180</v>
      </c>
      <c r="J19" s="22">
        <f>_xlfn.XLOOKUP(Tabela5[[#This Row],[VENDEDOR]],'[1]BASE PYTHON'!$H:$H,'[1]BASE PYTHON'!$I:$I,0)</f>
        <v>1351.3</v>
      </c>
      <c r="K19" s="23">
        <f>Tabela5[[#This Row],[COMPROMISSO]]-Tabela5[[#This Row],[ATINGIDO]]</f>
        <v>8828.7000000000007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63</v>
      </c>
      <c r="W19" s="19">
        <f t="shared" si="0"/>
        <v>-2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302147.56999999995</v>
      </c>
      <c r="E20" s="27">
        <f>Tabela13[[#This Row],[META A]]-Tabela13[[#This Row],[ATINGIDO]]</f>
        <v>257852.43000000005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13240</v>
      </c>
      <c r="J20" s="22">
        <f>_xlfn.XLOOKUP(Tabela5[[#This Row],[VENDEDOR]],'[1]BASE PYTHON'!$H:$H,'[1]BASE PYTHON'!$I:$I,0)</f>
        <v>969.4</v>
      </c>
      <c r="K20" s="23">
        <f>Tabela5[[#This Row],[COMPROMISSO]]-Tabela5[[#This Row],[ATINGIDO]]</f>
        <v>12270.6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30</v>
      </c>
      <c r="W20" s="19">
        <f t="shared" si="0"/>
        <v>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335556.29999999958</v>
      </c>
      <c r="E21" s="24">
        <f>Tabela13[[#This Row],[META A]]-Tabela13[[#This Row],[ATINGIDO]]</f>
        <v>79443.700000000419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7840</v>
      </c>
      <c r="J21" s="22">
        <f>_xlfn.XLOOKUP(Tabela5[[#This Row],[VENDEDOR]],'[1]BASE PYTHON'!$H:$H,'[1]BASE PYTHON'!$I:$I,0)</f>
        <v>171.48</v>
      </c>
      <c r="K21" s="23">
        <f>Tabela5[[#This Row],[COMPROMISSO]]-Tabela5[[#This Row],[ATINGIDO]]</f>
        <v>7668.52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88046.659999999916</v>
      </c>
      <c r="E22" s="27">
        <f>Tabela13[[#This Row],[META A]]-Tabela13[[#This Row],[ATINGIDO]]</f>
        <v>33953.340000000084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9750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9750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157351.63499999949</v>
      </c>
      <c r="E23" s="24">
        <f>Tabela13[[#This Row],[META A]]-Tabela13[[#This Row],[ATINGIDO]]</f>
        <v>37648.365000000515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6760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6760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40</v>
      </c>
      <c r="W23" s="19">
        <f t="shared" si="2"/>
        <v>15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111025.40999999999</v>
      </c>
      <c r="E24" s="27">
        <f>Tabela13[[#This Row],[META A]]-Tabela13[[#This Row],[ATINGIDO]]</f>
        <v>28974.590000000011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3290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3290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23</v>
      </c>
      <c r="W24" s="19">
        <f t="shared" si="2"/>
        <v>14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111809.97999999968</v>
      </c>
      <c r="E25" s="24">
        <f>Tabela13[[#This Row],[META A]]-Tabela13[[#This Row],[ATINGIDO]]</f>
        <v>30690.020000000324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5360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5360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175452.48</v>
      </c>
      <c r="Q25" s="7">
        <f>O25-P25</f>
        <v>443865.7018181819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44</v>
      </c>
      <c r="W25" s="19">
        <f t="shared" si="2"/>
        <v>7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61909.870000000177</v>
      </c>
      <c r="E26" s="27">
        <f>Tabela13[[#This Row],[META A]]-Tabela13[[#This Row],[ATINGIDO]]</f>
        <v>28090.129999999823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3670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3670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28</v>
      </c>
      <c r="W26" s="19">
        <f t="shared" si="2"/>
        <v>7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204894.11999999947</v>
      </c>
      <c r="E27" s="24">
        <f>Tabela13[[#This Row],[META A]]-Tabela13[[#This Row],[ATINGIDO]]</f>
        <v>32605.880000000529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5400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5400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271333.46499999968</v>
      </c>
      <c r="E28" s="27">
        <f>Tabela13[[#This Row],[META A]]-Tabela13[[#This Row],[ATINGIDO]]</f>
        <v>47166.535000000324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107460.07999999997</v>
      </c>
      <c r="E29" s="24">
        <f>Tabela13[[#This Row],[META A]]-Tabela13[[#This Row],[ATINGIDO]]</f>
        <v>67539.920000000027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108703.64999999989</v>
      </c>
      <c r="E30" s="27">
        <f>Tabela13[[#This Row],[META A]]-Tabela13[[#This Row],[ATINGIDO]]</f>
        <v>25796.350000000108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136131.16999999998</v>
      </c>
      <c r="E31" s="24">
        <f>Tabela13[[#This Row],[META A]]-Tabela13[[#This Row],[ATINGIDO]]</f>
        <v>30868.830000000016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207544.25999999981</v>
      </c>
      <c r="E32" s="27">
        <f>Tabela13[[#This Row],[META A]]-Tabela13[[#This Row],[ATINGIDO]]</f>
        <v>52455.740000000194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72382.990000000049</v>
      </c>
      <c r="E33" s="24">
        <f>Tabela13[[#This Row],[META A]]-Tabela13[[#This Row],[ATINGIDO]]</f>
        <v>27617.009999999951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4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3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36745.17000000002</v>
      </c>
      <c r="E34" s="27">
        <f>Tabela13[[#This Row],[META A]]-Tabela13[[#This Row],[ATINGIDO]]</f>
        <v>18254.82999999998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581717.73500000464</v>
      </c>
      <c r="K34" s="7">
        <f t="shared" si="4"/>
        <v>69532.264999995357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92</v>
      </c>
      <c r="W34" s="6">
        <f>U34-V34</f>
        <v>80.272727272727252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66010.880000000005</v>
      </c>
      <c r="E35" s="24">
        <f>Tabela13[[#This Row],[META A]]-Tabela13[[#This Row],[ATINGIDO]]</f>
        <v>6989.1199999999953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242772.17499999996</v>
      </c>
      <c r="K35" s="7">
        <f>I35-J35</f>
        <v>408477.82500000007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5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5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1266900.8249999946</v>
      </c>
      <c r="E43" s="7">
        <f t="shared" si="5"/>
        <v>3894.6295454599895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418224.65500000084</v>
      </c>
      <c r="E44" s="7">
        <f t="shared" ref="E44" si="6">C44-D44</f>
        <v>852570.79954545374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1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2026-07-28T12:15:07Z</dcterms:modified>
</cp:coreProperties>
</file>