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CFBD4AD-4C9E-4B1C-9034-7166A90C322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4" i="2"/>
  <c r="P20" i="2"/>
  <c r="J33" i="2"/>
  <c r="D40" i="2"/>
  <c r="V30" i="2"/>
  <c r="D39" i="2"/>
  <c r="P21" i="2"/>
  <c r="D41" i="2"/>
  <c r="J32" i="2"/>
  <c r="P22" i="2"/>
  <c r="P23" i="2"/>
  <c r="V32" i="2"/>
  <c r="V33" i="2"/>
  <c r="V31" i="2"/>
  <c r="J31" i="2"/>
  <c r="D42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<sst xmlns="http://schemas.openxmlformats.org/spreadsheetml/2006/main" count="215" uniqueCount="54">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</sst>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26/05/2026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48005.060000000005</v>
          </cell>
          <cell r="H5" t="str">
            <v>CAMPINAS</v>
          </cell>
          <cell r="I5">
            <v>3931.95</v>
          </cell>
        </row>
        <row r="6">
          <cell r="E6" t="str">
            <v>CENTRO</v>
          </cell>
          <cell r="F6">
            <v>258379.61999999947</v>
          </cell>
          <cell r="H6" t="str">
            <v>CENTRO</v>
          </cell>
          <cell r="I6">
            <v>7528.6500000000024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ECOMMERCE</v>
          </cell>
          <cell r="I7">
            <v>150.24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INDAIATUBA</v>
          </cell>
          <cell r="I8">
            <v>1301.71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76120.789999999964</v>
          </cell>
          <cell r="H9" t="str">
            <v>INTERLAGOS</v>
          </cell>
          <cell r="I9">
            <v>4984.55</v>
          </cell>
          <cell r="K9" t="str">
            <v>CENTRO</v>
          </cell>
          <cell r="N9">
            <v>56</v>
          </cell>
        </row>
        <row r="10">
          <cell r="E10" t="str">
            <v>INTERLAGOS</v>
          </cell>
          <cell r="F10">
            <v>189630.79999999981</v>
          </cell>
          <cell r="H10" t="str">
            <v>JUNDIAI</v>
          </cell>
          <cell r="I10">
            <v>3404.1999999999994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68074.979999999967</v>
          </cell>
          <cell r="H11" t="str">
            <v>LESTE</v>
          </cell>
          <cell r="I11">
            <v>2045.9</v>
          </cell>
          <cell r="K11" t="str">
            <v>INTERLAGOS</v>
          </cell>
          <cell r="N11">
            <v>39</v>
          </cell>
        </row>
        <row r="12">
          <cell r="E12" t="str">
            <v>KEY ABC</v>
          </cell>
          <cell r="F12">
            <v>249240.74</v>
          </cell>
          <cell r="H12" t="str">
            <v>LESTE MOOCA</v>
          </cell>
          <cell r="I12">
            <v>7483.15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160151.88999999984</v>
          </cell>
          <cell r="H13" t="str">
            <v>LESTE PENHA</v>
          </cell>
          <cell r="I13">
            <v>6050.5199999999986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754319.69999999972</v>
          </cell>
          <cell r="H14" t="str">
            <v>LESTE TATUAPE</v>
          </cell>
          <cell r="I14">
            <v>2781.4500000000003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73448.850000000035</v>
          </cell>
          <cell r="H15" t="str">
            <v>MOGI</v>
          </cell>
          <cell r="I15">
            <v>1074.05</v>
          </cell>
          <cell r="K15" t="str">
            <v>LESTE PENHA</v>
          </cell>
          <cell r="N15">
            <v>14</v>
          </cell>
        </row>
        <row r="16">
          <cell r="E16" t="str">
            <v>KEY SP</v>
          </cell>
          <cell r="F16">
            <v>401603.64999999979</v>
          </cell>
          <cell r="H16" t="str">
            <v>NORTE</v>
          </cell>
          <cell r="I16">
            <v>5105.25</v>
          </cell>
          <cell r="K16" t="str">
            <v>LESTE TATUAPE</v>
          </cell>
          <cell r="N16">
            <v>46</v>
          </cell>
        </row>
        <row r="17">
          <cell r="E17" t="str">
            <v>KEY ZL</v>
          </cell>
          <cell r="F17">
            <v>290386.04999999981</v>
          </cell>
          <cell r="H17" t="str">
            <v>OSASCO</v>
          </cell>
          <cell r="I17">
            <v>18733.109999999997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89097.179999999964</v>
          </cell>
          <cell r="H18" t="str">
            <v>PERDIZES</v>
          </cell>
          <cell r="I18">
            <v>5737.8000000000011</v>
          </cell>
          <cell r="K18" t="str">
            <v>NORTE</v>
          </cell>
          <cell r="N18">
            <v>41</v>
          </cell>
        </row>
        <row r="19">
          <cell r="E19" t="str">
            <v>LESTE MOOCA</v>
          </cell>
          <cell r="F19">
            <v>128549.60999999965</v>
          </cell>
          <cell r="H19" t="str">
            <v>PIRITUBA</v>
          </cell>
          <cell r="I19">
            <v>4076.0500000000006</v>
          </cell>
          <cell r="K19" t="str">
            <v>OSASCO</v>
          </cell>
          <cell r="N19">
            <v>70</v>
          </cell>
        </row>
        <row r="20">
          <cell r="E20" t="str">
            <v>LESTE PENHA</v>
          </cell>
          <cell r="F20">
            <v>100430.04</v>
          </cell>
          <cell r="H20" t="str">
            <v>SANTO ANDRE</v>
          </cell>
          <cell r="I20">
            <v>3169.05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114463.64999999938</v>
          </cell>
          <cell r="H21" t="str">
            <v>SBC</v>
          </cell>
          <cell r="I21">
            <v>13809.310000000001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63470.970000000125</v>
          </cell>
          <cell r="H22" t="str">
            <v>SJC</v>
          </cell>
          <cell r="I22">
            <v>1190.3599999999999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189006.12999999957</v>
          </cell>
          <cell r="H23" t="str">
            <v>SJC/VALE</v>
          </cell>
          <cell r="I23">
            <v>1415.1300000000003</v>
          </cell>
          <cell r="K23" t="str">
            <v>SBC</v>
          </cell>
          <cell r="N23">
            <v>41</v>
          </cell>
        </row>
        <row r="24">
          <cell r="E24" t="str">
            <v>OSASCO</v>
          </cell>
          <cell r="F24">
            <v>269497.81500000006</v>
          </cell>
          <cell r="H24" t="str">
            <v>VENDEDOR INTERNO 1</v>
          </cell>
          <cell r="I24">
            <v>3131.67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82903.510000000024</v>
          </cell>
          <cell r="H25" t="str">
            <v>Total Geral</v>
          </cell>
          <cell r="I25">
            <v>97104.100000000035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583</v>
          </cell>
        </row>
        <row r="27">
          <cell r="E27" t="str">
            <v>PIRITUBA</v>
          </cell>
          <cell r="F27">
            <v>112473.96999999986</v>
          </cell>
        </row>
        <row r="28">
          <cell r="E28" t="str">
            <v>SANTO ANDRE</v>
          </cell>
          <cell r="F28">
            <v>134693.04</v>
          </cell>
        </row>
        <row r="29">
          <cell r="E29" t="str">
            <v>SBC</v>
          </cell>
          <cell r="F29">
            <v>223288.15999999983</v>
          </cell>
        </row>
        <row r="30">
          <cell r="E30" t="str">
            <v>SJC</v>
          </cell>
          <cell r="F30">
            <v>63645.500000000065</v>
          </cell>
        </row>
        <row r="31">
          <cell r="E31" t="str">
            <v>SJC/VALE</v>
          </cell>
          <cell r="F31">
            <v>38309.610000000022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4346605.5649999604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K37" sqref="K3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4345993.6649999982</v>
      </c>
      <c r="D5" s="2"/>
      <c r="E5" s="4"/>
      <c r="F5" s="4"/>
      <c r="G5" s="4"/>
      <c r="H5" s="4" t="s">
        <v>1</v>
      </c>
      <c r="I5" s="7">
        <f>SUM(J10:J28)</f>
        <v>96953.860000000015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583</v>
      </c>
      <c r="V5" s="4"/>
      <c r="W5" s="4"/>
    </row>
    <row r="6" spans="1:23" x14ac:dyDescent="0.25">
      <c r="A6" s="4"/>
      <c r="B6" s="4" t="s">
        <v>2</v>
      </c>
      <c r="C6" s="2">
        <f>C4-C5</f>
        <v>835506.33500000183</v>
      </c>
      <c r="D6" s="2"/>
      <c r="E6" s="4"/>
      <c r="F6" s="4"/>
      <c r="G6" s="4"/>
      <c r="H6" s="4" t="s">
        <v>2</v>
      </c>
      <c r="I6" s="7">
        <f>I4-I5</f>
        <v>103076.13999999998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217</v>
      </c>
      <c r="V6" s="4"/>
      <c r="W6" s="4"/>
    </row>
    <row r="7" spans="1:23" x14ac:dyDescent="0.25">
      <c r="A7" s="4"/>
      <c r="B7" s="4" t="s">
        <v>3</v>
      </c>
      <c r="C7" s="3">
        <f>C5/C4</f>
        <v>0.83875203415999189</v>
      </c>
      <c r="D7" s="2"/>
      <c r="E7" s="4"/>
      <c r="F7" s="4"/>
      <c r="G7" s="4"/>
      <c r="H7" s="4" t="s">
        <v>3</v>
      </c>
      <c r="I7" s="3">
        <f>I5/I4</f>
        <v>0.48469659551067346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0.72875000000000001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48005.060000000005</v>
      </c>
      <c r="E10" s="7">
        <f>C10-D10</f>
        <v>16494.939999999995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18733.109999999997</v>
      </c>
      <c r="K10" s="7">
        <f>I10-J10</f>
        <v>2266.8900000000031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258379.61999999947</v>
      </c>
      <c r="E11" s="7">
        <f t="shared" ref="E11:E36" si="0">C11-D11</f>
        <v>56620.380000000529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5105.25</v>
      </c>
      <c r="K11" s="7">
        <f t="shared" ref="K11:K28" si="1">I11-J11</f>
        <v>8894.75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56</v>
      </c>
      <c r="W11" s="4">
        <f t="shared" ref="W11:W27" si="3">U11-V11</f>
        <v>16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4076.0500000000006</v>
      </c>
      <c r="K12" s="7">
        <f t="shared" si="1"/>
        <v>10143.949999999999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34</v>
      </c>
      <c r="W12" s="4">
        <f t="shared" si="3"/>
        <v>6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76120.789999999964</v>
      </c>
      <c r="E13" s="7">
        <f t="shared" si="0"/>
        <v>3879.2100000000355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13809.310000000001</v>
      </c>
      <c r="K13" s="7">
        <f t="shared" si="1"/>
        <v>5190.6899999999987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39</v>
      </c>
      <c r="W13" s="4">
        <f t="shared" si="3"/>
        <v>19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189630.79999999981</v>
      </c>
      <c r="E14" s="7">
        <f t="shared" si="0"/>
        <v>25369.200000000186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2781.4500000000003</v>
      </c>
      <c r="K14" s="7">
        <f t="shared" si="1"/>
        <v>5468.5499999999993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19</v>
      </c>
      <c r="W14" s="4">
        <f>U14-V14</f>
        <v>10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68074.979999999967</v>
      </c>
      <c r="E15" s="7">
        <f t="shared" si="0"/>
        <v>-74.979999999966822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7528.6500000000024</v>
      </c>
      <c r="K15" s="7">
        <f t="shared" si="1"/>
        <v>17801.349999999999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249240.74</v>
      </c>
      <c r="E16" s="7">
        <f t="shared" si="0"/>
        <v>10759.260000000009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3169.05</v>
      </c>
      <c r="K16" s="7">
        <f t="shared" si="1"/>
        <v>6780.95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1074.05</v>
      </c>
      <c r="K17" s="7">
        <f t="shared" si="1"/>
        <v>2115.9499999999998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2045.9</v>
      </c>
      <c r="K18" s="7">
        <f t="shared" si="1"/>
        <v>3664.1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41</v>
      </c>
      <c r="W18" s="4">
        <f t="shared" si="3"/>
        <v>8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73448.850000000035</v>
      </c>
      <c r="E19" s="7">
        <f t="shared" si="0"/>
        <v>41551.149999999965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7483.15</v>
      </c>
      <c r="K19" s="7">
        <f t="shared" si="1"/>
        <v>6516.85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70</v>
      </c>
      <c r="W19" s="4">
        <f t="shared" si="3"/>
        <v>3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401603.64999999979</v>
      </c>
      <c r="E20" s="7">
        <f t="shared" si="0"/>
        <v>98396.35000000021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4984.55</v>
      </c>
      <c r="K20" s="7">
        <f t="shared" si="1"/>
        <v>10025.450000000001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505000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-15661.219999999914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14</v>
      </c>
      <c r="W20" s="4">
        <f t="shared" si="3"/>
        <v>25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290386.04999999981</v>
      </c>
      <c r="E21" s="7">
        <f t="shared" si="0"/>
        <v>137113.95000000019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5737.8000000000011</v>
      </c>
      <c r="K21" s="7">
        <f t="shared" si="1"/>
        <v>4172.1999999999989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627000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-157238.58000000031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89097.179999999964</v>
      </c>
      <c r="E22" s="7">
        <f t="shared" si="0"/>
        <v>30402.820000000036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3404.1999999999994</v>
      </c>
      <c r="K22" s="7">
        <f t="shared" si="1"/>
        <v>-734.19999999999936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586500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109246.73000000062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128549.60999999965</v>
      </c>
      <c r="E23" s="7">
        <f t="shared" si="0"/>
        <v>28450.390000000349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6050.5199999999986</v>
      </c>
      <c r="K23" s="7">
        <f t="shared" si="1"/>
        <v>6849.4800000000014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717500</v>
      </c>
      <c r="P23" s="7">
        <f>IFERROR(GETPIVOTDATA("[Measures].[Soma de TOTAL 3]",'[1]BASE PYTHON'!$P$32,"[Intervalo 2].[SEMANA]","[Intervalo 2].[SEMANA].&amp;[5]"),0)</f>
        <v>146997.81</v>
      </c>
      <c r="Q23" s="7">
        <f>O23-P23</f>
        <v>570502.18999999994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100430.04</v>
      </c>
      <c r="E24" s="7">
        <f t="shared" si="0"/>
        <v>19569.960000000006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1301.71</v>
      </c>
      <c r="K24" s="7">
        <f t="shared" si="1"/>
        <v>4158.29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41</v>
      </c>
      <c r="W24" s="4">
        <f t="shared" si="3"/>
        <v>12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114463.64999999938</v>
      </c>
      <c r="E25" s="7">
        <f t="shared" si="0"/>
        <v>20536.350000000617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3131.67</v>
      </c>
      <c r="K25" s="7">
        <f t="shared" si="1"/>
        <v>1678.33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63470.970000000125</v>
      </c>
      <c r="E26" s="7">
        <f t="shared" si="0"/>
        <v>26529.029999999875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1190.3599999999999</v>
      </c>
      <c r="K26" s="7">
        <f t="shared" si="1"/>
        <v>5619.64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46</v>
      </c>
      <c r="W26" s="4">
        <f t="shared" si="3"/>
        <v>-7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189006.12999999957</v>
      </c>
      <c r="E27" s="7">
        <f t="shared" si="0"/>
        <v>45993.870000000432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1415.1300000000003</v>
      </c>
      <c r="K27" s="7">
        <f t="shared" si="1"/>
        <v>1674.8699999999997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269497.81500000006</v>
      </c>
      <c r="E28" s="7">
        <f t="shared" si="0"/>
        <v>32502.184999999939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3931.95</v>
      </c>
      <c r="K28" s="7">
        <f t="shared" si="1"/>
        <v>788.05000000000018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82903.510000000024</v>
      </c>
      <c r="E29" s="7">
        <f t="shared" si="0"/>
        <v>30096.489999999976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112473.96999999986</v>
      </c>
      <c r="E31" s="7">
        <f t="shared" si="0"/>
        <v>13526.030000000144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134693.04</v>
      </c>
      <c r="E32" s="7">
        <f t="shared" si="0"/>
        <v>32306.959999999992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668938.42000000039</v>
      </c>
      <c r="K32" s="7">
        <f t="shared" ref="K32:K34" si="4">I32-J32</f>
        <v>31061.579999999609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223288.15999999983</v>
      </c>
      <c r="E33" s="7">
        <f t="shared" si="0"/>
        <v>31711.840000000171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684987.49500000139</v>
      </c>
      <c r="K33" s="7">
        <f t="shared" si="4"/>
        <v>15012.504999998608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109</v>
      </c>
      <c r="W33" s="6">
        <f t="shared" ref="W33" si="5">U33-V33</f>
        <v>91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63645.500000000065</v>
      </c>
      <c r="E34" s="7">
        <f t="shared" si="0"/>
        <v>36354.499999999935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313550.75500000105</v>
      </c>
      <c r="K34" s="7">
        <f t="shared" si="4"/>
        <v>386449.24499999895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38309.610000000022</v>
      </c>
      <c r="E35" s="7">
        <f t="shared" si="0"/>
        <v>16690.389999999978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1184379.5950000002</v>
      </c>
      <c r="E39" s="7">
        <f>C39-D39</f>
        <v>95620.404999999795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1174744.2449999929</v>
      </c>
      <c r="E41" s="7">
        <f t="shared" si="6"/>
        <v>105255.75500000711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461867.60500000074</v>
      </c>
      <c r="E42" s="7">
        <f t="shared" si="6"/>
        <v>818132.39499999932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2026-05-26T15:55:54Z</dcterms:modified>
</cp:coreProperties>
</file>