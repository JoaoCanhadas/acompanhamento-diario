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EB070F8-B543-4619-A61E-C2ED30E1DF6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2" i="2"/>
  <c r="V31" i="2"/>
  <c r="V33" i="2"/>
  <c r="D40" i="2"/>
  <c r="D42" i="2"/>
  <c r="V32" i="2"/>
  <c r="V30" i="2"/>
  <c r="D39" i="2"/>
  <c r="J34" i="2"/>
  <c r="J33" i="2"/>
  <c r="P21" i="2"/>
  <c r="P23" i="2"/>
  <c r="D41" i="2"/>
  <c r="J31" i="2"/>
  <c r="P22" i="2"/>
  <c r="P20" i="2"/>
  <c r="E39" i="2" l="1"/>
  <c r="C5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<sst xmlns="http://schemas.openxmlformats.org/spreadsheetml/2006/main" count="215" uniqueCount="54">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</sst>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44964.009999999995</v>
          </cell>
          <cell r="H5" t="str">
            <v>CAMPINAS</v>
          </cell>
          <cell r="I5">
            <v>5348.5</v>
          </cell>
        </row>
        <row r="6">
          <cell r="E6" t="str">
            <v>CENTRO</v>
          </cell>
          <cell r="F6">
            <v>249898.81999999957</v>
          </cell>
          <cell r="H6" t="str">
            <v>CENTRO</v>
          </cell>
          <cell r="I6">
            <v>21994.150000000009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7505.1499999999987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17077.169999999998</v>
          </cell>
          <cell r="K8" t="str">
            <v>CAMPINAS</v>
          </cell>
          <cell r="N8">
            <v>18</v>
          </cell>
        </row>
        <row r="9">
          <cell r="E9" t="str">
            <v>INDAIATUBA</v>
          </cell>
          <cell r="F9">
            <v>74819.079999999987</v>
          </cell>
          <cell r="H9" t="str">
            <v>JUNDIAI</v>
          </cell>
          <cell r="I9">
            <v>4077.7799999999997</v>
          </cell>
          <cell r="K9" t="str">
            <v>CENTRO</v>
          </cell>
          <cell r="N9">
            <v>53</v>
          </cell>
        </row>
        <row r="10">
          <cell r="E10" t="str">
            <v>INTERLAGOS</v>
          </cell>
          <cell r="F10">
            <v>184166.54999999987</v>
          </cell>
          <cell r="H10" t="str">
            <v>LESTE</v>
          </cell>
          <cell r="I10">
            <v>13378.199999999999</v>
          </cell>
          <cell r="K10" t="str">
            <v>INDAIATUBA</v>
          </cell>
          <cell r="N10">
            <v>30</v>
          </cell>
        </row>
        <row r="11">
          <cell r="E11" t="str">
            <v>JUNDIAI</v>
          </cell>
          <cell r="F11">
            <v>64670.779999999977</v>
          </cell>
          <cell r="H11" t="str">
            <v>LESTE MOOCA</v>
          </cell>
          <cell r="I11">
            <v>14749.869999999997</v>
          </cell>
          <cell r="K11" t="str">
            <v>INTERLAGOS</v>
          </cell>
          <cell r="N11">
            <v>38</v>
          </cell>
        </row>
        <row r="12">
          <cell r="E12" t="str">
            <v>KEY ABC</v>
          </cell>
          <cell r="F12">
            <v>246499.13999999998</v>
          </cell>
          <cell r="H12" t="str">
            <v>LESTE PENHA</v>
          </cell>
          <cell r="I12">
            <v>13846.7</v>
          </cell>
          <cell r="K12" t="str">
            <v>JUNDIAI</v>
          </cell>
          <cell r="N12">
            <v>18</v>
          </cell>
        </row>
        <row r="13">
          <cell r="E13" t="str">
            <v>KEY CASA</v>
          </cell>
          <cell r="F13">
            <v>160151.88999999984</v>
          </cell>
          <cell r="H13" t="str">
            <v>LESTE TATUAPE</v>
          </cell>
          <cell r="I13">
            <v>10806.53</v>
          </cell>
          <cell r="K13" t="str">
            <v>LESTE</v>
          </cell>
          <cell r="N13">
            <v>19</v>
          </cell>
        </row>
        <row r="14">
          <cell r="E14" t="str">
            <v>KEY INTERIOR</v>
          </cell>
          <cell r="F14">
            <v>745690.09999999986</v>
          </cell>
          <cell r="H14" t="str">
            <v>MOGI</v>
          </cell>
          <cell r="I14">
            <v>5293.26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66182.300000000047</v>
          </cell>
          <cell r="H15" t="str">
            <v>NORTE</v>
          </cell>
          <cell r="I15">
            <v>15912.569999999994</v>
          </cell>
          <cell r="K15" t="str">
            <v>LESTE PENHA</v>
          </cell>
          <cell r="N15">
            <v>13</v>
          </cell>
        </row>
        <row r="16">
          <cell r="E16" t="str">
            <v>KEY SP</v>
          </cell>
          <cell r="F16">
            <v>398182.64999999979</v>
          </cell>
          <cell r="H16" t="str">
            <v>OSASCO</v>
          </cell>
          <cell r="I16">
            <v>20107.494999999995</v>
          </cell>
          <cell r="K16" t="str">
            <v>LESTE TATUAPE</v>
          </cell>
          <cell r="N16">
            <v>44</v>
          </cell>
        </row>
        <row r="17">
          <cell r="E17" t="str">
            <v>KEY ZL</v>
          </cell>
          <cell r="F17">
            <v>280191.74999999994</v>
          </cell>
          <cell r="H17" t="str">
            <v>PERDIZES</v>
          </cell>
          <cell r="I17">
            <v>6312.7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87051.27999999997</v>
          </cell>
          <cell r="H18" t="str">
            <v>PIRITUBA</v>
          </cell>
          <cell r="I18">
            <v>4896.75</v>
          </cell>
          <cell r="K18" t="str">
            <v>NORTE</v>
          </cell>
          <cell r="N18">
            <v>36</v>
          </cell>
        </row>
        <row r="19">
          <cell r="E19" t="str">
            <v>LESTE MOOCA</v>
          </cell>
          <cell r="F19">
            <v>121066.45999999966</v>
          </cell>
          <cell r="H19" t="str">
            <v>SANTO ANDRE</v>
          </cell>
          <cell r="I19">
            <v>12777.419999999998</v>
          </cell>
          <cell r="K19" t="str">
            <v>OSASCO</v>
          </cell>
          <cell r="N19">
            <v>69</v>
          </cell>
        </row>
        <row r="20">
          <cell r="E20" t="str">
            <v>LESTE PENHA</v>
          </cell>
          <cell r="F20">
            <v>94379.51999999996</v>
          </cell>
          <cell r="H20" t="str">
            <v>SBC</v>
          </cell>
          <cell r="I20">
            <v>13866.62</v>
          </cell>
          <cell r="K20" t="str">
            <v>PERDIZES</v>
          </cell>
          <cell r="N20">
            <v>18</v>
          </cell>
        </row>
        <row r="21">
          <cell r="E21" t="str">
            <v>LESTE TATUAPE</v>
          </cell>
          <cell r="F21">
            <v>111682.1999999994</v>
          </cell>
          <cell r="H21" t="str">
            <v>SJC</v>
          </cell>
          <cell r="I21">
            <v>9381.0000000000018</v>
          </cell>
          <cell r="K21" t="str">
            <v>PIRITUBA</v>
          </cell>
          <cell r="N21">
            <v>33</v>
          </cell>
        </row>
        <row r="22">
          <cell r="E22" t="str">
            <v>MOGI</v>
          </cell>
          <cell r="F22">
            <v>60897.970000000132</v>
          </cell>
          <cell r="H22" t="str">
            <v>SJC/VALE</v>
          </cell>
          <cell r="I22">
            <v>3032.5100000000007</v>
          </cell>
          <cell r="K22" t="str">
            <v>SANTO ANDRE</v>
          </cell>
          <cell r="N22">
            <v>28</v>
          </cell>
        </row>
        <row r="23">
          <cell r="E23" t="str">
            <v>NORTE</v>
          </cell>
          <cell r="F23">
            <v>183900.8799999996</v>
          </cell>
          <cell r="H23" t="str">
            <v>VENDEDOR INTERNO 1</v>
          </cell>
          <cell r="I23">
            <v>6317.9699999999993</v>
          </cell>
          <cell r="K23" t="str">
            <v>SBC</v>
          </cell>
          <cell r="N23">
            <v>38</v>
          </cell>
        </row>
        <row r="24">
          <cell r="E24" t="str">
            <v>OSASCO</v>
          </cell>
          <cell r="F24">
            <v>251085.30499999996</v>
          </cell>
          <cell r="H24" t="str">
            <v>Total Geral</v>
          </cell>
          <cell r="I24">
            <v>206682.34499999997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77165.710000000021</v>
          </cell>
          <cell r="K25" t="str">
            <v>SJC/VALE</v>
          </cell>
          <cell r="N25">
            <v>16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556</v>
          </cell>
        </row>
        <row r="27">
          <cell r="E27" t="str">
            <v>PIRITUBA</v>
          </cell>
          <cell r="F27">
            <v>105952.2699999999</v>
          </cell>
        </row>
        <row r="28">
          <cell r="E28" t="str">
            <v>SANTO ANDRE</v>
          </cell>
          <cell r="F28">
            <v>131523.98999999996</v>
          </cell>
        </row>
        <row r="29">
          <cell r="E29" t="str">
            <v>SBC</v>
          </cell>
          <cell r="F29">
            <v>204098.64999999973</v>
          </cell>
        </row>
        <row r="30">
          <cell r="E30" t="str">
            <v>SJC</v>
          </cell>
          <cell r="F30">
            <v>62455.140000000007</v>
          </cell>
        </row>
        <row r="31">
          <cell r="E31" t="str">
            <v>SJC/VALE</v>
          </cell>
          <cell r="F31">
            <v>36894.480000000018</v>
          </cell>
        </row>
        <row r="32">
          <cell r="E32" t="str">
            <v>VENDEDOR INTERNO 1</v>
          </cell>
          <cell r="F32">
            <v>59673.74</v>
          </cell>
          <cell r="P32" t="str">
            <v>Soma de TOTAL</v>
          </cell>
        </row>
        <row r="33">
          <cell r="E33" t="str">
            <v>Total Geral</v>
          </cell>
          <cell r="F33">
            <v>4207703.2649999652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H21" sqref="H21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300220</v>
      </c>
      <c r="J4" s="4"/>
      <c r="K4" s="4"/>
      <c r="L4" s="4"/>
      <c r="M4" s="4"/>
      <c r="N4" s="4" t="s">
        <v>38</v>
      </c>
      <c r="O4" s="7">
        <f>SUM(O11:O17)</f>
        <v>627000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4207091.3649999965</v>
      </c>
      <c r="D5" s="2"/>
      <c r="E5" s="4"/>
      <c r="F5" s="4"/>
      <c r="G5" s="4"/>
      <c r="H5" s="4" t="s">
        <v>1</v>
      </c>
      <c r="I5" s="7">
        <f>SUM(J10:J28)</f>
        <v>206682.345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556</v>
      </c>
      <c r="V5" s="4"/>
      <c r="W5" s="4"/>
    </row>
    <row r="6" spans="1:23" x14ac:dyDescent="0.25">
      <c r="A6" s="4"/>
      <c r="B6" s="4" t="s">
        <v>2</v>
      </c>
      <c r="C6" s="2">
        <f>C4-C5</f>
        <v>974408.6350000035</v>
      </c>
      <c r="D6" s="2"/>
      <c r="E6" s="4"/>
      <c r="F6" s="4"/>
      <c r="G6" s="4"/>
      <c r="H6" s="4" t="s">
        <v>2</v>
      </c>
      <c r="I6" s="7">
        <f>I4-I5</f>
        <v>93537.654999999999</v>
      </c>
      <c r="J6" s="4"/>
      <c r="K6" s="4"/>
      <c r="L6" s="4"/>
      <c r="M6" s="4"/>
      <c r="N6" s="4" t="s">
        <v>2</v>
      </c>
      <c r="O6" s="7">
        <f>O4-O5</f>
        <v>-157238.57999999996</v>
      </c>
      <c r="P6" s="4"/>
      <c r="Q6" s="4"/>
      <c r="R6" s="4"/>
      <c r="S6" s="4"/>
      <c r="T6" s="4" t="s">
        <v>2</v>
      </c>
      <c r="U6" s="4">
        <f>U4-U5</f>
        <v>244</v>
      </c>
      <c r="V6" s="4"/>
      <c r="W6" s="4"/>
    </row>
    <row r="7" spans="1:23" x14ac:dyDescent="0.25">
      <c r="A7" s="4"/>
      <c r="B7" s="4" t="s">
        <v>3</v>
      </c>
      <c r="C7" s="3">
        <f>C5/C4</f>
        <v>0.81194468107690754</v>
      </c>
      <c r="D7" s="2"/>
      <c r="E7" s="4"/>
      <c r="F7" s="4"/>
      <c r="G7" s="4"/>
      <c r="H7" s="4" t="s">
        <v>3</v>
      </c>
      <c r="I7" s="3">
        <f>I5/I4</f>
        <v>0.6884362967157418</v>
      </c>
      <c r="J7" s="4"/>
      <c r="K7" s="4"/>
      <c r="L7" s="4"/>
      <c r="M7" s="4"/>
      <c r="N7" s="4" t="s">
        <v>3</v>
      </c>
      <c r="O7" s="3">
        <f>O5/O4</f>
        <v>1.2507792344497608</v>
      </c>
      <c r="P7" s="4"/>
      <c r="Q7" s="4"/>
      <c r="R7" s="4"/>
      <c r="S7" s="4"/>
      <c r="T7" s="4" t="s">
        <v>3</v>
      </c>
      <c r="U7" s="3">
        <f>U5/U4</f>
        <v>0.69499999999999995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50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44964.009999999995</v>
      </c>
      <c r="E10" s="7">
        <f>C10-D10</f>
        <v>19535.990000000005</v>
      </c>
      <c r="F10" s="4"/>
      <c r="G10" s="4" t="s">
        <v>18</v>
      </c>
      <c r="H10" s="4" t="s">
        <v>18</v>
      </c>
      <c r="I10" s="2">
        <f>_xlfn.XLOOKUP(G10,[1]!Tabela1[VENDEDOR],[1]!Tabela1[VALOR])</f>
        <v>27000</v>
      </c>
      <c r="J10" s="2">
        <f>IFERROR(_xlfn.XLOOKUP(G10,'[1]BASE PYTHON'!$H:$H,'[1]BASE PYTHON'!$I:$I),0)</f>
        <v>20107.494999999995</v>
      </c>
      <c r="K10" s="7">
        <f>I10-J10</f>
        <v>6892.5050000000047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18</v>
      </c>
      <c r="W10" s="4">
        <f>U10-V10</f>
        <v>15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249898.81999999957</v>
      </c>
      <c r="E11" s="7">
        <f t="shared" ref="E11:E36" si="0">C11-D11</f>
        <v>65101.18000000043</v>
      </c>
      <c r="F11" s="4"/>
      <c r="G11" s="4" t="s">
        <v>17</v>
      </c>
      <c r="H11" s="4" t="s">
        <v>17</v>
      </c>
      <c r="I11" s="2">
        <f>_xlfn.XLOOKUP(G11,[1]!Tabela1[VENDEDOR],[1]!Tabela1[VALOR])</f>
        <v>24500</v>
      </c>
      <c r="J11" s="2">
        <f>IFERROR(_xlfn.XLOOKUP(G11,'[1]BASE PYTHON'!$H:$H,'[1]BASE PYTHON'!$I:$I),0)</f>
        <v>15912.569999999994</v>
      </c>
      <c r="K11" s="7">
        <f t="shared" ref="K11:K28" si="1">I11-J11</f>
        <v>8587.4300000000057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53</v>
      </c>
      <c r="W11" s="4">
        <f t="shared" ref="W11:W27" si="3">U11-V11</f>
        <v>19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14090</v>
      </c>
      <c r="J12" s="2">
        <f>IFERROR(_xlfn.XLOOKUP(G12,'[1]BASE PYTHON'!$H:$H,'[1]BASE PYTHON'!$I:$I),0)</f>
        <v>4896.75</v>
      </c>
      <c r="K12" s="7">
        <f t="shared" si="1"/>
        <v>9193.25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73000</v>
      </c>
      <c r="P12" s="2">
        <f>IFERROR(_xlfn.XLOOKUP(Tabela8[[#This Row],[REFERENCIA]],'[1]BASE PYTHON'!$P$34:$P$39,'[1]BASE PYTHON'!$R$34:$R$39),0)</f>
        <v>0</v>
      </c>
      <c r="Q12" s="2">
        <f t="shared" si="2"/>
        <v>73000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30</v>
      </c>
      <c r="W12" s="4">
        <f t="shared" si="3"/>
        <v>10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74819.079999999987</v>
      </c>
      <c r="E13" s="7">
        <f t="shared" si="0"/>
        <v>5180.9200000000128</v>
      </c>
      <c r="F13" s="4"/>
      <c r="G13" s="4" t="s">
        <v>22</v>
      </c>
      <c r="H13" s="4" t="s">
        <v>22</v>
      </c>
      <c r="I13" s="2">
        <f>_xlfn.XLOOKUP(G13,[1]!Tabela1[VENDEDOR],[1]!Tabela1[VALOR])</f>
        <v>21000</v>
      </c>
      <c r="J13" s="2">
        <f>IFERROR(_xlfn.XLOOKUP(G13,'[1]BASE PYTHON'!$H:$H,'[1]BASE PYTHON'!$I:$I),0)</f>
        <v>13866.62</v>
      </c>
      <c r="K13" s="7">
        <f t="shared" si="1"/>
        <v>7133.3799999999992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220000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130789.79000000004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38</v>
      </c>
      <c r="W13" s="4">
        <f t="shared" si="3"/>
        <v>20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184166.54999999987</v>
      </c>
      <c r="E14" s="7">
        <f t="shared" si="0"/>
        <v>30833.450000000128</v>
      </c>
      <c r="F14" s="4"/>
      <c r="G14" s="4" t="s">
        <v>15</v>
      </c>
      <c r="H14" s="4" t="s">
        <v>44</v>
      </c>
      <c r="I14" s="2">
        <f>_xlfn.XLOOKUP(G14,[1]!Tabela1[VENDEDOR],[1]!Tabela1[VALOR])</f>
        <v>17500</v>
      </c>
      <c r="J14" s="2">
        <f>IFERROR(_xlfn.XLOOKUP(G14,'[1]BASE PYTHON'!$H:$H,'[1]BASE PYTHON'!$I:$I),0)</f>
        <v>10806.53</v>
      </c>
      <c r="K14" s="7">
        <f t="shared" si="1"/>
        <v>6693.4699999999993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220000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-143074.89999999997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18</v>
      </c>
      <c r="W14" s="4">
        <f>U14-V14</f>
        <v>11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64670.779999999977</v>
      </c>
      <c r="E15" s="7">
        <f t="shared" si="0"/>
        <v>3329.220000000023</v>
      </c>
      <c r="F15" s="4"/>
      <c r="G15" s="4" t="s">
        <v>8</v>
      </c>
      <c r="H15" s="4" t="s">
        <v>8</v>
      </c>
      <c r="I15" s="2">
        <f>_xlfn.XLOOKUP(G15,[1]!Tabela1[VENDEDOR],[1]!Tabela1[VALOR])</f>
        <v>30910</v>
      </c>
      <c r="J15" s="2">
        <f>IFERROR(_xlfn.XLOOKUP(G15,'[1]BASE PYTHON'!$H:$H,'[1]BASE PYTHON'!$I:$I),0)</f>
        <v>21994.150000000009</v>
      </c>
      <c r="K15" s="7">
        <f t="shared" si="1"/>
        <v>8915.8499999999913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82500</v>
      </c>
      <c r="P15" s="2">
        <f>IFERROR(_xlfn.XLOOKUP(Tabela8[[#This Row],[REFERENCIA]],'[1]BASE PYTHON'!$P$34:$P$39,'[1]BASE PYTHON'!$R$34:$R$39),0)</f>
        <v>123308.7</v>
      </c>
      <c r="Q15" s="2">
        <f t="shared" si="2"/>
        <v>-40808.699999999997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19</v>
      </c>
      <c r="W15" s="4">
        <f t="shared" si="3"/>
        <v>20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246499.13999999998</v>
      </c>
      <c r="E16" s="7">
        <f t="shared" si="0"/>
        <v>13500.860000000015</v>
      </c>
      <c r="F16" s="4"/>
      <c r="G16" s="4" t="s">
        <v>21</v>
      </c>
      <c r="H16" s="4" t="s">
        <v>21</v>
      </c>
      <c r="I16" s="2">
        <f>_xlfn.XLOOKUP(G16,[1]!Tabela1[VENDEDOR],[1]!Tabela1[VALOR])</f>
        <v>18650</v>
      </c>
      <c r="J16" s="2">
        <f>IFERROR(_xlfn.XLOOKUP(G16,'[1]BASE PYTHON'!$H:$H,'[1]BASE PYTHON'!$I:$I),0)</f>
        <v>12777.419999999998</v>
      </c>
      <c r="K16" s="7">
        <f t="shared" si="1"/>
        <v>5872.5800000000017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31500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-2127.7999999999884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160151.88999999984</v>
      </c>
      <c r="E17" s="7">
        <f t="shared" si="0"/>
        <v>-35151.889999999839</v>
      </c>
      <c r="F17" s="4"/>
      <c r="G17" s="4" t="s">
        <v>16</v>
      </c>
      <c r="H17" s="4" t="s">
        <v>16</v>
      </c>
      <c r="I17" s="2">
        <f>_xlfn.XLOOKUP(G17,[1]!Tabela1[VENDEDOR],[1]!Tabela1[VALOR])</f>
        <v>6660</v>
      </c>
      <c r="J17" s="2">
        <f>IFERROR(_xlfn.XLOOKUP(G17,'[1]BASE PYTHON'!$H:$H,'[1]BASE PYTHON'!$I:$I),0)</f>
        <v>5293.26</v>
      </c>
      <c r="K17" s="7">
        <f t="shared" si="1"/>
        <v>1366.7399999999998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745690.09999999986</v>
      </c>
      <c r="E18" s="7">
        <f t="shared" si="0"/>
        <v>54309.90000000014</v>
      </c>
      <c r="F18" s="4"/>
      <c r="G18" s="4" t="s">
        <v>12</v>
      </c>
      <c r="H18" s="4" t="s">
        <v>12</v>
      </c>
      <c r="I18" s="2">
        <f>_xlfn.XLOOKUP(G18,[1]!Tabela1[VENDEDOR],[1]!Tabela1[VALOR])</f>
        <v>12500</v>
      </c>
      <c r="J18" s="2">
        <f>IFERROR(_xlfn.XLOOKUP(G18,'[1]BASE PYTHON'!$H:$H,'[1]BASE PYTHON'!$I:$I),0)</f>
        <v>13378.199999999999</v>
      </c>
      <c r="K18" s="7">
        <f t="shared" si="1"/>
        <v>-878.19999999999891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36</v>
      </c>
      <c r="W18" s="4">
        <f t="shared" si="3"/>
        <v>13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66182.300000000047</v>
      </c>
      <c r="E19" s="7">
        <f t="shared" si="0"/>
        <v>48817.699999999953</v>
      </c>
      <c r="F19" s="4"/>
      <c r="G19" s="4" t="s">
        <v>13</v>
      </c>
      <c r="H19" s="4" t="s">
        <v>42</v>
      </c>
      <c r="I19" s="2">
        <f>_xlfn.XLOOKUP(G19,[1]!Tabela1[VENDEDOR],[1]!Tabela1[VALOR])</f>
        <v>17000</v>
      </c>
      <c r="J19" s="2">
        <f>IFERROR(_xlfn.XLOOKUP(G19,'[1]BASE PYTHON'!$H:$H,'[1]BASE PYTHON'!$I:$I),0)</f>
        <v>14749.869999999997</v>
      </c>
      <c r="K19" s="7">
        <f t="shared" si="1"/>
        <v>2250.1300000000028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69</v>
      </c>
      <c r="W19" s="4">
        <f t="shared" si="3"/>
        <v>4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398182.64999999979</v>
      </c>
      <c r="E20" s="7">
        <f t="shared" si="0"/>
        <v>101817.35000000021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22000</v>
      </c>
      <c r="J20" s="2">
        <f>IFERROR(_xlfn.XLOOKUP(G20,'[1]BASE PYTHON'!$H:$H,'[1]BASE PYTHON'!$I:$I),0)</f>
        <v>17077.169999999998</v>
      </c>
      <c r="K20" s="7">
        <f t="shared" si="1"/>
        <v>4922.8300000000017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520661.21999999986</v>
      </c>
      <c r="Q20" s="7">
        <f>O20-P20</f>
        <v>-520661.21999999986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13</v>
      </c>
      <c r="W20" s="4">
        <f t="shared" si="3"/>
        <v>26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280191.74999999994</v>
      </c>
      <c r="E21" s="7">
        <f t="shared" si="0"/>
        <v>147308.25000000006</v>
      </c>
      <c r="F21" s="4"/>
      <c r="G21" s="4" t="s">
        <v>19</v>
      </c>
      <c r="H21" s="4" t="s">
        <v>19</v>
      </c>
      <c r="I21" s="2">
        <f>_xlfn.XLOOKUP(G21,[1]!Tabela1[VENDEDOR],[1]!Tabela1[VALOR])</f>
        <v>13270</v>
      </c>
      <c r="J21" s="2">
        <f>IFERROR(_xlfn.XLOOKUP(G21,'[1]BASE PYTHON'!$H:$H,'[1]BASE PYTHON'!$I:$I),0)</f>
        <v>6312.7</v>
      </c>
      <c r="K21" s="7">
        <f t="shared" si="1"/>
        <v>6957.3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784238.58000000019</v>
      </c>
      <c r="Q21" s="7">
        <f>O21-P21</f>
        <v>-784238.58000000019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18</v>
      </c>
      <c r="W21" s="4">
        <f t="shared" si="3"/>
        <v>14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87051.27999999997</v>
      </c>
      <c r="E22" s="7">
        <f t="shared" si="0"/>
        <v>32448.72000000003</v>
      </c>
      <c r="F22" s="4"/>
      <c r="G22" s="4" t="s">
        <v>11</v>
      </c>
      <c r="H22" s="4" t="s">
        <v>11</v>
      </c>
      <c r="I22" s="2">
        <f>_xlfn.XLOOKUP(G22,[1]!Tabela1[VENDEDOR],[1]!Tabela1[VALOR])</f>
        <v>9500</v>
      </c>
      <c r="J22" s="2">
        <f>IFERROR(_xlfn.XLOOKUP(G22,'[1]BASE PYTHON'!$H:$H,'[1]BASE PYTHON'!$I:$I),0)</f>
        <v>4077.7799999999997</v>
      </c>
      <c r="K22" s="7">
        <f t="shared" si="1"/>
        <v>5422.22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33</v>
      </c>
      <c r="W22" s="4">
        <f t="shared" si="3"/>
        <v>14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121066.45999999966</v>
      </c>
      <c r="E23" s="7">
        <f t="shared" si="0"/>
        <v>35933.540000000343</v>
      </c>
      <c r="F23" s="4"/>
      <c r="G23" s="4" t="s">
        <v>14</v>
      </c>
      <c r="H23" s="4" t="s">
        <v>14</v>
      </c>
      <c r="I23" s="2">
        <f>_xlfn.XLOOKUP(G23,[1]!Tabela1[VENDEDOR],[1]!Tabela1[VALOR])</f>
        <v>16270</v>
      </c>
      <c r="J23" s="2">
        <f>IFERROR(_xlfn.XLOOKUP(G23,'[1]BASE PYTHON'!$H:$H,'[1]BASE PYTHON'!$I:$I),0)</f>
        <v>13846.7</v>
      </c>
      <c r="K23" s="7">
        <f t="shared" si="1"/>
        <v>2423.2999999999993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114744.76000000005</v>
      </c>
      <c r="Q23" s="7">
        <f>O23-P23</f>
        <v>-114744.76000000005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28</v>
      </c>
      <c r="W23" s="4">
        <f t="shared" si="3"/>
        <v>18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94379.51999999996</v>
      </c>
      <c r="E24" s="7">
        <f t="shared" si="0"/>
        <v>25620.48000000004</v>
      </c>
      <c r="F24" s="4"/>
      <c r="G24" s="4" t="s">
        <v>9</v>
      </c>
      <c r="H24" s="4" t="s">
        <v>9</v>
      </c>
      <c r="I24" s="2">
        <f>_xlfn.XLOOKUP(G24,[1]!Tabela1[VENDEDOR],[1]!Tabela1[VALOR])</f>
        <v>9480</v>
      </c>
      <c r="J24" s="2">
        <f>IFERROR(_xlfn.XLOOKUP(G24,'[1]BASE PYTHON'!$H:$H,'[1]BASE PYTHON'!$I:$I),0)</f>
        <v>7505.1499999999987</v>
      </c>
      <c r="K24" s="7">
        <f t="shared" si="1"/>
        <v>1974.8500000000013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38</v>
      </c>
      <c r="W24" s="4">
        <f t="shared" si="3"/>
        <v>15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111682.1999999994</v>
      </c>
      <c r="E25" s="7">
        <f t="shared" si="0"/>
        <v>23317.8000000006</v>
      </c>
      <c r="F25" s="4"/>
      <c r="G25" s="4" t="s">
        <v>25</v>
      </c>
      <c r="H25" s="4" t="s">
        <v>46</v>
      </c>
      <c r="I25" s="2">
        <f>_xlfn.XLOOKUP(G25,[1]!Tabela1[VENDEDOR],[1]!Tabela1[VALOR])</f>
        <v>11000</v>
      </c>
      <c r="J25" s="2">
        <f>IFERROR(_xlfn.XLOOKUP(G25,'[1]BASE PYTHON'!$H:$H,'[1]BASE PYTHON'!$I:$I),0)</f>
        <v>6317.9699999999993</v>
      </c>
      <c r="K25" s="7">
        <f t="shared" si="1"/>
        <v>4682.0300000000007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60897.970000000132</v>
      </c>
      <c r="E26" s="7">
        <f t="shared" si="0"/>
        <v>29102.029999999868</v>
      </c>
      <c r="F26" s="4"/>
      <c r="G26" s="4" t="s">
        <v>23</v>
      </c>
      <c r="H26" s="4" t="s">
        <v>23</v>
      </c>
      <c r="I26" s="2">
        <f>_xlfn.XLOOKUP(G26,[1]!Tabela1[VENDEDOR],[1]!Tabela1[VALOR])</f>
        <v>14190</v>
      </c>
      <c r="J26" s="2">
        <f>IFERROR(_xlfn.XLOOKUP(G26,'[1]BASE PYTHON'!$H:$H,'[1]BASE PYTHON'!$I:$I),0)</f>
        <v>9381.0000000000018</v>
      </c>
      <c r="K26" s="7">
        <f t="shared" si="1"/>
        <v>4808.9999999999982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44</v>
      </c>
      <c r="W26" s="4">
        <f t="shared" si="3"/>
        <v>-5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183900.8799999996</v>
      </c>
      <c r="E27" s="7">
        <f t="shared" si="0"/>
        <v>51099.120000000403</v>
      </c>
      <c r="F27" s="4"/>
      <c r="G27" s="4" t="s">
        <v>24</v>
      </c>
      <c r="H27" s="4" t="s">
        <v>45</v>
      </c>
      <c r="I27" s="2">
        <f>_xlfn.XLOOKUP(G27,[1]!Tabela1[VENDEDOR],[1]!Tabela1[VALOR])</f>
        <v>6580</v>
      </c>
      <c r="J27" s="2">
        <f>IFERROR(_xlfn.XLOOKUP(G27,'[1]BASE PYTHON'!$H:$H,'[1]BASE PYTHON'!$I:$I),0)</f>
        <v>3032.5100000000007</v>
      </c>
      <c r="K27" s="7">
        <f t="shared" si="1"/>
        <v>3547.4899999999993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16</v>
      </c>
      <c r="W27" s="4">
        <f t="shared" si="3"/>
        <v>17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251085.30499999996</v>
      </c>
      <c r="E28" s="7">
        <f t="shared" si="0"/>
        <v>50914.695000000036</v>
      </c>
      <c r="F28" s="4"/>
      <c r="G28" s="4" t="s">
        <v>7</v>
      </c>
      <c r="H28" s="4" t="s">
        <v>7</v>
      </c>
      <c r="I28" s="2">
        <f>_xlfn.XLOOKUP(G28,[1]!Tabela1[VENDEDOR],[1]!Tabela1[VALOR])</f>
        <v>8120</v>
      </c>
      <c r="J28" s="2">
        <f>IFERROR(_xlfn.XLOOKUP(G28,'[1]BASE PYTHON'!$H:$H,'[1]BASE PYTHON'!$I:$I),0)</f>
        <v>5348.5</v>
      </c>
      <c r="K28" s="7">
        <f t="shared" si="1"/>
        <v>2771.5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77165.710000000021</v>
      </c>
      <c r="E29" s="7">
        <f t="shared" si="0"/>
        <v>35834.289999999979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105952.2699999999</v>
      </c>
      <c r="E31" s="7">
        <f t="shared" si="0"/>
        <v>20047.730000000098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645369.17500000284</v>
      </c>
      <c r="K31" s="7">
        <f>I31-J31</f>
        <v>54630.824999997159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131523.98999999996</v>
      </c>
      <c r="E32" s="7">
        <f t="shared" si="0"/>
        <v>35476.010000000038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668938.42000000062</v>
      </c>
      <c r="K32" s="7">
        <f t="shared" ref="K32:K34" si="4">I32-J32</f>
        <v>31061.579999999376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204098.64999999973</v>
      </c>
      <c r="E33" s="7">
        <f t="shared" si="0"/>
        <v>50901.350000000268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685356.8950000013</v>
      </c>
      <c r="K33" s="7">
        <f t="shared" si="4"/>
        <v>14643.104999998701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68</v>
      </c>
      <c r="W33" s="6">
        <f t="shared" ref="W33" si="5">U33-V33</f>
        <v>132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62455.140000000007</v>
      </c>
      <c r="E34" s="7">
        <f t="shared" si="0"/>
        <v>37544.859999999993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206682.34499999986</v>
      </c>
      <c r="K34" s="7">
        <f t="shared" si="4"/>
        <v>493317.65500000014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36894.480000000018</v>
      </c>
      <c r="E35" s="7">
        <f t="shared" si="0"/>
        <v>18105.519999999982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59673.74</v>
      </c>
      <c r="E36" s="7">
        <f t="shared" si="0"/>
        <v>6326.260000000002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1184379.5950000002</v>
      </c>
      <c r="E39" s="7">
        <f>C39-D39</f>
        <v>95620.404999999795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1525614.1199999917</v>
      </c>
      <c r="E40" s="7">
        <f t="shared" ref="E40:E42" si="6">C40-D40</f>
        <v>-245614.11999999173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1175113.644999993</v>
      </c>
      <c r="E41" s="7">
        <f t="shared" si="6"/>
        <v>104886.35500000697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322595.90500000055</v>
      </c>
      <c r="E42" s="7">
        <f t="shared" si="6"/>
        <v>957404.09499999951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2026-05-25T17:41:20Z</dcterms:modified>
</cp:coreProperties>
</file>