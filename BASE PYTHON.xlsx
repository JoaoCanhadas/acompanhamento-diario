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DF22773-EE0A-4170-9CEC-E14819F0EEC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V31" i="2"/>
  <c r="V30" i="2"/>
  <c r="V33" i="2"/>
  <c r="V32" i="2"/>
  <c r="V34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1" i="2"/>
  <c r="P16" i="2"/>
  <c r="P13" i="2"/>
  <c r="P22" i="2"/>
  <c r="D44" i="2"/>
  <c r="D41" i="2"/>
  <c r="P23" i="2"/>
  <c r="D42" i="2"/>
  <c r="J34" i="2"/>
  <c r="J32" i="2"/>
  <c r="J33" i="2"/>
  <c r="P24" i="2"/>
  <c r="D40" i="2"/>
  <c r="P25" i="2"/>
  <c r="P15" i="2"/>
  <c r="P14" i="2"/>
  <c r="J35" i="2"/>
  <c r="D43" i="2"/>
  <c r="P12" i="2"/>
  <c r="P11" i="2"/>
  <c r="P17" i="2"/>
  <c r="J31" i="2"/>
  <c r="C4" i="2" l="1"/>
  <c r="C5" i="2"/>
  <c r="Q11" i="2"/>
  <c r="Q17" i="2"/>
  <c r="Q16" i="2"/>
  <c r="Q15" i="2"/>
  <c r="Q14" i="2"/>
  <c r="Q13" i="2"/>
  <c r="Q12" i="2"/>
  <c r="E36" i="2"/>
  <c r="U5" i="2"/>
  <c r="E12" i="2"/>
  <c r="C6" i="2" l="1"/>
  <c r="C7" i="2" s="1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J24" i="2" l="1"/>
  <c r="K24" i="2" s="1"/>
  <c r="J13" i="2"/>
  <c r="K13" i="2" s="1"/>
  <c r="J19" i="2"/>
  <c r="K19" i="2" s="1"/>
  <c r="J11" i="2"/>
  <c r="K11" i="2" s="1"/>
  <c r="J10" i="2"/>
  <c r="J16" i="2"/>
  <c r="K16" i="2" s="1"/>
  <c r="J26" i="2"/>
  <c r="K26" i="2" s="1"/>
  <c r="J20" i="2"/>
  <c r="K20" i="2" s="1"/>
  <c r="J25" i="2"/>
  <c r="K25" i="2" s="1"/>
  <c r="J15" i="2"/>
  <c r="K15" i="2" s="1"/>
  <c r="J14" i="2"/>
  <c r="K14" i="2" s="1"/>
  <c r="J27" i="2"/>
  <c r="K27" i="2" s="1"/>
  <c r="J18" i="2"/>
  <c r="K18" i="2" s="1"/>
  <c r="J22" i="2"/>
  <c r="K22" i="2" s="1"/>
  <c r="J21" i="2"/>
  <c r="K21" i="2" s="1"/>
  <c r="J23" i="2"/>
  <c r="K23" i="2" s="1"/>
  <c r="J12" i="2"/>
  <c r="K12" i="2" s="1"/>
  <c r="J17" i="2"/>
  <c r="K17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<sst xmlns="http://schemas.openxmlformats.org/spreadsheetml/2006/main" count="273" uniqueCount="62">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</sst>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61623.499999999993</v>
          </cell>
        </row>
        <row r="6">
          <cell r="E6" t="str">
            <v>CENTRO</v>
          </cell>
          <cell r="F6">
            <v>335871.03000000032</v>
          </cell>
          <cell r="K6" t="str">
            <v>Contagem Distinta de COD_CLIENTE</v>
          </cell>
        </row>
        <row r="7">
          <cell r="E7" t="str">
            <v>ECOMMERCE</v>
          </cell>
          <cell r="F7">
            <v>1460.8799999999999</v>
          </cell>
          <cell r="K7" t="str">
            <v>Rótulos de Linha</v>
          </cell>
          <cell r="M7" t="str">
            <v>Total Geral</v>
          </cell>
        </row>
        <row r="8">
          <cell r="E8" t="str">
            <v>IATAGAM JUNIOR</v>
          </cell>
          <cell r="F8">
            <v>350.39</v>
          </cell>
          <cell r="K8" t="str">
            <v>CAMPINAS</v>
          </cell>
          <cell r="M8">
            <v>36</v>
          </cell>
        </row>
        <row r="9">
          <cell r="E9" t="str">
            <v>INDAIATUBA</v>
          </cell>
          <cell r="F9">
            <v>83173.589999999953</v>
          </cell>
          <cell r="K9" t="str">
            <v>CENTRO</v>
          </cell>
          <cell r="M9">
            <v>54</v>
          </cell>
        </row>
        <row r="10">
          <cell r="E10" t="str">
            <v>INTERLAGOS</v>
          </cell>
          <cell r="F10">
            <v>251386.25999999937</v>
          </cell>
          <cell r="K10" t="str">
            <v>INDAIATUBA</v>
          </cell>
          <cell r="M10">
            <v>43</v>
          </cell>
        </row>
        <row r="11">
          <cell r="E11" t="str">
            <v>JUNDIAI</v>
          </cell>
          <cell r="F11">
            <v>75345.879999999946</v>
          </cell>
          <cell r="K11" t="str">
            <v>INTERLAGOS</v>
          </cell>
          <cell r="M11">
            <v>84</v>
          </cell>
        </row>
        <row r="12">
          <cell r="E12" t="str">
            <v>KEY ABC</v>
          </cell>
          <cell r="F12">
            <v>265174.1399999999</v>
          </cell>
          <cell r="K12" t="str">
            <v>JUNDIAI</v>
          </cell>
          <cell r="M12">
            <v>30</v>
          </cell>
        </row>
        <row r="13">
          <cell r="E13" t="str">
            <v>KEY CASA</v>
          </cell>
          <cell r="F13">
            <v>453087.25000000012</v>
          </cell>
          <cell r="K13" t="str">
            <v>LESTE</v>
          </cell>
          <cell r="M13">
            <v>42</v>
          </cell>
        </row>
        <row r="14">
          <cell r="E14" t="str">
            <v>KEY INTERIOR</v>
          </cell>
          <cell r="F14">
            <v>790901.30000000028</v>
          </cell>
          <cell r="K14" t="str">
            <v>LESTE MOOCA</v>
          </cell>
          <cell r="M14">
            <v>53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29</v>
          </cell>
        </row>
        <row r="16">
          <cell r="E16" t="str">
            <v>KEY SJC</v>
          </cell>
          <cell r="F16">
            <v>97628.549999999988</v>
          </cell>
          <cell r="K16" t="str">
            <v>LESTE TATUAPE</v>
          </cell>
          <cell r="M16">
            <v>31</v>
          </cell>
        </row>
        <row r="17">
          <cell r="E17" t="str">
            <v>KEY SP</v>
          </cell>
          <cell r="F17">
            <v>589191.41</v>
          </cell>
          <cell r="K17" t="str">
            <v>MOGI</v>
          </cell>
          <cell r="M17">
            <v>26</v>
          </cell>
        </row>
        <row r="18">
          <cell r="E18" t="str">
            <v>KEY ZL</v>
          </cell>
          <cell r="F18">
            <v>502396.70000000054</v>
          </cell>
          <cell r="K18" t="str">
            <v>NORTE</v>
          </cell>
          <cell r="M18">
            <v>72</v>
          </cell>
        </row>
        <row r="19">
          <cell r="E19" t="str">
            <v>LESTE</v>
          </cell>
          <cell r="F19">
            <v>101426.89999999981</v>
          </cell>
          <cell r="K19" t="str">
            <v>OSASCO</v>
          </cell>
          <cell r="M19">
            <v>70</v>
          </cell>
        </row>
        <row r="20">
          <cell r="E20" t="str">
            <v>LESTE MOOCA</v>
          </cell>
          <cell r="F20">
            <v>190835.34999999948</v>
          </cell>
          <cell r="K20" t="str">
            <v>PIRITUBA</v>
          </cell>
          <cell r="M20">
            <v>38</v>
          </cell>
        </row>
        <row r="21">
          <cell r="E21" t="str">
            <v>LESTE PENHA</v>
          </cell>
          <cell r="F21">
            <v>119286.35999999997</v>
          </cell>
          <cell r="K21" t="str">
            <v>SANTO ANDRE</v>
          </cell>
          <cell r="M21">
            <v>34</v>
          </cell>
        </row>
        <row r="22">
          <cell r="E22" t="str">
            <v>LESTE TATUAPE</v>
          </cell>
          <cell r="F22">
            <v>112887.08999999966</v>
          </cell>
          <cell r="K22" t="str">
            <v>SBC</v>
          </cell>
          <cell r="M22">
            <v>36</v>
          </cell>
        </row>
        <row r="23">
          <cell r="E23" t="str">
            <v>MOGI</v>
          </cell>
          <cell r="F23">
            <v>45583.940000000053</v>
          </cell>
          <cell r="K23" t="str">
            <v>SJC</v>
          </cell>
          <cell r="M23">
            <v>38</v>
          </cell>
        </row>
        <row r="24">
          <cell r="E24" t="str">
            <v>NORTE</v>
          </cell>
          <cell r="F24">
            <v>227370.25999999925</v>
          </cell>
          <cell r="K24" t="str">
            <v>SJC/VALE</v>
          </cell>
          <cell r="M24">
            <v>33</v>
          </cell>
        </row>
        <row r="25">
          <cell r="E25" t="str">
            <v>OSASCO</v>
          </cell>
          <cell r="F25">
            <v>306075.20499999984</v>
          </cell>
          <cell r="K25" t="str">
            <v>Total Geral</v>
          </cell>
          <cell r="M25">
            <v>749</v>
          </cell>
        </row>
        <row r="26">
          <cell r="E26" t="str">
            <v>PIRITUBA</v>
          </cell>
          <cell r="F26">
            <v>119016.31999999967</v>
          </cell>
        </row>
        <row r="27">
          <cell r="E27" t="str">
            <v>SANTO ANDRE</v>
          </cell>
          <cell r="F27">
            <v>152908.73999999982</v>
          </cell>
        </row>
        <row r="28">
          <cell r="E28" t="str">
            <v>SBC</v>
          </cell>
          <cell r="F28">
            <v>232395.53999999951</v>
          </cell>
          <cell r="K28" t="str">
            <v>POSITIVAÇÃO GERAL</v>
          </cell>
        </row>
        <row r="29">
          <cell r="E29" t="str">
            <v>SJC</v>
          </cell>
          <cell r="F29">
            <v>67010.240000000107</v>
          </cell>
          <cell r="K29" t="str">
            <v>DATA</v>
          </cell>
        </row>
        <row r="30">
          <cell r="E30" t="str">
            <v>SJC/VALE</v>
          </cell>
          <cell r="F30">
            <v>45959.720000000074</v>
          </cell>
          <cell r="K30" t="str">
            <v>DES_TIPO_OPERACAO</v>
          </cell>
        </row>
        <row r="31">
          <cell r="E31" t="str">
            <v>VENDEDOR INTERNO 1</v>
          </cell>
          <cell r="F31">
            <v>66117.260000000009</v>
          </cell>
        </row>
        <row r="32">
          <cell r="E32" t="str">
            <v>Total Geral</v>
          </cell>
          <cell r="F32">
            <v>5294463.8049999215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74</v>
          </cell>
        </row>
        <row r="35">
          <cell r="K35" t="str">
            <v>Total Geral</v>
          </cell>
          <cell r="M35">
            <v>74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0</v>
          </cell>
          <cell r="H137" t="str">
            <v>D</v>
          </cell>
          <cell r="I137">
            <v>17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0</v>
          </cell>
          <cell r="H139" t="str">
            <v>D</v>
          </cell>
          <cell r="I139">
            <v>25</v>
          </cell>
        </row>
        <row r="140">
          <cell r="E140">
            <v>29</v>
          </cell>
          <cell r="F140">
            <v>0</v>
          </cell>
          <cell r="H140" t="str">
            <v>D</v>
          </cell>
          <cell r="I140">
            <v>29</v>
          </cell>
        </row>
        <row r="141">
          <cell r="E141">
            <v>28</v>
          </cell>
          <cell r="F141">
            <v>0</v>
          </cell>
          <cell r="H141" t="str">
            <v>D</v>
          </cell>
          <cell r="I141">
            <v>28</v>
          </cell>
        </row>
        <row r="142">
          <cell r="E142">
            <v>23</v>
          </cell>
          <cell r="F142">
            <v>0</v>
          </cell>
          <cell r="H142" t="str">
            <v>D</v>
          </cell>
          <cell r="I142">
            <v>23</v>
          </cell>
        </row>
        <row r="143">
          <cell r="E143">
            <v>18</v>
          </cell>
          <cell r="F143">
            <v>0</v>
          </cell>
          <cell r="H143" t="str">
            <v>D</v>
          </cell>
          <cell r="I143">
            <v>18</v>
          </cell>
        </row>
        <row r="144">
          <cell r="E144">
            <v>22</v>
          </cell>
          <cell r="F144">
            <v>0</v>
          </cell>
          <cell r="H144" t="str">
            <v>D</v>
          </cell>
          <cell r="I144">
            <v>22</v>
          </cell>
        </row>
        <row r="145">
          <cell r="E145">
            <v>22</v>
          </cell>
          <cell r="F145">
            <v>0</v>
          </cell>
          <cell r="H145" t="str">
            <v>D</v>
          </cell>
          <cell r="I145">
            <v>22</v>
          </cell>
        </row>
        <row r="146">
          <cell r="E146">
            <v>18</v>
          </cell>
          <cell r="F146">
            <v>0</v>
          </cell>
          <cell r="H146" t="str">
            <v>D</v>
          </cell>
          <cell r="I146">
            <v>18</v>
          </cell>
        </row>
        <row r="147">
          <cell r="E147">
            <v>20</v>
          </cell>
          <cell r="F147">
            <v>0</v>
          </cell>
          <cell r="H147" t="str">
            <v>D</v>
          </cell>
          <cell r="I147">
            <v>20</v>
          </cell>
        </row>
        <row r="148">
          <cell r="E148">
            <v>18</v>
          </cell>
          <cell r="F148">
            <v>0</v>
          </cell>
          <cell r="H148" t="str">
            <v>D</v>
          </cell>
          <cell r="I148">
            <v>18</v>
          </cell>
        </row>
        <row r="149">
          <cell r="E149">
            <v>14</v>
          </cell>
          <cell r="F149">
            <v>0</v>
          </cell>
          <cell r="H149" t="str">
            <v>D</v>
          </cell>
          <cell r="I149">
            <v>14</v>
          </cell>
        </row>
        <row r="150">
          <cell r="E150">
            <v>20</v>
          </cell>
          <cell r="F150">
            <v>0</v>
          </cell>
          <cell r="H150" t="str">
            <v>D</v>
          </cell>
          <cell r="I150">
            <v>20</v>
          </cell>
        </row>
        <row r="151">
          <cell r="E151">
            <v>19</v>
          </cell>
          <cell r="F151">
            <v>0</v>
          </cell>
          <cell r="H151" t="str">
            <v>D</v>
          </cell>
          <cell r="I151">
            <v>19</v>
          </cell>
        </row>
        <row r="152">
          <cell r="E152">
            <v>25</v>
          </cell>
          <cell r="F152">
            <v>0</v>
          </cell>
          <cell r="H152" t="str">
            <v>D</v>
          </cell>
          <cell r="I152">
            <v>25</v>
          </cell>
        </row>
        <row r="153">
          <cell r="E153">
            <v>19</v>
          </cell>
          <cell r="F153">
            <v>0</v>
          </cell>
          <cell r="H153" t="str">
            <v>D</v>
          </cell>
          <cell r="I153">
            <v>19</v>
          </cell>
        </row>
        <row r="154">
          <cell r="E154">
            <v>24</v>
          </cell>
          <cell r="F154">
            <v>0</v>
          </cell>
          <cell r="H154" t="str">
            <v>D</v>
          </cell>
          <cell r="I154">
            <v>24</v>
          </cell>
        </row>
        <row r="155">
          <cell r="E155">
            <v>397</v>
          </cell>
          <cell r="F155">
            <v>0</v>
          </cell>
          <cell r="I155">
            <v>397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67010.240000000107</v>
          </cell>
          <cell r="H160" t="str">
            <v>B</v>
          </cell>
          <cell r="I160">
            <v>17989.759999999893</v>
          </cell>
        </row>
        <row r="161">
          <cell r="E161">
            <v>33750</v>
          </cell>
          <cell r="F161">
            <v>66117.260000000009</v>
          </cell>
          <cell r="H161" t="str">
            <v>A</v>
          </cell>
          <cell r="I161">
            <v>8882.7399999999907</v>
          </cell>
        </row>
        <row r="162">
          <cell r="E162">
            <v>148500</v>
          </cell>
          <cell r="F162">
            <v>335871.03000000032</v>
          </cell>
          <cell r="H162" t="str">
            <v>OBJETIVO ALCANÇADO</v>
          </cell>
          <cell r="I162">
            <v>0</v>
          </cell>
        </row>
        <row r="163">
          <cell r="E163">
            <v>145575</v>
          </cell>
          <cell r="F163">
            <v>306075.20499999984</v>
          </cell>
          <cell r="H163" t="str">
            <v>A</v>
          </cell>
          <cell r="I163">
            <v>17424.795000000158</v>
          </cell>
        </row>
        <row r="164">
          <cell r="E164">
            <v>122850</v>
          </cell>
          <cell r="F164">
            <v>251386.25999999937</v>
          </cell>
          <cell r="H164" t="str">
            <v>A</v>
          </cell>
          <cell r="I164">
            <v>21613.740000000631</v>
          </cell>
        </row>
        <row r="165">
          <cell r="E165">
            <v>90000</v>
          </cell>
          <cell r="F165">
            <v>190835.34999999948</v>
          </cell>
          <cell r="H165" t="str">
            <v>A</v>
          </cell>
          <cell r="I165">
            <v>9164.650000000518</v>
          </cell>
        </row>
        <row r="166">
          <cell r="E166">
            <v>75150</v>
          </cell>
          <cell r="F166">
            <v>152908.73999999982</v>
          </cell>
          <cell r="H166" t="str">
            <v>A</v>
          </cell>
          <cell r="I166">
            <v>14091.260000000184</v>
          </cell>
        </row>
        <row r="167">
          <cell r="E167">
            <v>108900</v>
          </cell>
          <cell r="F167">
            <v>227370.25999999925</v>
          </cell>
          <cell r="H167" t="str">
            <v>A</v>
          </cell>
          <cell r="I167">
            <v>14629.740000000747</v>
          </cell>
        </row>
        <row r="168">
          <cell r="E168">
            <v>54900</v>
          </cell>
          <cell r="F168">
            <v>101426.89999999981</v>
          </cell>
          <cell r="H168" t="str">
            <v>B</v>
          </cell>
          <cell r="I168">
            <v>2273.100000000195</v>
          </cell>
        </row>
        <row r="169">
          <cell r="E169">
            <v>24750</v>
          </cell>
          <cell r="F169">
            <v>45959.720000000074</v>
          </cell>
          <cell r="H169" t="str">
            <v>B</v>
          </cell>
          <cell r="I169">
            <v>790.27999999992608</v>
          </cell>
        </row>
        <row r="170">
          <cell r="E170">
            <v>40500</v>
          </cell>
          <cell r="F170">
            <v>83173.589999999953</v>
          </cell>
          <cell r="H170" t="str">
            <v>A</v>
          </cell>
          <cell r="I170">
            <v>6826.4100000000471</v>
          </cell>
        </row>
        <row r="171">
          <cell r="E171">
            <v>29025</v>
          </cell>
          <cell r="F171">
            <v>61623.499999999993</v>
          </cell>
          <cell r="H171" t="str">
            <v>A</v>
          </cell>
          <cell r="I171">
            <v>2876.5000000000073</v>
          </cell>
        </row>
        <row r="172">
          <cell r="E172">
            <v>35100</v>
          </cell>
          <cell r="F172">
            <v>75345.879999999946</v>
          </cell>
          <cell r="H172" t="str">
            <v>A</v>
          </cell>
          <cell r="I172">
            <v>2654.1200000000536</v>
          </cell>
        </row>
        <row r="173">
          <cell r="E173">
            <v>62775</v>
          </cell>
          <cell r="F173">
            <v>119016.31999999967</v>
          </cell>
          <cell r="H173" t="str">
            <v>A</v>
          </cell>
          <cell r="I173">
            <v>20483.680000000328</v>
          </cell>
        </row>
        <row r="174">
          <cell r="E174">
            <v>65250</v>
          </cell>
          <cell r="F174">
            <v>119286.35999999997</v>
          </cell>
          <cell r="H174" t="str">
            <v>B</v>
          </cell>
          <cell r="I174">
            <v>3963.6400000000285</v>
          </cell>
        </row>
        <row r="175">
          <cell r="E175">
            <v>119250</v>
          </cell>
          <cell r="F175">
            <v>232395.53999999951</v>
          </cell>
          <cell r="H175" t="str">
            <v>A</v>
          </cell>
          <cell r="I175">
            <v>32604.460000000487</v>
          </cell>
        </row>
        <row r="176">
          <cell r="E176">
            <v>40500</v>
          </cell>
          <cell r="F176">
            <v>45583.940000000053</v>
          </cell>
          <cell r="H176" t="str">
            <v>C</v>
          </cell>
          <cell r="I176">
            <v>7966.0599999999467</v>
          </cell>
        </row>
        <row r="177">
          <cell r="E177">
            <v>66150</v>
          </cell>
          <cell r="F177">
            <v>112887.08999999966</v>
          </cell>
          <cell r="H177" t="str">
            <v>B</v>
          </cell>
          <cell r="I177">
            <v>12062.910000000338</v>
          </cell>
        </row>
        <row r="178">
          <cell r="E178">
            <v>1307925</v>
          </cell>
          <cell r="F178">
            <v>2594273.1849999968</v>
          </cell>
          <cell r="I178">
            <v>196297.84500000346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>
      <calculatedColumnFormula>_xlfn.XLOOKUP(Tabela2[[#This Row],[REFERENCIA]],'[2]BASE PYTHON'!$A$63:$A$79,#REF!)</calculatedColumnFormula>
    </tableColumn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67010.240000000107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17989.759999999893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404000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74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5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66117.260000000009</v>
      </c>
      <c r="AO4" s="32" t="str" cm="1">
        <f t="array" ref="AO4">_xlfn.IFS(AN4&gt;=AJ4,"A",AN4&gt;=AK4,"B",AN4&gt;=AL4,"C",AN4&gt;=AM4,"D",TRUE,"NÃO ATINGIDO")</f>
        <v>B</v>
      </c>
      <c r="AP4" s="32" t="str" cm="1">
        <f t="array" ref="AP4">_xlfn.IFS(AO4="NÃO ATINGIDO","D",AO4="D","C",AO4="C","B",AO4="B","A",AO4="A","OBJETIVO ALCANÇADO")</f>
        <v>A</v>
      </c>
      <c r="AQ4" s="31" cm="1">
        <f t="array" ref="AQ4">_xlfn.IFS(AP4="D",MAX(AM4-AN4,0),AP4="C",MAX(AL4-AN4,0),AP4="B",MAX(AK4-AN4,0),AP4="A",MAX(AJ4-AN4,0),AP4="OBJETIVO ALCANÇADO",0)</f>
        <v>8882.7399999999907</v>
      </c>
    </row>
    <row r="5" spans="1:43" x14ac:dyDescent="0.25">
      <c r="A5" s="4"/>
      <c r="B5" s="4" t="s">
        <v>1</v>
      </c>
      <c r="C5" s="2">
        <f>SUM(D10:D36)</f>
        <v>5294463.8049999969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1032705.3899999999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335871.03000000032</v>
      </c>
      <c r="AO5" s="32" t="str" cm="1">
        <f t="array" ref="AO5">_xlfn.IFS(AN5&gt;=AJ5,"A",AN5&gt;=AK5,"B",AN5&gt;=AL5,"C",AN5&gt;=AM5,"D",TRUE,"NÃO ATINGIDO")</f>
        <v>A</v>
      </c>
      <c r="AP5" s="32" t="str" cm="1">
        <f t="array" ref="AP5">_xlfn.IFS(AO5="NÃO ATINGIDO","D",AO5="D","C",AO5="C","B",AO5="B","A",AO5="A","OBJETIVO ALCANÇADO")</f>
        <v>OBJETIVO ALCANÇADO</v>
      </c>
      <c r="AQ5" s="31" cm="1">
        <f t="array" ref="AQ5">_xlfn.IFS(AP5="D",MAX(AM5-AN5,0),AP5="C",MAX(AL5-AN5,0),AP5="B",MAX(AK5-AN5,0),AP5="A",MAX(AJ5-AN5,0),AP5="OBJETIVO ALCANÇADO",0)</f>
        <v>0</v>
      </c>
    </row>
    <row r="6" spans="1:43" x14ac:dyDescent="0.25">
      <c r="A6" s="4"/>
      <c r="B6" s="4" t="s">
        <v>2</v>
      </c>
      <c r="C6" s="2">
        <f>C4-C5</f>
        <v>490036.19500000309</v>
      </c>
      <c r="D6" s="2"/>
      <c r="E6" s="4"/>
      <c r="F6" s="4"/>
      <c r="G6" s="4"/>
      <c r="H6" s="4" t="s">
        <v>2</v>
      </c>
      <c r="I6" s="7">
        <f>I4-I5</f>
        <v>404000</v>
      </c>
      <c r="J6" s="4"/>
      <c r="K6" s="4"/>
      <c r="L6" s="4"/>
      <c r="M6" s="4"/>
      <c r="N6" s="4" t="s">
        <v>2</v>
      </c>
      <c r="O6" s="7">
        <f>O4-O5</f>
        <v>-390705.3899999999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306075.20499999984</v>
      </c>
      <c r="AO6" s="32" t="str" cm="1">
        <f t="array" ref="AO6">_xlfn.IFS(AN6&gt;=AJ6,"A",AN6&gt;=AK6,"B",AN6&gt;=AL6,"C",AN6&gt;=AM6,"D",TRUE,"NÃO ATINGIDO")</f>
        <v>B</v>
      </c>
      <c r="AP6" s="32" t="str" cm="1">
        <f t="array" ref="AP6">_xlfn.IFS(AO6="NÃO ATINGIDO","D",AO6="D","C",AO6="C","B",AO6="B","A",AO6="A","OBJETIVO ALCANÇADO")</f>
        <v>A</v>
      </c>
      <c r="AQ6" s="31" cm="1">
        <f t="array" ref="AQ6">_xlfn.IFS(AP6="D",MAX(AM6-AN6,0),AP6="C",MAX(AL6-AN6,0),AP6="B",MAX(AK6-AN6,0),AP6="A",MAX(AJ6-AN6,0),AP6="OBJETIVO ALCANÇADO",0)</f>
        <v>17424.795000000158</v>
      </c>
    </row>
    <row r="7" spans="1:43" x14ac:dyDescent="0.25">
      <c r="A7" s="4"/>
      <c r="B7" s="4" t="s">
        <v>3</v>
      </c>
      <c r="C7" s="3">
        <f>1-(C6/C4)</f>
        <v>0.91528460627539054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1.6085753738317754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251386.25999999937</v>
      </c>
      <c r="AO7" s="32" t="str" cm="1">
        <f t="array" ref="AO7">_xlfn.IFS(AN7&gt;=AJ7,"A",AN7&gt;=AK7,"B",AN7&gt;=AL7,"C",AN7&gt;=AM7,"D",TRUE,"NÃO ATINGIDO")</f>
        <v>B</v>
      </c>
      <c r="AP7" s="32" t="str" cm="1">
        <f t="array" ref="AP7">_xlfn.IFS(AO7="NÃO ATINGIDO","D",AO7="D","C",AO7="C","B",AO7="B","A",AO7="A","OBJETIVO ALCANÇADO")</f>
        <v>A</v>
      </c>
      <c r="AQ7" s="31" cm="1">
        <f t="array" ref="AQ7">_xlfn.IFS(AP7="D",MAX(AM7-AN7,0),AP7="C",MAX(AL7-AN7,0),AP7="B",MAX(AK7-AN7,0),AP7="A",MAX(AJ7-AN7,0),AP7="OBJETIVO ALCANÇADO",0)</f>
        <v>21613.740000000631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190835.34999999948</v>
      </c>
      <c r="AO8" s="32" t="str" cm="1">
        <f t="array" ref="AO8">_xlfn.IFS(AN8&gt;=AJ8,"A",AN8&gt;=AK8,"B",AN8&gt;=AL8,"C",AN8&gt;=AM8,"D",TRUE,"NÃO ATINGIDO")</f>
        <v>B</v>
      </c>
      <c r="AP8" s="32" t="str" cm="1">
        <f t="array" ref="AP8">_xlfn.IFS(AO8="NÃO ATINGIDO","D",AO8="D","C",AO8="C","B",AO8="B","A",AO8="A","OBJETIVO ALCANÇADO")</f>
        <v>A</v>
      </c>
      <c r="AQ8" s="31" cm="1">
        <f t="array" ref="AQ8">_xlfn.IFS(AP8="D",MAX(AM8-AN8,0),AP8="C",MAX(AL8-AN8,0),AP8="B",MAX(AK8-AN8,0),AP8="A",MAX(AJ8-AN8,0),AP8="OBJETIVO ALCANÇADO",0)</f>
        <v>9164.650000000518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152908.73999999982</v>
      </c>
      <c r="AO9" s="32" t="str" cm="1">
        <f t="array" ref="AO9">_xlfn.IFS(AN9&gt;=AJ9,"A",AN9&gt;=AK9,"B",AN9&gt;=AL9,"C",AN9&gt;=AM9,"D",TRUE,"NÃO ATINGIDO")</f>
        <v>B</v>
      </c>
      <c r="AP9" s="32" t="str" cm="1">
        <f t="array" ref="AP9">_xlfn.IFS(AO9="NÃO ATINGIDO","D",AO9="D","C",AO9="C","B",AO9="B","A",AO9="A","OBJETIVO ALCANÇADO")</f>
        <v>A</v>
      </c>
      <c r="AQ9" s="31" cm="1">
        <f t="array" ref="AQ9">_xlfn.IFS(AP9="D",MAX(AM9-AN9,0),AP9="C",MAX(AL9-AN9,0),AP9="B",MAX(AK9-AN9,0),AP9="A",MAX(AJ9-AN9,0),AP9="OBJETIVO ALCANÇADO",0)</f>
        <v>14091.260000000184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61623.499999999993</v>
      </c>
      <c r="E10" s="25">
        <f>Tabela13[[#This Row],[META A]]-Tabela13[[#This Row],[ATINGIDO]]</f>
        <v>2876.5000000000073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26000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26000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227370.25999999925</v>
      </c>
      <c r="AO10" s="32" t="str" cm="1">
        <f t="array" ref="AO10">_xlfn.IFS(AN10&gt;=AJ10,"A",AN10&gt;=AK10,"B",AN10&gt;=AL10,"C",AN10&gt;=AM10,"D",TRUE,"NÃO ATINGIDO")</f>
        <v>B</v>
      </c>
      <c r="AP10" s="32" t="str" cm="1">
        <f t="array" ref="AP10">_xlfn.IFS(AO10="NÃO ATINGIDO","D",AO10="D","C",AO10="C","B",AO10="B","A",AO10="A","OBJETIVO ALCANÇADO")</f>
        <v>A</v>
      </c>
      <c r="AQ10" s="31" cm="1">
        <f t="array" ref="AQ10">_xlfn.IFS(AP10="D",MAX(AM10-AN10,0),AP10="C",MAX(AL10-AN10,0),AP10="B",MAX(AK10-AN10,0),AP10="A",MAX(AJ10-AN10,0),AP10="OBJETIVO ALCANÇADO",0)</f>
        <v>14629.740000000747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335871.03000000032</v>
      </c>
      <c r="E11" s="23">
        <f>Tabela13[[#This Row],[META A]]-Tabela13[[#This Row],[ATINGIDO]]</f>
        <v>-5871.030000000319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21000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21000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80959.699999999983</v>
      </c>
      <c r="Q11" s="2">
        <f>Tabela8[[#This Row],[COMPROMISSO]]-Tabela8[[#This Row],[ATINGIDO]]</f>
        <v>15540.300000000017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101426.89999999981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2273.100000000195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350.39</v>
      </c>
      <c r="E12" s="25">
        <f>Tabela13[[#This Row],[META A]]-Tabela13[[#This Row],[ATINGIDO]]</f>
        <v>-350.39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22000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22000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45959.720000000074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790.27999999992608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83173.589999999953</v>
      </c>
      <c r="E13" s="23">
        <f>Tabela13[[#This Row],[META A]]-Tabela13[[#This Row],[ATINGIDO]]</f>
        <v>6826.4100000000471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39000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39000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255764.16999999987</v>
      </c>
      <c r="Q13" s="2">
        <f>Tabela8[[#This Row],[COMPROMISSO]]-Tabela8[[#This Row],[ATINGIDO]]</f>
        <v>-177764.16999999987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83173.589999999953</v>
      </c>
      <c r="AO13" s="32" t="str" cm="1">
        <f t="array" ref="AO13">_xlfn.IFS(AN13&gt;=AJ13,"A",AN13&gt;=AK13,"B",AN13&gt;=AL13,"C",AN13&gt;=AM13,"D",TRUE,"NÃO ATINGIDO")</f>
        <v>B</v>
      </c>
      <c r="AP13" s="32" t="str" cm="1">
        <f t="array" ref="AP13">_xlfn.IFS(AO13="NÃO ATINGIDO","D",AO13="D","C",AO13="C","B",AO13="B","A",AO13="A","OBJETIVO ALCANÇADO")</f>
        <v>A</v>
      </c>
      <c r="AQ13" s="31" cm="1">
        <f t="array" ref="AQ13">_xlfn.IFS(AP13="D",MAX(AM13-AN13,0),AP13="C",MAX(AL13-AN13,0),AP13="B",MAX(AK13-AN13,0),AP13="A",MAX(AJ13-AN13,0),AP13="OBJETIVO ALCANÇADO",0)</f>
        <v>6826.4100000000471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251386.25999999937</v>
      </c>
      <c r="E14" s="25">
        <f>Tabela13[[#This Row],[META A]]-Tabela13[[#This Row],[ATINGIDO]]</f>
        <v>21613.740000000631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36000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36000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276076.59999999998</v>
      </c>
      <c r="Q14" s="2">
        <f>Tabela8[[#This Row],[COMPROMISSO]]-Tabela8[[#This Row],[ATINGIDO]]</f>
        <v>-60076.599999999977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61623.499999999993</v>
      </c>
      <c r="AO14" s="32" t="str" cm="1">
        <f t="array" ref="AO14">_xlfn.IFS(AN14&gt;=AJ14,"A",AN14&gt;=AK14,"B",AN14&gt;=AL14,"C",AN14&gt;=AM14,"D",TRUE,"NÃO ATINGIDO")</f>
        <v>B</v>
      </c>
      <c r="AP14" s="32" t="str" cm="1">
        <f t="array" ref="AP14">_xlfn.IFS(AO14="NÃO ATINGIDO","D",AO14="D","C",AO14="C","B",AO14="B","A",AO14="A","OBJETIVO ALCANÇADO")</f>
        <v>A</v>
      </c>
      <c r="AQ14" s="31" cm="1">
        <f t="array" ref="AQ14">_xlfn.IFS(AP14="D",MAX(AM14-AN14,0),AP14="C",MAX(AL14-AN14,0),AP14="B",MAX(AK14-AN14,0),AP14="A",MAX(AJ14-AN14,0),AP14="OBJETIVO ALCANÇADO",0)</f>
        <v>2876.5000000000073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75345.879999999946</v>
      </c>
      <c r="E15" s="23">
        <f>Tabela13[[#This Row],[META A]]-Tabela13[[#This Row],[ATINGIDO]]</f>
        <v>2654.1200000000536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32000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32000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281042.24</v>
      </c>
      <c r="Q15" s="2">
        <f>Tabela8[[#This Row],[COMPROMISSO]]-Tabela8[[#This Row],[ATINGIDO]]</f>
        <v>-195042.24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75345.879999999946</v>
      </c>
      <c r="AO15" s="32" t="str" cm="1">
        <f t="array" ref="AO15">_xlfn.IFS(AN15&gt;=AJ15,"A",AN15&gt;=AK15,"B",AN15&gt;=AL15,"C",AN15&gt;=AM15,"D",TRUE,"NÃO ATINGIDO")</f>
        <v>B</v>
      </c>
      <c r="AP15" s="32" t="str" cm="1">
        <f t="array" ref="AP15">_xlfn.IFS(AO15="NÃO ATINGIDO","D",AO15="D","C",AO15="C","B",AO15="B","A",AO15="A","OBJETIVO ALCANÇADO")</f>
        <v>A</v>
      </c>
      <c r="AQ15" s="31" cm="1">
        <f t="array" ref="AQ15">_xlfn.IFS(AP15="D",MAX(AM15-AN15,0),AP15="C",MAX(AL15-AN15,0),AP15="B",MAX(AK15-AN15,0),AP15="A",MAX(AJ15-AN15,0),AP15="OBJETIVO ALCANÇADO",0)</f>
        <v>2654.1200000000536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265174.1399999999</v>
      </c>
      <c r="E16" s="25">
        <f>Tabela13[[#This Row],[META A]]-Tabela13[[#This Row],[ATINGIDO]]</f>
        <v>84825.860000000102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18000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18000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43490.400000000001</v>
      </c>
      <c r="Q16" s="2">
        <f>Tabela8[[#This Row],[COMPROMISSO]]-Tabela8[[#This Row],[ATINGIDO]]</f>
        <v>-43490.400000000001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119016.31999999967</v>
      </c>
      <c r="AO16" s="32" t="str" cm="1">
        <f t="array" ref="AO16">_xlfn.IFS(AN16&gt;=AJ16,"A",AN16&gt;=AK16,"B",AN16&gt;=AL16,"C",AN16&gt;=AM16,"D",TRUE,"NÃO ATINGIDO")</f>
        <v>B</v>
      </c>
      <c r="AP16" s="32" t="str" cm="1">
        <f t="array" ref="AP16">_xlfn.IFS(AO16="NÃO ATINGIDO","D",AO16="D","C",AO16="C","B",AO16="B","A",AO16="A","OBJETIVO ALCANÇADO")</f>
        <v>A</v>
      </c>
      <c r="AQ16" s="31" cm="1">
        <f t="array" ref="AQ16">_xlfn.IFS(AP16="D",MAX(AM16-AN16,0),AP16="C",MAX(AL16-AN16,0),AP16="B",MAX(AK16-AN16,0),AP16="A",MAX(AJ16-AN16,0),AP16="OBJETIVO ALCANÇADO",0)</f>
        <v>20483.680000000328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453087.25000000012</v>
      </c>
      <c r="E17" s="23">
        <f>Tabela13[[#This Row],[META A]]-Tabela13[[#This Row],[ATINGIDO]]</f>
        <v>-33087.250000000116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47000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47000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95372.280000000072</v>
      </c>
      <c r="Q17" s="2">
        <f>Tabela8[[#This Row],[COMPROMISSO]]-Tabela8[[#This Row],[ATINGIDO]]</f>
        <v>70127.719999999928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119286.35999999997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3963.6400000000285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790901.30000000028</v>
      </c>
      <c r="E18" s="25">
        <f>Tabela13[[#This Row],[META A]]-Tabela13[[#This Row],[ATINGIDO]]</f>
        <v>189098.69999999972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23000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23000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232395.53999999951</v>
      </c>
      <c r="AO18" s="32" t="str" cm="1">
        <f t="array" ref="AO18">_xlfn.IFS(AN18&gt;=AJ18,"A",AN18&gt;=AK18,"B",AN18&gt;=AL18,"C",AN18&gt;=AM18,"D",TRUE,"NÃO ATINGIDO")</f>
        <v>B</v>
      </c>
      <c r="AP18" s="32" t="str" cm="1">
        <f t="array" ref="AP18">_xlfn.IFS(AO18="NÃO ATINGIDO","D",AO18="D","C",AO18="C","B",AO18="B","A",AO18="A","OBJETIVO ALCANÇADO")</f>
        <v>A</v>
      </c>
      <c r="AQ18" s="31" cm="1">
        <f t="array" ref="AQ18">_xlfn.IFS(AP18="D",MAX(AM18-AN18,0),AP18="C",MAX(AL18-AN18,0),AP18="B",MAX(AK18-AN18,0),AP18="A",MAX(AJ18-AN18,0),AP18="OBJETIVO ALCANÇADO",0)</f>
        <v>32604.460000000487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97628.549999999988</v>
      </c>
      <c r="E19" s="23">
        <f>Tabela13[[#This Row],[META A]]-Tabela13[[#This Row],[ATINGIDO]]</f>
        <v>44371.450000000012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15000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15000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45583.940000000053</v>
      </c>
      <c r="AO19" s="32" t="str" cm="1">
        <f t="array" ref="AO19">_xlfn.IFS(AN19&gt;=AJ19,"A",AN19&gt;=AK19,"B",AN19&gt;=AL19,"C",AN19&gt;=AM19,"D",TRUE,"NÃO ATINGIDO")</f>
        <v>D</v>
      </c>
      <c r="AP19" s="32" t="str" cm="1">
        <f t="array" ref="AP19">_xlfn.IFS(AO19="NÃO ATINGIDO","D",AO19="D","C",AO19="C","B",AO19="B","A",AO19="A","OBJETIVO ALCANÇADO")</f>
        <v>C</v>
      </c>
      <c r="AQ19" s="31" cm="1">
        <f t="array" ref="AQ19">_xlfn.IFS(AP19="D",MAX(AM19-AN19,0),AP19="C",MAX(AL19-AN19,0),AP19="B",MAX(AK19-AN19,0),AP19="A",MAX(AJ19-AN19,0),AP19="OBJETIVO ALCANÇADO",0)</f>
        <v>7966.0599999999467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589191.41</v>
      </c>
      <c r="E20" s="25">
        <f>Tabela13[[#This Row],[META A]]-Tabela13[[#This Row],[ATINGIDO]]</f>
        <v>-29191.410000000033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22000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22000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112887.08999999966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12062.910000000338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502396.70000000054</v>
      </c>
      <c r="E21" s="23">
        <f>Tabela13[[#This Row],[META A]]-Tabela13[[#This Row],[ATINGIDO]]</f>
        <v>-77396.700000000536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7000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7000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74</v>
      </c>
      <c r="AE21" s="43"/>
      <c r="AF21" s="43"/>
      <c r="AG21" s="44">
        <f>SUBTOTAL(109,Planilha1!$AG$3:$AG$20)</f>
        <v>366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2594273.1849999968</v>
      </c>
      <c r="AO21" s="4"/>
      <c r="AP21" s="4"/>
      <c r="AQ21" s="33">
        <f>SUBTOTAL(109,Tabela817[FALTA])</f>
        <v>196297.84500000346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101426.89999999981</v>
      </c>
      <c r="E22" s="25">
        <f>Tabela13[[#This Row],[META A]]-Tabela13[[#This Row],[ATINGIDO]]</f>
        <v>20573.100000000195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26000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26000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527175.98999999941</v>
      </c>
      <c r="Q22" s="7">
        <f>O22-P22</f>
        <v>157824.01000000059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190835.34999999948</v>
      </c>
      <c r="E23" s="23">
        <f>Tabela13[[#This Row],[META A]]-Tabela13[[#This Row],[ATINGIDO]]</f>
        <v>9164.650000000518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9000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9000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548778.4800000001</v>
      </c>
      <c r="Q23" s="7">
        <f>O23-P23</f>
        <v>136221.5199999999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119286.35999999997</v>
      </c>
      <c r="E24" s="25">
        <f>Tabela13[[#This Row],[META A]]-Tabela13[[#This Row],[ATINGIDO]]</f>
        <v>25713.640000000029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10000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10000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1032705.3900000001</v>
      </c>
      <c r="Q24" s="7">
        <f>O24-P24</f>
        <v>-347705.39000000013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112887.08999999966</v>
      </c>
      <c r="E25" s="23">
        <f>Tabela13[[#This Row],[META A]]-Tabela13[[#This Row],[ATINGIDO]]</f>
        <v>34112.910000000338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37000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37000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45583.940000000053</v>
      </c>
      <c r="E26" s="25">
        <f>Tabela13[[#This Row],[META A]]-Tabela13[[#This Row],[ATINGIDO]]</f>
        <v>44416.059999999947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10000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10000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227370.25999999925</v>
      </c>
      <c r="E27" s="23">
        <f>Tabela13[[#This Row],[META A]]-Tabela13[[#This Row],[ATINGIDO]]</f>
        <v>14629.740000000747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4000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4000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306075.20499999984</v>
      </c>
      <c r="E28" s="25">
        <f>Tabela13[[#This Row],[META A]]-Tabela13[[#This Row],[ATINGIDO]]</f>
        <v>17424.795000000158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119016.31999999967</v>
      </c>
      <c r="E30" s="25">
        <f>Tabela13[[#This Row],[META A]]-Tabela13[[#This Row],[ATINGIDO]]</f>
        <v>20483.680000000328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 2]",'[1]BASE PYTHON'!$P$83,"[Intervalo 3].[SEMANAL BRIOCHE]","[Intervalo 3].[SEMANAL BRIOCHE].&amp;[1]"),0)</f>
        <v>414</v>
      </c>
      <c r="W30" s="6">
        <f>U30-V30</f>
        <v>-227.57142857142858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152908.73999999982</v>
      </c>
      <c r="E31" s="23">
        <f>Tabela13[[#This Row],[META A]]-Tabela13[[#This Row],[ATINGIDO]]</f>
        <v>14091.260000000184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575469.77000000444</v>
      </c>
      <c r="K31" s="7">
        <f>I31-J31</f>
        <v>116554.03952380503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5">
        <f>IFERROR(GETPIVOTDATA("[Measures].[Contagem Distinta de COD_CLIENTE 2]",'[1]BASE PYTHON'!$P$83,"[Intervalo 3].[SEMANAL BRIOCHE]","[Intervalo 3].[SEMANAL BRIOCHE].&amp;[2]"),0)</f>
        <v>187</v>
      </c>
      <c r="W31" s="6">
        <f t="shared" ref="W31:W33" si="2">U31-V31</f>
        <v>-0.57142857142858361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232395.53999999951</v>
      </c>
      <c r="E32" s="25">
        <f>Tabela13[[#This Row],[META A]]-Tabela13[[#This Row],[ATINGIDO]]</f>
        <v>32604.460000000487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5">
        <f>IFERROR(GETPIVOTDATA("[Measures].[Contagem Distinta de COD_CLIENTE 2]",'[1]BASE PYTHON'!$P$83,"[Intervalo 3].[SEMANAL BRIOCHE]","[Intervalo 3].[SEMANAL BRIOCHE].&amp;[3]"),0)</f>
        <v>74</v>
      </c>
      <c r="W32" s="6">
        <f t="shared" si="2"/>
        <v>112.42857142857142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67010.240000000107</v>
      </c>
      <c r="E33" s="23">
        <f>Tabela13[[#This Row],[META A]]-Tabela13[[#This Row],[ATINGIDO]]</f>
        <v>32989.759999999893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5">
        <f>IFERROR(GETPIVOTDATA("[Measures].[Contagem Distinta de COD_CLIENTE 2]",'[1]BASE PYTHON'!$P$83,"[Intervalo 3].[SEMANAL BRIOCHE]","[Intervalo 3].[SEMANAL BRIOCHE].&amp;[4]"),0)</f>
        <v>74</v>
      </c>
      <c r="W33" s="6">
        <f t="shared" si="2"/>
        <v>112.42857142857142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45959.720000000074</v>
      </c>
      <c r="E34" s="25">
        <f>Tabela13[[#This Row],[META A]]-Tabela13[[#This Row],[ATINGIDO]]</f>
        <v>9040.2799999999261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617919.59500000521</v>
      </c>
      <c r="K34" s="7">
        <f t="shared" si="3"/>
        <v>74104.214523804258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39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66117.260000000009</v>
      </c>
      <c r="E35" s="23">
        <f>Tabela13[[#This Row],[META A]]-Tabela13[[#This Row],[ATINGIDO]]</f>
        <v>8882.7399999999907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1460.8799999999999</v>
      </c>
      <c r="E36" s="23">
        <f>Tabela13[[#This Row],[META A]]-Tabela13[[#This Row],[ATINGIDO]]</f>
        <v>-460.87999999999988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1203635.6099999989</v>
      </c>
      <c r="E40" s="7">
        <f>C40-D40</f>
        <v>173626.29476190591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1706006.524999988</v>
      </c>
      <c r="E43" s="7">
        <f t="shared" si="4"/>
        <v>-328744.62023808318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2026-08-31T11:18:05Z</dcterms:modified>
</cp:coreProperties>
</file>