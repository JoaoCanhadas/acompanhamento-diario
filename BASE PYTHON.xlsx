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E33648B-63DA-4340-A074-66D4F3B3F21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V33" i="2"/>
  <c r="P17" i="2"/>
  <c r="V34" i="2"/>
  <c r="D42" i="2"/>
  <c r="V31" i="2"/>
  <c r="P14" i="2"/>
  <c r="P13" i="2"/>
  <c r="D43" i="2"/>
  <c r="V32" i="2"/>
  <c r="P22" i="2"/>
  <c r="P11" i="2"/>
  <c r="P15" i="2"/>
  <c r="P24" i="2"/>
  <c r="P16" i="2"/>
  <c r="D44" i="2"/>
  <c r="D40" i="2"/>
  <c r="J34" i="2"/>
  <c r="D41" i="2"/>
  <c r="P23" i="2"/>
  <c r="J31" i="2"/>
  <c r="J33" i="2"/>
  <c r="J35" i="2"/>
  <c r="P25" i="2"/>
  <c r="V30" i="2"/>
  <c r="P12" i="2"/>
  <c r="P21" i="2"/>
  <c r="J3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<sst xmlns="http://schemas.openxmlformats.org/spreadsheetml/2006/main" count="215" uniqueCount="54">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</sst>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14/08/2026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29243.490000000009</v>
          </cell>
          <cell r="H5" t="str">
            <v>CAMPINAS</v>
          </cell>
          <cell r="I5">
            <v>468.22</v>
          </cell>
        </row>
        <row r="6">
          <cell r="E6" t="str">
            <v>CENTRO</v>
          </cell>
          <cell r="F6">
            <v>187523.89999999994</v>
          </cell>
          <cell r="H6" t="str">
            <v>CENTRO</v>
          </cell>
          <cell r="I6">
            <v>5526.1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1068.5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INTERLAGOS</v>
          </cell>
          <cell r="I8">
            <v>9121.8499999999985</v>
          </cell>
          <cell r="K8" t="str">
            <v>CAMPINAS</v>
          </cell>
          <cell r="N8">
            <v>20</v>
          </cell>
        </row>
        <row r="9">
          <cell r="E9" t="str">
            <v>INDAIATUBA</v>
          </cell>
          <cell r="F9">
            <v>41895.735000000015</v>
          </cell>
          <cell r="H9" t="str">
            <v>JUNDIAI</v>
          </cell>
          <cell r="I9">
            <v>4619.75</v>
          </cell>
          <cell r="K9" t="str">
            <v>CENTRO</v>
          </cell>
          <cell r="N9">
            <v>38</v>
          </cell>
        </row>
        <row r="10">
          <cell r="E10" t="str">
            <v>INTERLAGOS</v>
          </cell>
          <cell r="F10">
            <v>123552.25999999979</v>
          </cell>
          <cell r="H10" t="str">
            <v>KEY ABC</v>
          </cell>
          <cell r="I10">
            <v>6055.5</v>
          </cell>
          <cell r="K10" t="str">
            <v>INDAIATUBA</v>
          </cell>
          <cell r="N10">
            <v>24</v>
          </cell>
        </row>
        <row r="11">
          <cell r="E11" t="str">
            <v>JUNDIAI</v>
          </cell>
          <cell r="F11">
            <v>42880.940000000024</v>
          </cell>
          <cell r="H11" t="str">
            <v>KEY SJC</v>
          </cell>
          <cell r="I11">
            <v>2492.8000000000002</v>
          </cell>
          <cell r="K11" t="str">
            <v>INTERLAGOS</v>
          </cell>
          <cell r="N11">
            <v>43</v>
          </cell>
        </row>
        <row r="12">
          <cell r="E12" t="str">
            <v>KEY ABC</v>
          </cell>
          <cell r="F12">
            <v>132499.63999999998</v>
          </cell>
          <cell r="H12" t="str">
            <v>KEY ZL</v>
          </cell>
          <cell r="I12">
            <v>34339.5</v>
          </cell>
          <cell r="K12" t="str">
            <v>JUNDIAI</v>
          </cell>
          <cell r="N12">
            <v>14</v>
          </cell>
        </row>
        <row r="13">
          <cell r="E13" t="str">
            <v>KEY CASA</v>
          </cell>
          <cell r="F13">
            <v>220998.31999999977</v>
          </cell>
          <cell r="H13" t="str">
            <v>LESTE</v>
          </cell>
          <cell r="I13">
            <v>5891.5</v>
          </cell>
          <cell r="K13" t="str">
            <v>LESTE</v>
          </cell>
          <cell r="N13">
            <v>29</v>
          </cell>
        </row>
        <row r="14">
          <cell r="E14" t="str">
            <v>KEY INTERIOR</v>
          </cell>
          <cell r="F14">
            <v>418724.09999999974</v>
          </cell>
          <cell r="H14" t="str">
            <v>LESTE MOOCA</v>
          </cell>
          <cell r="I14">
            <v>9303.2699999999968</v>
          </cell>
          <cell r="K14" t="str">
            <v>LESTE MOOCA</v>
          </cell>
          <cell r="N14">
            <v>33</v>
          </cell>
        </row>
        <row r="15">
          <cell r="E15" t="str">
            <v>KEY PIRACICABA</v>
          </cell>
          <cell r="F15">
            <v>0</v>
          </cell>
          <cell r="H15" t="str">
            <v>LESTE PENHA</v>
          </cell>
          <cell r="I15">
            <v>1326.6</v>
          </cell>
          <cell r="K15" t="str">
            <v>LESTE PENHA</v>
          </cell>
          <cell r="N15">
            <v>18</v>
          </cell>
        </row>
        <row r="16">
          <cell r="E16" t="str">
            <v>KEY SJC</v>
          </cell>
          <cell r="F16">
            <v>17374.349999999999</v>
          </cell>
          <cell r="H16" t="str">
            <v>LESTE TATUAPE</v>
          </cell>
          <cell r="I16">
            <v>1501.75</v>
          </cell>
          <cell r="K16" t="str">
            <v>LESTE TATUAPE</v>
          </cell>
          <cell r="N16">
            <v>19</v>
          </cell>
        </row>
        <row r="17">
          <cell r="E17" t="str">
            <v>KEY SP</v>
          </cell>
          <cell r="F17">
            <v>179664.40000000005</v>
          </cell>
          <cell r="H17" t="str">
            <v>MOGI</v>
          </cell>
          <cell r="I17">
            <v>723.21</v>
          </cell>
          <cell r="K17" t="str">
            <v>MOGI</v>
          </cell>
          <cell r="N17">
            <v>18</v>
          </cell>
        </row>
        <row r="18">
          <cell r="E18" t="str">
            <v>KEY ZL</v>
          </cell>
          <cell r="F18">
            <v>156092.97</v>
          </cell>
          <cell r="H18" t="str">
            <v>NORTE</v>
          </cell>
          <cell r="I18">
            <v>3712.71</v>
          </cell>
          <cell r="K18" t="str">
            <v>NORTE</v>
          </cell>
          <cell r="N18">
            <v>28</v>
          </cell>
        </row>
        <row r="19">
          <cell r="E19" t="str">
            <v>LESTE</v>
          </cell>
          <cell r="F19">
            <v>55812.090000000055</v>
          </cell>
          <cell r="H19" t="str">
            <v>OSASCO</v>
          </cell>
          <cell r="I19">
            <v>18910.899999999998</v>
          </cell>
          <cell r="K19" t="str">
            <v>OSASCO</v>
          </cell>
          <cell r="N19">
            <v>44</v>
          </cell>
        </row>
        <row r="20">
          <cell r="E20" t="str">
            <v>LESTE MOOCA</v>
          </cell>
          <cell r="F20">
            <v>91323.00999999998</v>
          </cell>
          <cell r="H20" t="str">
            <v>PIRITUBA</v>
          </cell>
          <cell r="I20">
            <v>3064.55</v>
          </cell>
          <cell r="K20" t="str">
            <v>PIRITUBA</v>
          </cell>
          <cell r="N20">
            <v>23</v>
          </cell>
        </row>
        <row r="21">
          <cell r="E21" t="str">
            <v>LESTE PENHA</v>
          </cell>
          <cell r="F21">
            <v>54598.200000000004</v>
          </cell>
          <cell r="H21" t="str">
            <v>SANTO ANDRE</v>
          </cell>
          <cell r="I21">
            <v>5313.15</v>
          </cell>
          <cell r="K21" t="str">
            <v>SANTO ANDRE</v>
          </cell>
          <cell r="N21">
            <v>24</v>
          </cell>
        </row>
        <row r="22">
          <cell r="E22" t="str">
            <v>LESTE TATUAPE</v>
          </cell>
          <cell r="F22">
            <v>37491.100000000049</v>
          </cell>
          <cell r="H22" t="str">
            <v>SBC</v>
          </cell>
          <cell r="I22">
            <v>10020.720000000001</v>
          </cell>
          <cell r="K22" t="str">
            <v>SBC</v>
          </cell>
          <cell r="N22">
            <v>26</v>
          </cell>
        </row>
        <row r="23">
          <cell r="E23" t="str">
            <v>MOGI</v>
          </cell>
          <cell r="F23">
            <v>20407.630000000012</v>
          </cell>
          <cell r="H23" t="str">
            <v>SJC</v>
          </cell>
          <cell r="I23">
            <v>1181.21</v>
          </cell>
          <cell r="K23" t="str">
            <v>SJC</v>
          </cell>
          <cell r="N23">
            <v>28</v>
          </cell>
        </row>
        <row r="24">
          <cell r="E24" t="str">
            <v>NORTE</v>
          </cell>
          <cell r="F24">
            <v>99341.889999999912</v>
          </cell>
          <cell r="H24" t="str">
            <v>SJC/VALE</v>
          </cell>
          <cell r="I24">
            <v>1375.06</v>
          </cell>
          <cell r="K24" t="str">
            <v>SJC/VALE</v>
          </cell>
          <cell r="N24">
            <v>21</v>
          </cell>
        </row>
        <row r="25">
          <cell r="E25" t="str">
            <v>OSASCO</v>
          </cell>
          <cell r="F25">
            <v>157458.57499999992</v>
          </cell>
          <cell r="H25" t="str">
            <v>VENDEDOR INTERNO 1</v>
          </cell>
          <cell r="I25">
            <v>2550</v>
          </cell>
          <cell r="K25" t="str">
            <v>Total Geral</v>
          </cell>
          <cell r="N25">
            <v>450</v>
          </cell>
        </row>
        <row r="26">
          <cell r="E26" t="str">
            <v>PIRITUBA</v>
          </cell>
          <cell r="F26">
            <v>59753.580000000045</v>
          </cell>
          <cell r="H26" t="str">
            <v>Total Geral</v>
          </cell>
          <cell r="I26">
            <v>128566.85</v>
          </cell>
        </row>
        <row r="27">
          <cell r="E27" t="str">
            <v>SANTO ANDRE</v>
          </cell>
          <cell r="F27">
            <v>80197.589999999982</v>
          </cell>
        </row>
        <row r="28">
          <cell r="E28" t="str">
            <v>SBC</v>
          </cell>
          <cell r="F28">
            <v>118570.04999999987</v>
          </cell>
        </row>
        <row r="29">
          <cell r="E29" t="str">
            <v>SJC</v>
          </cell>
          <cell r="F29">
            <v>34998.740000000027</v>
          </cell>
        </row>
        <row r="30">
          <cell r="E30" t="str">
            <v>SJC/VALE</v>
          </cell>
          <cell r="F30">
            <v>23764.140000000025</v>
          </cell>
        </row>
        <row r="31">
          <cell r="E31" t="str">
            <v>VENDEDOR INTERNO 1</v>
          </cell>
          <cell r="F31">
            <v>35144.700000000012</v>
          </cell>
        </row>
        <row r="32">
          <cell r="E32" t="str">
            <v>Total Geral</v>
          </cell>
          <cell r="F32">
            <v>2420044.6800000039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120100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2420044.6799999997</v>
      </c>
      <c r="D5" s="2"/>
      <c r="E5" s="4"/>
      <c r="F5" s="4"/>
      <c r="G5" s="4"/>
      <c r="H5" s="4" t="s">
        <v>1</v>
      </c>
      <c r="I5" s="7">
        <f>SUM(J10:J27)</f>
        <v>85679.05</v>
      </c>
      <c r="J5" s="4"/>
      <c r="K5" s="4"/>
      <c r="L5" s="4"/>
      <c r="M5" s="4"/>
      <c r="N5" s="4" t="s">
        <v>1</v>
      </c>
      <c r="O5" s="7">
        <f>SUM(P11:P17)</f>
        <v>535634.29</v>
      </c>
      <c r="P5" s="4"/>
      <c r="Q5" s="4"/>
      <c r="R5" s="4"/>
      <c r="S5" s="4"/>
      <c r="T5" s="4" t="s">
        <v>1</v>
      </c>
      <c r="U5" s="4">
        <f>SUM(V10:V26)</f>
        <v>450</v>
      </c>
      <c r="V5" s="4"/>
      <c r="W5" s="4"/>
    </row>
    <row r="6" spans="1:23" x14ac:dyDescent="0.25">
      <c r="A6" s="4"/>
      <c r="B6" s="4" t="s">
        <v>2</v>
      </c>
      <c r="C6" s="2">
        <f>C4-C5</f>
        <v>3364455.3200000003</v>
      </c>
      <c r="D6" s="2"/>
      <c r="E6" s="4"/>
      <c r="F6" s="4"/>
      <c r="G6" s="4"/>
      <c r="H6" s="4" t="s">
        <v>2</v>
      </c>
      <c r="I6" s="7">
        <f>I4-I5</f>
        <v>34420.949999999997</v>
      </c>
      <c r="J6" s="4"/>
      <c r="K6" s="4"/>
      <c r="L6" s="4"/>
      <c r="M6" s="4"/>
      <c r="N6" s="4" t="s">
        <v>2</v>
      </c>
      <c r="O6" s="7">
        <f>O4-O5</f>
        <v>-12634.290000000037</v>
      </c>
      <c r="P6" s="4"/>
      <c r="Q6" s="4"/>
      <c r="R6" s="4"/>
      <c r="S6" s="4"/>
      <c r="T6" s="4" t="s">
        <v>2</v>
      </c>
      <c r="U6" s="4">
        <f>U4-U5</f>
        <v>333</v>
      </c>
      <c r="V6" s="4"/>
      <c r="W6" s="4"/>
    </row>
    <row r="7" spans="1:23" x14ac:dyDescent="0.25">
      <c r="A7" s="4"/>
      <c r="B7" s="4" t="s">
        <v>3</v>
      </c>
      <c r="C7" s="3">
        <f>1-(C6/C4)</f>
        <v>0.41836713285504357</v>
      </c>
      <c r="D7" s="2"/>
      <c r="E7" s="4"/>
      <c r="F7" s="4"/>
      <c r="G7" s="4"/>
      <c r="H7" s="4" t="s">
        <v>3</v>
      </c>
      <c r="I7" s="3">
        <f>1-(I6/I4)</f>
        <v>0.71339758534554543</v>
      </c>
      <c r="J7" s="4"/>
      <c r="K7" s="4"/>
      <c r="L7" s="4"/>
      <c r="M7" s="4"/>
      <c r="N7" s="4" t="s">
        <v>3</v>
      </c>
      <c r="O7" s="3">
        <f>1-(O6/O4)</f>
        <v>1.0241573422562142</v>
      </c>
      <c r="P7" s="4"/>
      <c r="Q7" s="4"/>
      <c r="R7" s="4"/>
      <c r="S7" s="4"/>
      <c r="T7" s="4" t="s">
        <v>3</v>
      </c>
      <c r="U7" s="3">
        <f>1-(U6/U4)</f>
        <v>0.57471264367816088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29243.490000000009</v>
      </c>
      <c r="E10" s="25">
        <f>Tabela13[[#This Row],[META A]]-Tabela13[[#This Row],[ATINGIDO]]</f>
        <v>35256.509999999995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9910</v>
      </c>
      <c r="J10" s="21">
        <f>_xlfn.XLOOKUP(Tabela5[[#This Row],[REFERENCIA]],'[1]BASE PYTHON'!$H:$H,'[1]BASE PYTHON'!$I:$I,0)</f>
        <v>18910.899999999998</v>
      </c>
      <c r="K10" s="22">
        <f>Tabela5[[#This Row],[COMPROMISSO]]-Tabela5[[#This Row],[ATINGIDO]]</f>
        <v>-9000.8999999999978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20</v>
      </c>
      <c r="W10" s="18">
        <f>U10-V10</f>
        <v>18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187523.89999999994</v>
      </c>
      <c r="E11" s="23">
        <f>Tabela13[[#This Row],[META A]]-Tabela13[[#This Row],[ATINGIDO]]</f>
        <v>142476.10000000006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5320</v>
      </c>
      <c r="J11" s="21">
        <f>_xlfn.XLOOKUP(Tabela5[[#This Row],[REFERENCIA]],'[1]BASE PYTHON'!$H:$H,'[1]BASE PYTHON'!$I:$I,0)</f>
        <v>3712.71</v>
      </c>
      <c r="K11" s="22">
        <f>Tabela5[[#This Row],[COMPROMISSO]]-Tabela5[[#This Row],[ATINGIDO]]</f>
        <v>1607.29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73334.399999999994</v>
      </c>
      <c r="Q11" s="2">
        <f>Tabela8[[#This Row],[COMPROMISSO]]-Tabela8[[#This Row],[ATINGIDO]]</f>
        <v>-3834.3999999999942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38</v>
      </c>
      <c r="W11" s="18">
        <f t="shared" ref="W11:W20" si="0">U11-V11</f>
        <v>16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6730</v>
      </c>
      <c r="J12" s="21">
        <f>_xlfn.XLOOKUP(Tabela5[[#This Row],[REFERENCIA]],'[1]BASE PYTHON'!$H:$H,'[1]BASE PYTHON'!$I:$I,0)</f>
        <v>3064.55</v>
      </c>
      <c r="K12" s="22">
        <f>Tabela5[[#This Row],[COMPROMISSO]]-Tabela5[[#This Row],[ATINGIDO]]</f>
        <v>3665.45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24</v>
      </c>
      <c r="W12" s="18">
        <f t="shared" si="0"/>
        <v>19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41895.735000000015</v>
      </c>
      <c r="E13" s="23">
        <f>Tabela13[[#This Row],[META A]]-Tabela13[[#This Row],[ATINGIDO]]</f>
        <v>48104.264999999985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9640</v>
      </c>
      <c r="J13" s="21">
        <f>_xlfn.XLOOKUP(Tabela5[[#This Row],[REFERENCIA]],'[1]BASE PYTHON'!$H:$H,'[1]BASE PYTHON'!$I:$I,0)</f>
        <v>10020.720000000001</v>
      </c>
      <c r="K13" s="22">
        <f>Tabela5[[#This Row],[COMPROMISSO]]-Tabela5[[#This Row],[ATINGIDO]]</f>
        <v>-380.72000000000116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88198.559999999983</v>
      </c>
      <c r="Q13" s="2">
        <f>Tabela8[[#This Row],[COMPROMISSO]]-Tabela8[[#This Row],[ATINGIDO]]</f>
        <v>10801.440000000017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43</v>
      </c>
      <c r="W13" s="18">
        <f t="shared" si="0"/>
        <v>18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123552.25999999979</v>
      </c>
      <c r="E14" s="25">
        <f>Tabela13[[#This Row],[META A]]-Tabela13[[#This Row],[ATINGIDO]]</f>
        <v>149447.74000000022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9770</v>
      </c>
      <c r="J14" s="21">
        <f>_xlfn.XLOOKUP(Tabela5[[#This Row],[REFERENCIA]],'[1]BASE PYTHON'!$H:$H,'[1]BASE PYTHON'!$I:$I,0)</f>
        <v>1501.75</v>
      </c>
      <c r="K14" s="22">
        <f>Tabela5[[#This Row],[COMPROMISSO]]-Tabela5[[#This Row],[ATINGIDO]]</f>
        <v>8268.25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184950</v>
      </c>
      <c r="Q14" s="2">
        <f>Tabela8[[#This Row],[COMPROMISSO]]-Tabela8[[#This Row],[ATINGIDO]]</f>
        <v>-24950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14</v>
      </c>
      <c r="W14" s="18">
        <f t="shared" si="0"/>
        <v>15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42880.940000000024</v>
      </c>
      <c r="E15" s="23">
        <f>Tabela13[[#This Row],[META A]]-Tabela13[[#This Row],[ATINGIDO]]</f>
        <v>35119.059999999976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13240</v>
      </c>
      <c r="J15" s="21">
        <f>_xlfn.XLOOKUP(Tabela5[[#This Row],[REFERENCIA]],'[1]BASE PYTHON'!$H:$H,'[1]BASE PYTHON'!$I:$I,0)</f>
        <v>5526.1</v>
      </c>
      <c r="K15" s="22">
        <f>Tabela5[[#This Row],[COMPROMISSO]]-Tabela5[[#This Row],[ATINGIDO]]</f>
        <v>7713.9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78766.899999999994</v>
      </c>
      <c r="Q15" s="2">
        <f>Tabela8[[#This Row],[COMPROMISSO]]-Tabela8[[#This Row],[ATINGIDO]]</f>
        <v>53233.100000000006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29</v>
      </c>
      <c r="W15" s="18">
        <f>U15-V15</f>
        <v>19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132499.63999999998</v>
      </c>
      <c r="E16" s="25">
        <f>Tabela13[[#This Row],[META A]]-Tabela13[[#This Row],[ATINGIDO]]</f>
        <v>217500.36000000002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4170</v>
      </c>
      <c r="J16" s="21">
        <f>_xlfn.XLOOKUP(Tabela5[[#This Row],[REFERENCIA]],'[1]BASE PYTHON'!$H:$H,'[1]BASE PYTHON'!$I:$I,0)</f>
        <v>5313.15</v>
      </c>
      <c r="K16" s="22">
        <f>Tabela5[[#This Row],[COMPROMISSO]]-Tabela5[[#This Row],[ATINGIDO]]</f>
        <v>-1143.1499999999996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15149</v>
      </c>
      <c r="Q16" s="2">
        <f>Tabela8[[#This Row],[COMPROMISSO]]-Tabela8[[#This Row],[ATINGIDO]]</f>
        <v>-15149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18</v>
      </c>
      <c r="W16" s="18">
        <f t="shared" si="0"/>
        <v>23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6150</v>
      </c>
      <c r="J17" s="21">
        <f>_xlfn.XLOOKUP(Tabela5[[#This Row],[REFERENCIA]],'[1]BASE PYTHON'!$H:$H,'[1]BASE PYTHON'!$I:$I,0)</f>
        <v>723.21</v>
      </c>
      <c r="K17" s="22">
        <f>Tabela5[[#This Row],[COMPROMISSO]]-Tabela5[[#This Row],[ATINGIDO]]</f>
        <v>5426.79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95235.430000000066</v>
      </c>
      <c r="Q17" s="2">
        <f>Tabela8[[#This Row],[COMPROMISSO]]-Tabela8[[#This Row],[ATINGIDO]]</f>
        <v>-32735.430000000066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33</v>
      </c>
      <c r="W17" s="18">
        <f t="shared" si="0"/>
        <v>18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418724.09999999974</v>
      </c>
      <c r="E18" s="25">
        <f>Tabela13[[#This Row],[META A]]-Tabela13[[#This Row],[ATINGIDO]]</f>
        <v>561275.90000000026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3860</v>
      </c>
      <c r="J18" s="21">
        <f>_xlfn.XLOOKUP(Tabela5[[#This Row],[REFERENCIA]],'[1]BASE PYTHON'!$H:$H,'[1]BASE PYTHON'!$I:$I,0)</f>
        <v>5891.5</v>
      </c>
      <c r="K18" s="22">
        <f>Tabela5[[#This Row],[COMPROMISSO]]-Tabela5[[#This Row],[ATINGIDO]]</f>
        <v>-2031.5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28</v>
      </c>
      <c r="W18" s="18">
        <f t="shared" si="0"/>
        <v>19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17374.349999999999</v>
      </c>
      <c r="E19" s="23">
        <f>Tabela13[[#This Row],[META A]]-Tabela13[[#This Row],[ATINGIDO]]</f>
        <v>124625.65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10980</v>
      </c>
      <c r="J19" s="21">
        <f>_xlfn.XLOOKUP(Tabela5[[#This Row],[REFERENCIA]],'[1]BASE PYTHON'!$H:$H,'[1]BASE PYTHON'!$I:$I,0)</f>
        <v>9303.2699999999968</v>
      </c>
      <c r="K19" s="22">
        <f>Tabela5[[#This Row],[COMPROMISSO]]-Tabela5[[#This Row],[ATINGIDO]]</f>
        <v>1676.7300000000032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44</v>
      </c>
      <c r="W19" s="18">
        <f t="shared" si="0"/>
        <v>19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179664.40000000005</v>
      </c>
      <c r="E20" s="25">
        <f>Tabela13[[#This Row],[META A]]-Tabela13[[#This Row],[ATINGIDO]]</f>
        <v>380335.6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14400</v>
      </c>
      <c r="J20" s="21">
        <f>_xlfn.XLOOKUP(Tabela5[[#This Row],[REFERENCIA]],'[1]BASE PYTHON'!$H:$H,'[1]BASE PYTHON'!$I:$I,0)</f>
        <v>9121.8499999999985</v>
      </c>
      <c r="K20" s="22">
        <f>Tabela5[[#This Row],[COMPROMISSO]]-Tabela5[[#This Row],[ATINGIDO]]</f>
        <v>5278.1500000000015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18</v>
      </c>
      <c r="W20" s="18">
        <f t="shared" si="0"/>
        <v>23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156092.97</v>
      </c>
      <c r="E21" s="23">
        <f>Tabela13[[#This Row],[META A]]-Tabela13[[#This Row],[ATINGIDO]]</f>
        <v>268907.03000000003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3700</v>
      </c>
      <c r="J21" s="21">
        <f>_xlfn.XLOOKUP(Tabela5[[#This Row],[REFERENCIA]],'[1]BASE PYTHON'!$H:$H,'[1]BASE PYTHON'!$I:$I,0)</f>
        <v>4619.75</v>
      </c>
      <c r="K21" s="22">
        <f>Tabela5[[#This Row],[COMPROMISSO]]-Tabela5[[#This Row],[ATINGIDO]]</f>
        <v>-919.75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23</v>
      </c>
      <c r="W21" s="18">
        <f t="shared" ref="W21:W26" si="1">U21-V21</f>
        <v>21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55812.090000000055</v>
      </c>
      <c r="E22" s="25">
        <f>Tabela13[[#This Row],[META A]]-Tabela13[[#This Row],[ATINGIDO]]</f>
        <v>66187.909999999945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7860</v>
      </c>
      <c r="J22" s="21">
        <f>_xlfn.XLOOKUP(Tabela5[[#This Row],[REFERENCIA]],'[1]BASE PYTHON'!$H:$H,'[1]BASE PYTHON'!$I:$I,0)</f>
        <v>1326.6</v>
      </c>
      <c r="K22" s="22">
        <f>Tabela5[[#This Row],[COMPROMISSO]]-Tabela5[[#This Row],[ATINGIDO]]</f>
        <v>6533.4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535634.28999999946</v>
      </c>
      <c r="Q22" s="7">
        <f>O22-P22</f>
        <v>149365.71000000054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24</v>
      </c>
      <c r="W22" s="18">
        <f t="shared" si="1"/>
        <v>16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91323.00999999998</v>
      </c>
      <c r="E23" s="23">
        <f>Tabela13[[#This Row],[META A]]-Tabela13[[#This Row],[ATINGIDO]]</f>
        <v>108676.99000000002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3270</v>
      </c>
      <c r="J23" s="21">
        <f>_xlfn.XLOOKUP(Tabela5[[#This Row],[REFERENCIA]],'[1]BASE PYTHON'!$H:$H,'[1]BASE PYTHON'!$I:$I,0)</f>
        <v>1068.5</v>
      </c>
      <c r="K23" s="22">
        <f>Tabela5[[#This Row],[COMPROMISSO]]-Tabela5[[#This Row],[ATINGIDO]]</f>
        <v>2201.5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26</v>
      </c>
      <c r="W23" s="18">
        <f t="shared" si="1"/>
        <v>29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54598.200000000004</v>
      </c>
      <c r="E24" s="25">
        <f>Tabela13[[#This Row],[META A]]-Tabela13[[#This Row],[ATINGIDO]]</f>
        <v>90401.799999999988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3650</v>
      </c>
      <c r="J24" s="21">
        <f>_xlfn.XLOOKUP(Tabela5[[#This Row],[REFERENCIA]],'[1]BASE PYTHON'!$H:$H,'[1]BASE PYTHON'!$I:$I,0)</f>
        <v>2550</v>
      </c>
      <c r="K24" s="22">
        <f>Tabela5[[#This Row],[COMPROMISSO]]-Tabela5[[#This Row],[ATINGIDO]]</f>
        <v>1100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28</v>
      </c>
      <c r="W24" s="18">
        <f t="shared" si="1"/>
        <v>9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37491.100000000049</v>
      </c>
      <c r="E25" s="23">
        <f>Tabela13[[#This Row],[META A]]-Tabela13[[#This Row],[ATINGIDO]]</f>
        <v>109508.89999999995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1530</v>
      </c>
      <c r="J25" s="21">
        <f>_xlfn.XLOOKUP(Tabela5[[#This Row],[REFERENCIA]],'[1]BASE PYTHON'!$H:$H,'[1]BASE PYTHON'!$I:$I,0)</f>
        <v>1181.21</v>
      </c>
      <c r="K25" s="22">
        <f>Tabela5[[#This Row],[COMPROMISSO]]-Tabela5[[#This Row],[ATINGIDO]]</f>
        <v>348.78999999999996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19</v>
      </c>
      <c r="W25" s="18">
        <f t="shared" si="1"/>
        <v>34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20407.630000000012</v>
      </c>
      <c r="E26" s="25">
        <f>Tabela13[[#This Row],[META A]]-Tabela13[[#This Row],[ATINGIDO]]</f>
        <v>69592.37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2290</v>
      </c>
      <c r="J26" s="21">
        <f>_xlfn.XLOOKUP(Tabela5[[#This Row],[REFERENCIA]],'[1]BASE PYTHON'!$H:$H,'[1]BASE PYTHON'!$I:$I,0)</f>
        <v>1375.06</v>
      </c>
      <c r="K26" s="22">
        <f>Tabela5[[#This Row],[COMPROMISSO]]-Tabela5[[#This Row],[ATINGIDO]]</f>
        <v>914.94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21</v>
      </c>
      <c r="W26" s="18">
        <f t="shared" si="1"/>
        <v>17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99341.889999999912</v>
      </c>
      <c r="E27" s="23">
        <f>Tabela13[[#This Row],[META A]]-Tabela13[[#This Row],[ATINGIDO]]</f>
        <v>142658.1100000001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3630</v>
      </c>
      <c r="J27" s="21">
        <f>_xlfn.XLOOKUP(Tabela5[[#This Row],[REFERENCIA]],'[1]BASE PYTHON'!$H:$H,'[1]BASE PYTHON'!$I:$I,0)</f>
        <v>468.22</v>
      </c>
      <c r="K27" s="22">
        <f>Tabela5[[#This Row],[COMPROMISSO]]-Tabela5[[#This Row],[ATINGIDO]]</f>
        <v>3161.7799999999997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157458.57499999992</v>
      </c>
      <c r="E28" s="25">
        <f>Tabela13[[#This Row],[META A]]-Tabela13[[#This Row],[ATINGIDO]]</f>
        <v>166041.42500000008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59753.580000000045</v>
      </c>
      <c r="E30" s="25">
        <f>Tabela13[[#This Row],[META A]]-Tabela13[[#This Row],[ATINGIDO]]</f>
        <v>79746.419999999955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80197.589999999982</v>
      </c>
      <c r="E31" s="23">
        <f>Tabela13[[#This Row],[META A]]-Tabela13[[#This Row],[ATINGIDO]]</f>
        <v>86802.410000000018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575694.77000000456</v>
      </c>
      <c r="K31" s="7">
        <f>I31-J31</f>
        <v>116329.03952380491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285</v>
      </c>
      <c r="W31" s="6">
        <f t="shared" ref="W31:W33" si="2">U31-V31</f>
        <v>-98.571428571428584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118570.04999999987</v>
      </c>
      <c r="E32" s="25">
        <f>Tabela13[[#This Row],[META A]]-Tabela13[[#This Row],[ATINGIDO]]</f>
        <v>146429.95000000013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626939.84000000253</v>
      </c>
      <c r="K32" s="7">
        <f t="shared" ref="K32:K34" si="3">I32-J32</f>
        <v>65083.96952380694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34998.740000000027</v>
      </c>
      <c r="E33" s="23">
        <f>Tabela13[[#This Row],[META A]]-Tabela13[[#This Row],[ATINGIDO]]</f>
        <v>65001.259999999973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23764.140000000025</v>
      </c>
      <c r="E34" s="25">
        <f>Tabela13[[#This Row],[META A]]-Tabela13[[#This Row],[ATINGIDO]]</f>
        <v>31235.859999999975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35144.700000000012</v>
      </c>
      <c r="E35" s="23">
        <f>Tabela13[[#This Row],[META A]]-Tabela13[[#This Row],[ATINGIDO]]</f>
        <v>39855.299999999988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1216184.0699999935</v>
      </c>
      <c r="E41" s="7">
        <f t="shared" ref="E41:E43" si="4">C41-D41</f>
        <v>161077.8347619113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2026-08-14T18:28:44Z</dcterms:modified>
</cp:coreProperties>
</file>