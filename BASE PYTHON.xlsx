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D80FC2E-F0CA-4173-9B72-EEFE1F3145D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J33" i="2"/>
  <c r="J35" i="2"/>
  <c r="P22" i="2"/>
  <c r="J31" i="2"/>
  <c r="J32" i="2"/>
  <c r="P15" i="2"/>
  <c r="D41" i="2"/>
  <c r="D43" i="2"/>
  <c r="P21" i="2"/>
  <c r="P23" i="2"/>
  <c r="D40" i="2"/>
  <c r="D44" i="2"/>
  <c r="P14" i="2"/>
  <c r="P24" i="2"/>
  <c r="J34" i="2"/>
  <c r="V34" i="2"/>
  <c r="P17" i="2"/>
  <c r="P13" i="2"/>
  <c r="P16" i="2"/>
  <c r="V31" i="2"/>
  <c r="P11" i="2"/>
  <c r="V33" i="2"/>
  <c r="V32" i="2"/>
  <c r="P12" i="2"/>
  <c r="D42" i="2"/>
  <c r="V30" i="2"/>
  <c r="P25" i="2"/>
  <c r="C4" i="2" l="1"/>
  <c r="C6" i="2" s="1"/>
  <c r="C7" i="2" s="1"/>
  <c r="C5" i="2"/>
  <c r="Q11" i="2"/>
  <c r="Q17" i="2"/>
  <c r="Q16" i="2"/>
  <c r="Q15" i="2"/>
  <c r="Q14" i="2"/>
  <c r="Q13" i="2"/>
  <c r="Q12" i="2"/>
  <c r="E36" i="2"/>
  <c r="U5" i="2"/>
  <c r="E12" i="2"/>
  <c r="E31" i="2" l="1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J20" i="2" l="1"/>
  <c r="K20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23" i="2"/>
  <c r="K23" i="2" s="1"/>
  <c r="J22" i="2"/>
  <c r="K22" i="2" s="1"/>
  <c r="J12" i="2"/>
  <c r="K12" i="2" s="1"/>
  <c r="J27" i="2"/>
  <c r="K27" i="2" s="1"/>
  <c r="J26" i="2"/>
  <c r="K26" i="2" s="1"/>
  <c r="J17" i="2"/>
  <c r="K17" i="2" s="1"/>
  <c r="J10" i="2"/>
  <c r="J11" i="2"/>
  <c r="K11" i="2" s="1"/>
  <c r="J13" i="2"/>
  <c r="K13" i="2" s="1"/>
  <c r="J24" i="2"/>
  <c r="K24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<sst xmlns="http://schemas.openxmlformats.org/spreadsheetml/2006/main" count="273" uniqueCount="62">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</sst>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51030.58</v>
          </cell>
        </row>
        <row r="6">
          <cell r="E6" t="str">
            <v>CENTRO</v>
          </cell>
          <cell r="F6">
            <v>297862.99000000011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1041.96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IATAGAM JUNIOR</v>
          </cell>
          <cell r="F8">
            <v>277.87</v>
          </cell>
          <cell r="K8" t="str">
            <v>CAMPINAS</v>
          </cell>
          <cell r="M8">
            <v>2</v>
          </cell>
          <cell r="N8">
            <v>29</v>
          </cell>
        </row>
        <row r="9">
          <cell r="E9" t="str">
            <v>INDAIATUBA</v>
          </cell>
          <cell r="F9">
            <v>74877.55</v>
          </cell>
          <cell r="K9" t="str">
            <v>CENTRO</v>
          </cell>
          <cell r="M9">
            <v>4</v>
          </cell>
          <cell r="N9">
            <v>44</v>
          </cell>
        </row>
        <row r="10">
          <cell r="E10" t="str">
            <v>INTERLAGOS</v>
          </cell>
          <cell r="F10">
            <v>205875.05999999953</v>
          </cell>
          <cell r="K10" t="str">
            <v>INDAIATUBA</v>
          </cell>
          <cell r="M10">
            <v>2</v>
          </cell>
          <cell r="N10">
            <v>35</v>
          </cell>
        </row>
        <row r="11">
          <cell r="E11" t="str">
            <v>JUNDIAI</v>
          </cell>
          <cell r="F11">
            <v>63117.560000000041</v>
          </cell>
          <cell r="K11" t="str">
            <v>INTERLAGOS</v>
          </cell>
          <cell r="M11">
            <v>1</v>
          </cell>
          <cell r="N11">
            <v>58</v>
          </cell>
        </row>
        <row r="12">
          <cell r="E12" t="str">
            <v>KEY ABC</v>
          </cell>
          <cell r="F12">
            <v>184214.43999999997</v>
          </cell>
          <cell r="K12" t="str">
            <v>JUNDIAI</v>
          </cell>
          <cell r="M12">
            <v>1</v>
          </cell>
          <cell r="N12">
            <v>22</v>
          </cell>
        </row>
        <row r="13">
          <cell r="E13" t="str">
            <v>KEY CASA</v>
          </cell>
          <cell r="F13">
            <v>390899.15</v>
          </cell>
          <cell r="K13" t="str">
            <v>LESTE</v>
          </cell>
          <cell r="M13">
            <v>2</v>
          </cell>
          <cell r="N13">
            <v>35</v>
          </cell>
        </row>
        <row r="14">
          <cell r="E14" t="str">
            <v>KEY INTERIOR</v>
          </cell>
          <cell r="F14">
            <v>569097.70000000019</v>
          </cell>
          <cell r="K14" t="str">
            <v>LESTE MOOCA</v>
          </cell>
          <cell r="N14">
            <v>41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27</v>
          </cell>
        </row>
        <row r="16">
          <cell r="E16" t="str">
            <v>KEY SJC</v>
          </cell>
          <cell r="F16">
            <v>54795.75</v>
          </cell>
          <cell r="K16" t="str">
            <v>LESTE TATUAPE</v>
          </cell>
          <cell r="M16">
            <v>1</v>
          </cell>
          <cell r="N16">
            <v>27</v>
          </cell>
        </row>
        <row r="17">
          <cell r="E17" t="str">
            <v>KEY SP</v>
          </cell>
          <cell r="F17">
            <v>324710.07000000018</v>
          </cell>
          <cell r="K17" t="str">
            <v>MOGI</v>
          </cell>
          <cell r="M17">
            <v>4</v>
          </cell>
          <cell r="N17">
            <v>25</v>
          </cell>
        </row>
        <row r="18">
          <cell r="E18" t="str">
            <v>KEY ZL</v>
          </cell>
          <cell r="F18">
            <v>275862.66999999981</v>
          </cell>
          <cell r="K18" t="str">
            <v>NORTE</v>
          </cell>
          <cell r="M18">
            <v>1</v>
          </cell>
          <cell r="N18">
            <v>46</v>
          </cell>
        </row>
        <row r="19">
          <cell r="E19" t="str">
            <v>LESTE</v>
          </cell>
          <cell r="F19">
            <v>84608.48999999986</v>
          </cell>
          <cell r="K19" t="str">
            <v>OSASCO</v>
          </cell>
          <cell r="M19">
            <v>8</v>
          </cell>
          <cell r="N19">
            <v>64</v>
          </cell>
        </row>
        <row r="20">
          <cell r="E20" t="str">
            <v>LESTE MOOCA</v>
          </cell>
          <cell r="F20">
            <v>160728.84999999954</v>
          </cell>
          <cell r="K20" t="str">
            <v>PIRITUBA</v>
          </cell>
          <cell r="N20">
            <v>33</v>
          </cell>
        </row>
        <row r="21">
          <cell r="E21" t="str">
            <v>LESTE PENHA</v>
          </cell>
          <cell r="F21">
            <v>102512.93000000005</v>
          </cell>
          <cell r="K21" t="str">
            <v>SANTO ANDRE</v>
          </cell>
          <cell r="N21">
            <v>29</v>
          </cell>
        </row>
        <row r="22">
          <cell r="E22" t="str">
            <v>LESTE TATUAPE</v>
          </cell>
          <cell r="F22">
            <v>100524.88999999974</v>
          </cell>
          <cell r="K22" t="str">
            <v>SBC</v>
          </cell>
          <cell r="N22">
            <v>35</v>
          </cell>
        </row>
        <row r="23">
          <cell r="E23" t="str">
            <v>MOGI</v>
          </cell>
          <cell r="F23">
            <v>35939.500000000022</v>
          </cell>
          <cell r="K23" t="str">
            <v>SJC</v>
          </cell>
          <cell r="M23">
            <v>3</v>
          </cell>
          <cell r="N23">
            <v>33</v>
          </cell>
        </row>
        <row r="24">
          <cell r="E24" t="str">
            <v>NORTE</v>
          </cell>
          <cell r="F24">
            <v>184444.20999999958</v>
          </cell>
          <cell r="K24" t="str">
            <v>SJC/VALE</v>
          </cell>
          <cell r="M24">
            <v>1</v>
          </cell>
          <cell r="N24">
            <v>29</v>
          </cell>
        </row>
        <row r="25">
          <cell r="E25" t="str">
            <v>OSASCO</v>
          </cell>
          <cell r="F25">
            <v>262171.95999999944</v>
          </cell>
          <cell r="K25" t="str">
            <v>Total Geral</v>
          </cell>
          <cell r="M25">
            <v>30</v>
          </cell>
          <cell r="N25">
            <v>612</v>
          </cell>
        </row>
        <row r="26">
          <cell r="E26" t="str">
            <v>PIRITUBA</v>
          </cell>
          <cell r="F26">
            <v>96999.279999999853</v>
          </cell>
        </row>
        <row r="27">
          <cell r="E27" t="str">
            <v>SANTO ANDRE</v>
          </cell>
          <cell r="F27">
            <v>140053.93999999983</v>
          </cell>
        </row>
        <row r="28">
          <cell r="E28" t="str">
            <v>SBC</v>
          </cell>
          <cell r="F28">
            <v>198305.76999999952</v>
          </cell>
          <cell r="K28" t="str">
            <v>POSITIVAÇÃO GERAL</v>
          </cell>
        </row>
        <row r="29">
          <cell r="E29" t="str">
            <v>SJC</v>
          </cell>
          <cell r="F29">
            <v>61930.82000000008</v>
          </cell>
          <cell r="K29" t="str">
            <v>DATA</v>
          </cell>
        </row>
        <row r="30">
          <cell r="E30" t="str">
            <v>SJC/VALE</v>
          </cell>
          <cell r="F30">
            <v>40393.610000000059</v>
          </cell>
          <cell r="K30" t="str">
            <v>DES_TIPO_OPERACAO</v>
          </cell>
        </row>
        <row r="31">
          <cell r="E31" t="str">
            <v>VENDEDOR INTERNO 1</v>
          </cell>
          <cell r="F31">
            <v>57919.020000000019</v>
          </cell>
        </row>
        <row r="32">
          <cell r="E32" t="str">
            <v>Total Geral</v>
          </cell>
          <cell r="F32">
            <v>4020196.619999974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M34">
            <v>2</v>
          </cell>
          <cell r="N34">
            <v>73</v>
          </cell>
        </row>
        <row r="35">
          <cell r="K35" t="str">
            <v>Total Geral</v>
          </cell>
          <cell r="M35">
            <v>2</v>
          </cell>
          <cell r="N35">
            <v>73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33</v>
          </cell>
          <cell r="H137" t="str">
            <v>A</v>
          </cell>
          <cell r="I137">
            <v>4</v>
          </cell>
        </row>
        <row r="138">
          <cell r="E138">
            <v>36</v>
          </cell>
          <cell r="F138">
            <v>73</v>
          </cell>
          <cell r="H138" t="str">
            <v>A</v>
          </cell>
          <cell r="I138">
            <v>6</v>
          </cell>
        </row>
        <row r="139">
          <cell r="E139">
            <v>25</v>
          </cell>
          <cell r="F139">
            <v>44</v>
          </cell>
          <cell r="H139" t="str">
            <v>B</v>
          </cell>
          <cell r="I139">
            <v>2</v>
          </cell>
        </row>
        <row r="140">
          <cell r="E140">
            <v>29</v>
          </cell>
          <cell r="F140">
            <v>64</v>
          </cell>
          <cell r="H140" t="str">
            <v>OBJETIVO ALCANÇADO</v>
          </cell>
          <cell r="I140">
            <v>0</v>
          </cell>
        </row>
        <row r="141">
          <cell r="E141">
            <v>28</v>
          </cell>
          <cell r="F141">
            <v>58</v>
          </cell>
          <cell r="H141" t="str">
            <v>A</v>
          </cell>
          <cell r="I141">
            <v>3</v>
          </cell>
        </row>
        <row r="142">
          <cell r="E142">
            <v>23</v>
          </cell>
          <cell r="F142">
            <v>41</v>
          </cell>
          <cell r="H142" t="str">
            <v>B</v>
          </cell>
          <cell r="I142">
            <v>3</v>
          </cell>
        </row>
        <row r="143">
          <cell r="E143">
            <v>18</v>
          </cell>
          <cell r="F143">
            <v>29</v>
          </cell>
          <cell r="H143" t="str">
            <v>B</v>
          </cell>
          <cell r="I143">
            <v>5</v>
          </cell>
        </row>
        <row r="144">
          <cell r="E144">
            <v>22</v>
          </cell>
          <cell r="F144">
            <v>46</v>
          </cell>
          <cell r="H144" t="str">
            <v>A</v>
          </cell>
          <cell r="I144">
            <v>1</v>
          </cell>
        </row>
        <row r="145">
          <cell r="E145">
            <v>22</v>
          </cell>
          <cell r="F145">
            <v>35</v>
          </cell>
          <cell r="H145" t="str">
            <v>B</v>
          </cell>
          <cell r="I145">
            <v>6</v>
          </cell>
        </row>
        <row r="146">
          <cell r="E146">
            <v>18</v>
          </cell>
          <cell r="F146">
            <v>29</v>
          </cell>
          <cell r="H146" t="str">
            <v>B</v>
          </cell>
          <cell r="I146">
            <v>4</v>
          </cell>
        </row>
        <row r="147">
          <cell r="E147">
            <v>20</v>
          </cell>
          <cell r="F147">
            <v>35</v>
          </cell>
          <cell r="H147" t="str">
            <v>B</v>
          </cell>
          <cell r="I147">
            <v>2</v>
          </cell>
        </row>
        <row r="148">
          <cell r="E148">
            <v>18</v>
          </cell>
          <cell r="F148">
            <v>29</v>
          </cell>
          <cell r="H148" t="str">
            <v>B</v>
          </cell>
          <cell r="I148">
            <v>4</v>
          </cell>
        </row>
        <row r="149">
          <cell r="E149">
            <v>14</v>
          </cell>
          <cell r="F149">
            <v>22</v>
          </cell>
          <cell r="H149" t="str">
            <v>B</v>
          </cell>
          <cell r="I149">
            <v>3</v>
          </cell>
        </row>
        <row r="150">
          <cell r="E150">
            <v>20</v>
          </cell>
          <cell r="F150">
            <v>33</v>
          </cell>
          <cell r="H150" t="str">
            <v>B</v>
          </cell>
          <cell r="I150">
            <v>5</v>
          </cell>
        </row>
        <row r="151">
          <cell r="E151">
            <v>19</v>
          </cell>
          <cell r="F151">
            <v>27</v>
          </cell>
          <cell r="H151" t="str">
            <v>C</v>
          </cell>
          <cell r="I151">
            <v>2</v>
          </cell>
        </row>
        <row r="152">
          <cell r="E152">
            <v>25</v>
          </cell>
          <cell r="F152">
            <v>35</v>
          </cell>
          <cell r="H152" t="str">
            <v>C</v>
          </cell>
          <cell r="I152">
            <v>4</v>
          </cell>
        </row>
        <row r="153">
          <cell r="E153">
            <v>19</v>
          </cell>
          <cell r="F153">
            <v>25</v>
          </cell>
          <cell r="H153" t="str">
            <v>C</v>
          </cell>
          <cell r="I153">
            <v>4</v>
          </cell>
        </row>
        <row r="154">
          <cell r="E154">
            <v>24</v>
          </cell>
          <cell r="F154">
            <v>27</v>
          </cell>
          <cell r="H154" t="str">
            <v>C</v>
          </cell>
          <cell r="I154">
            <v>11</v>
          </cell>
        </row>
        <row r="155">
          <cell r="E155">
            <v>397</v>
          </cell>
          <cell r="F155">
            <v>685</v>
          </cell>
          <cell r="I155">
            <v>69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61930.82000000008</v>
          </cell>
          <cell r="H160" t="str">
            <v>B</v>
          </cell>
          <cell r="I160">
            <v>23069.17999999992</v>
          </cell>
        </row>
        <row r="161">
          <cell r="E161">
            <v>33750</v>
          </cell>
          <cell r="F161">
            <v>57919.020000000019</v>
          </cell>
          <cell r="H161" t="str">
            <v>B</v>
          </cell>
          <cell r="I161">
            <v>5830.9799999999814</v>
          </cell>
        </row>
        <row r="162">
          <cell r="E162">
            <v>148500</v>
          </cell>
          <cell r="F162">
            <v>297862.99000000011</v>
          </cell>
          <cell r="H162" t="str">
            <v>A</v>
          </cell>
          <cell r="I162">
            <v>32137.009999999893</v>
          </cell>
        </row>
        <row r="163">
          <cell r="E163">
            <v>145575</v>
          </cell>
          <cell r="F163">
            <v>262171.95999999944</v>
          </cell>
          <cell r="H163" t="str">
            <v>B</v>
          </cell>
          <cell r="I163">
            <v>12803.040000000561</v>
          </cell>
        </row>
        <row r="164">
          <cell r="E164">
            <v>122850</v>
          </cell>
          <cell r="F164">
            <v>205875.05999999953</v>
          </cell>
          <cell r="H164" t="str">
            <v>B</v>
          </cell>
          <cell r="I164">
            <v>26174.940000000468</v>
          </cell>
        </row>
        <row r="165">
          <cell r="E165">
            <v>90000</v>
          </cell>
          <cell r="F165">
            <v>160728.84999999954</v>
          </cell>
          <cell r="H165" t="str">
            <v>B</v>
          </cell>
          <cell r="I165">
            <v>9271.1500000004598</v>
          </cell>
        </row>
        <row r="166">
          <cell r="E166">
            <v>75150</v>
          </cell>
          <cell r="F166">
            <v>140053.93999999983</v>
          </cell>
          <cell r="H166" t="str">
            <v>B</v>
          </cell>
          <cell r="I166">
            <v>1896.0600000001723</v>
          </cell>
        </row>
        <row r="167">
          <cell r="E167">
            <v>108900</v>
          </cell>
          <cell r="F167">
            <v>184444.20999999958</v>
          </cell>
          <cell r="H167" t="str">
            <v>B</v>
          </cell>
          <cell r="I167">
            <v>21255.790000000416</v>
          </cell>
        </row>
        <row r="168">
          <cell r="E168">
            <v>54900</v>
          </cell>
          <cell r="F168">
            <v>84608.48999999986</v>
          </cell>
          <cell r="H168" t="str">
            <v>B</v>
          </cell>
          <cell r="I168">
            <v>19091.51000000014</v>
          </cell>
        </row>
        <row r="169">
          <cell r="E169">
            <v>24750</v>
          </cell>
          <cell r="F169">
            <v>40393.610000000059</v>
          </cell>
          <cell r="H169" t="str">
            <v>B</v>
          </cell>
          <cell r="I169">
            <v>6356.3899999999412</v>
          </cell>
        </row>
        <row r="170">
          <cell r="E170">
            <v>40500</v>
          </cell>
          <cell r="F170">
            <v>74877.55</v>
          </cell>
          <cell r="H170" t="str">
            <v>B</v>
          </cell>
          <cell r="I170">
            <v>1622.4499999999971</v>
          </cell>
        </row>
        <row r="171">
          <cell r="E171">
            <v>29025</v>
          </cell>
          <cell r="F171">
            <v>51030.58</v>
          </cell>
          <cell r="H171" t="str">
            <v>B</v>
          </cell>
          <cell r="I171">
            <v>3794.4199999999983</v>
          </cell>
        </row>
        <row r="172">
          <cell r="E172">
            <v>35100</v>
          </cell>
          <cell r="F172">
            <v>63117.560000000041</v>
          </cell>
          <cell r="H172" t="str">
            <v>B</v>
          </cell>
          <cell r="I172">
            <v>3182.4399999999587</v>
          </cell>
        </row>
        <row r="173">
          <cell r="E173">
            <v>62775</v>
          </cell>
          <cell r="F173">
            <v>96999.279999999853</v>
          </cell>
          <cell r="H173" t="str">
            <v>B</v>
          </cell>
          <cell r="I173">
            <v>21575.720000000147</v>
          </cell>
        </row>
        <row r="174">
          <cell r="E174">
            <v>65250</v>
          </cell>
          <cell r="F174">
            <v>102512.93000000005</v>
          </cell>
          <cell r="H174" t="str">
            <v>B</v>
          </cell>
          <cell r="I174">
            <v>20737.069999999949</v>
          </cell>
        </row>
        <row r="175">
          <cell r="E175">
            <v>119250</v>
          </cell>
          <cell r="F175">
            <v>198305.76999999952</v>
          </cell>
          <cell r="H175" t="str">
            <v>B</v>
          </cell>
          <cell r="I175">
            <v>26944.230000000476</v>
          </cell>
        </row>
        <row r="176">
          <cell r="E176">
            <v>40500</v>
          </cell>
          <cell r="F176">
            <v>35939.500000000022</v>
          </cell>
          <cell r="H176" t="str">
            <v>D</v>
          </cell>
          <cell r="I176">
            <v>4560.4999999999782</v>
          </cell>
        </row>
        <row r="177">
          <cell r="E177">
            <v>66150</v>
          </cell>
          <cell r="F177">
            <v>100524.88999999974</v>
          </cell>
          <cell r="H177" t="str">
            <v>B</v>
          </cell>
          <cell r="I177">
            <v>24425.110000000263</v>
          </cell>
        </row>
        <row r="178">
          <cell r="E178">
            <v>1307925</v>
          </cell>
          <cell r="F178">
            <v>2219297.009999997</v>
          </cell>
          <cell r="I178">
            <v>264727.99000000273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33</v>
      </c>
      <c r="AE3" s="35" t="str" cm="1">
        <f t="array" ref="AE3">_xlfn.IFS(AD3&gt;=Z3,"A",AD3&gt;=AA3,"B",AD3&gt;=AB3,"C",AD3&gt;=AC3,"D",TRUE,"NÃO ATINGIDO")</f>
        <v>B</v>
      </c>
      <c r="AF3" s="35" t="str" cm="1">
        <f t="array" ref="AF3">_xlfn.IFS(AE3="NÃO ATINGIDO","D",AE3="D","C",AE3="C","B",AE3="B","A",AE3="A","OBJETIVO ALCANÇADO")</f>
        <v>A</v>
      </c>
      <c r="AG3" s="35" cm="1">
        <f t="array" ref="AG3">_xlfn.IFS(AF3="D",MAX(AC3-AD3,0),AF3="C",MAX(AB3-AD3,0),AF3="B",MAX(AA3-AD3,0),AF3="A",MAX(Z3-AD3,0),AF3="OBJETIVO ALCANÇADO",0)</f>
        <v>4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61930.82000000008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23069.17999999992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220030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2</v>
      </c>
      <c r="AE4" s="37" t="str" cm="1">
        <f t="array" ref="AE4">_xlfn.IFS(AD4&gt;=Z4,"A",AD4&gt;=AA4,"B",AD4&gt;=AB4,"C",AD4&gt;=AC4,"D",TRUE,"NÃO ATINGIDO")</f>
        <v>NÃO ATINGIDO</v>
      </c>
      <c r="AF4" s="37" t="str" cm="1">
        <f t="array" ref="AF4">_xlfn.IFS(AE4="NÃO ATINGIDO","D",AE4="D","C",AE4="C","B",AE4="B","A",AE4="A","OBJETIVO ALCANÇADO")</f>
        <v>D</v>
      </c>
      <c r="AG4" s="37" cm="1">
        <f t="array" ref="AG4">_xlfn.IFS(AF4="D",MAX(AC4-AD4,0),AF4="C",MAX(AB4-AD4,0),AF4="B",MAX(AA4-AD4,0),AF4="A",MAX(Z4-AD4,0),AF4="OBJETIVO ALCANÇADO",0)</f>
        <v>34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57919.020000000019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5830.9799999999814</v>
      </c>
    </row>
    <row r="5" spans="1:43" x14ac:dyDescent="0.25">
      <c r="A5" s="4"/>
      <c r="B5" s="4" t="s">
        <v>1</v>
      </c>
      <c r="C5" s="2">
        <f>SUM(D10:D36)</f>
        <v>4020196.6199999978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133905.81999999998</v>
      </c>
      <c r="P5" s="4"/>
      <c r="Q5" s="4"/>
      <c r="R5" s="4"/>
      <c r="S5" s="4"/>
      <c r="T5" s="4" t="s">
        <v>1</v>
      </c>
      <c r="U5" s="4">
        <f>SUM(V10:V26)</f>
        <v>612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44</v>
      </c>
      <c r="AE5" s="35" t="str" cm="1">
        <f t="array" ref="AE5">_xlfn.IFS(AD5&gt;=Z5,"A",AD5&gt;=AA5,"B",AD5&gt;=AB5,"C",AD5&gt;=AC5,"D",TRUE,"NÃO ATINGIDO")</f>
        <v>C</v>
      </c>
      <c r="AF5" s="35" t="str" cm="1">
        <f t="array" ref="AF5">_xlfn.IFS(AE5="NÃO ATINGIDO","D",AE5="D","C",AE5="C","B",AE5="B","A",AE5="A","OBJETIVO ALCANÇADO")</f>
        <v>B</v>
      </c>
      <c r="AG5" s="35" cm="1">
        <f t="array" ref="AG5">_xlfn.IFS(AF5="D",MAX(AC5-AD5,0),AF5="C",MAX(AB5-AD5,0),AF5="B",MAX(AA5-AD5,0),AF5="A",MAX(Z5-AD5,0),AF5="OBJETIVO ALCANÇADO",0)</f>
        <v>2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297862.99000000011</v>
      </c>
      <c r="AO5" s="32" t="str" cm="1">
        <f t="array" ref="AO5">_xlfn.IFS(AN5&gt;=AJ5,"A",AN5&gt;=AK5,"B",AN5&gt;=AL5,"C",AN5&gt;=AM5,"D",TRUE,"NÃO ATINGIDO")</f>
        <v>B</v>
      </c>
      <c r="AP5" s="32" t="str" cm="1">
        <f t="array" ref="AP5">_xlfn.IFS(AO5="NÃO ATINGIDO","D",AO5="D","C",AO5="C","B",AO5="B","A",AO5="A","OBJETIVO ALCANÇADO")</f>
        <v>A</v>
      </c>
      <c r="AQ5" s="31" cm="1">
        <f t="array" ref="AQ5">_xlfn.IFS(AP5="D",MAX(AM5-AN5,0),AP5="C",MAX(AL5-AN5,0),AP5="B",MAX(AK5-AN5,0),AP5="A",MAX(AJ5-AN5,0),AP5="OBJETIVO ALCANÇADO",0)</f>
        <v>32137.009999999893</v>
      </c>
    </row>
    <row r="6" spans="1:43" x14ac:dyDescent="0.25">
      <c r="A6" s="4"/>
      <c r="B6" s="4" t="s">
        <v>2</v>
      </c>
      <c r="C6" s="2">
        <f>C4-C5</f>
        <v>1764303.3800000022</v>
      </c>
      <c r="D6" s="2"/>
      <c r="E6" s="4"/>
      <c r="F6" s="4"/>
      <c r="G6" s="4"/>
      <c r="H6" s="4" t="s">
        <v>2</v>
      </c>
      <c r="I6" s="7">
        <f>I4-I5</f>
        <v>220030</v>
      </c>
      <c r="J6" s="4"/>
      <c r="K6" s="4"/>
      <c r="L6" s="4"/>
      <c r="M6" s="4"/>
      <c r="N6" s="4" t="s">
        <v>2</v>
      </c>
      <c r="O6" s="7">
        <f>O4-O5</f>
        <v>508094.18000000005</v>
      </c>
      <c r="P6" s="4"/>
      <c r="Q6" s="4"/>
      <c r="R6" s="4"/>
      <c r="S6" s="4"/>
      <c r="T6" s="4" t="s">
        <v>2</v>
      </c>
      <c r="U6" s="4">
        <f>U4-U5</f>
        <v>171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64</v>
      </c>
      <c r="AE6" s="37" t="str" cm="1">
        <f t="array" ref="AE6">_xlfn.IFS(AD6&gt;=Z6,"A",AD6&gt;=AA6,"B",AD6&gt;=AB6,"C",AD6&gt;=AC6,"D",TRUE,"NÃO ATINGIDO")</f>
        <v>A</v>
      </c>
      <c r="AF6" s="37" t="str" cm="1">
        <f t="array" ref="AF6">_xlfn.IFS(AE6="NÃO ATINGIDO","D",AE6="D","C",AE6="C","B",AE6="B","A",AE6="A","OBJETIVO ALCANÇADO")</f>
        <v>OBJETIVO ALCANÇADO</v>
      </c>
      <c r="AG6" s="37" cm="1">
        <f t="array" ref="AG6">_xlfn.IFS(AF6="D",MAX(AC6-AD6,0),AF6="C",MAX(AB6-AD6,0),AF6="B",MAX(AA6-AD6,0),AF6="A",MAX(Z6-AD6,0),AF6="OBJETIVO ALCANÇADO",0)</f>
        <v>0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262171.95999999944</v>
      </c>
      <c r="AO6" s="32" t="str" cm="1">
        <f t="array" ref="AO6">_xlfn.IFS(AN6&gt;=AJ6,"A",AN6&gt;=AK6,"B",AN6&gt;=AL6,"C",AN6&gt;=AM6,"D",TRUE,"NÃO ATINGIDO")</f>
        <v>C</v>
      </c>
      <c r="AP6" s="32" t="str" cm="1">
        <f t="array" ref="AP6">_xlfn.IFS(AO6="NÃO ATINGIDO","D",AO6="D","C",AO6="C","B",AO6="B","A",AO6="A","OBJETIVO ALCANÇADO")</f>
        <v>B</v>
      </c>
      <c r="AQ6" s="31" cm="1">
        <f t="array" ref="AQ6">_xlfn.IFS(AP6="D",MAX(AM6-AN6,0),AP6="C",MAX(AL6-AN6,0),AP6="B",MAX(AK6-AN6,0),AP6="A",MAX(AJ6-AN6,0),AP6="OBJETIVO ALCANÇADO",0)</f>
        <v>12803.040000000561</v>
      </c>
    </row>
    <row r="7" spans="1:43" x14ac:dyDescent="0.25">
      <c r="A7" s="4"/>
      <c r="B7" s="4" t="s">
        <v>3</v>
      </c>
      <c r="C7" s="3">
        <f>1-(C6/C4)</f>
        <v>0.69499466159564316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0.20857604361370707</v>
      </c>
      <c r="P7" s="4"/>
      <c r="Q7" s="4"/>
      <c r="R7" s="4"/>
      <c r="S7" s="4"/>
      <c r="T7" s="4" t="s">
        <v>3</v>
      </c>
      <c r="U7" s="3">
        <f>1-(U6/U4)</f>
        <v>0.78160919540229878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58</v>
      </c>
      <c r="AE7" s="35" t="str" cm="1">
        <f t="array" ref="AE7">_xlfn.IFS(AD7&gt;=Z7,"A",AD7&gt;=AA7,"B",AD7&gt;=AB7,"C",AD7&gt;=AC7,"D",TRUE,"NÃO ATINGIDO")</f>
        <v>B</v>
      </c>
      <c r="AF7" s="35" t="str" cm="1">
        <f t="array" ref="AF7">_xlfn.IFS(AE7="NÃO ATINGIDO","D",AE7="D","C",AE7="C","B",AE7="B","A",AE7="A","OBJETIVO ALCANÇADO")</f>
        <v>A</v>
      </c>
      <c r="AG7" s="35" cm="1">
        <f t="array" ref="AG7">_xlfn.IFS(AF7="D",MAX(AC7-AD7,0),AF7="C",MAX(AB7-AD7,0),AF7="B",MAX(AA7-AD7,0),AF7="A",MAX(Z7-AD7,0),AF7="OBJETIVO ALCANÇADO",0)</f>
        <v>3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205875.05999999953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26174.940000000468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41</v>
      </c>
      <c r="AE8" s="37" t="str" cm="1">
        <f t="array" ref="AE8">_xlfn.IFS(AD8&gt;=Z8,"A",AD8&gt;=AA8,"B",AD8&gt;=AB8,"C",AD8&gt;=AC8,"D",TRUE,"NÃO ATINGIDO")</f>
        <v>C</v>
      </c>
      <c r="AF8" s="37" t="str" cm="1">
        <f t="array" ref="AF8">_xlfn.IFS(AE8="NÃO ATINGIDO","D",AE8="D","C",AE8="C","B",AE8="B","A",AE8="A","OBJETIVO ALCANÇADO")</f>
        <v>B</v>
      </c>
      <c r="AG8" s="37" cm="1">
        <f t="array" ref="AG8">_xlfn.IFS(AF8="D",MAX(AC8-AD8,0),AF8="C",MAX(AB8-AD8,0),AF8="B",MAX(AA8-AD8,0),AF8="A",MAX(Z8-AD8,0),AF8="OBJETIVO ALCANÇADO",0)</f>
        <v>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160728.84999999954</v>
      </c>
      <c r="AO8" s="32" t="str" cm="1">
        <f t="array" ref="AO8">_xlfn.IFS(AN8&gt;=AJ8,"A",AN8&gt;=AK8,"B",AN8&gt;=AL8,"C",AN8&gt;=AM8,"D",TRUE,"NÃO ATINGIDO")</f>
        <v>C</v>
      </c>
      <c r="AP8" s="32" t="str" cm="1">
        <f t="array" ref="AP8">_xlfn.IFS(AO8="NÃO ATINGIDO","D",AO8="D","C",AO8="C","B",AO8="B","A",AO8="A","OBJETIVO ALCANÇADO")</f>
        <v>B</v>
      </c>
      <c r="AQ8" s="31" cm="1">
        <f t="array" ref="AQ8">_xlfn.IFS(AP8="D",MAX(AM8-AN8,0),AP8="C",MAX(AL8-AN8,0),AP8="B",MAX(AK8-AN8,0),AP8="A",MAX(AJ8-AN8,0),AP8="OBJETIVO ALCANÇADO",0)</f>
        <v>9271.1500000004598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29</v>
      </c>
      <c r="AE9" s="35" t="str" cm="1">
        <f t="array" ref="AE9">_xlfn.IFS(AD9&gt;=Z9,"A",AD9&gt;=AA9,"B",AD9&gt;=AB9,"C",AD9&gt;=AC9,"D",TRUE,"NÃO ATINGIDO")</f>
        <v>C</v>
      </c>
      <c r="AF9" s="35" t="str" cm="1">
        <f t="array" ref="AF9">_xlfn.IFS(AE9="NÃO ATINGIDO","D",AE9="D","C",AE9="C","B",AE9="B","A",AE9="A","OBJETIVO ALCANÇADO")</f>
        <v>B</v>
      </c>
      <c r="AG9" s="35" cm="1">
        <f t="array" ref="AG9">_xlfn.IFS(AF9="D",MAX(AC9-AD9,0),AF9="C",MAX(AB9-AD9,0),AF9="B",MAX(AA9-AD9,0),AF9="A",MAX(Z9-AD9,0),AF9="OBJETIVO ALCANÇADO",0)</f>
        <v>5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140053.93999999983</v>
      </c>
      <c r="AO9" s="32" t="str" cm="1">
        <f t="array" ref="AO9">_xlfn.IFS(AN9&gt;=AJ9,"A",AN9&gt;=AK9,"B",AN9&gt;=AL9,"C",AN9&gt;=AM9,"D",TRUE,"NÃO ATINGIDO")</f>
        <v>C</v>
      </c>
      <c r="AP9" s="32" t="str" cm="1">
        <f t="array" ref="AP9">_xlfn.IFS(AO9="NÃO ATINGIDO","D",AO9="D","C",AO9="C","B",AO9="B","A",AO9="A","OBJETIVO ALCANÇADO")</f>
        <v>B</v>
      </c>
      <c r="AQ9" s="31" cm="1">
        <f t="array" ref="AQ9">_xlfn.IFS(AP9="D",MAX(AM9-AN9,0),AP9="C",MAX(AL9-AN9,0),AP9="B",MAX(AK9-AN9,0),AP9="A",MAX(AJ9-AN9,0),AP9="OBJETIVO ALCANÇADO",0)</f>
        <v>1896.0600000001723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51030.58</v>
      </c>
      <c r="E10" s="25">
        <f>Tabela13[[#This Row],[META A]]-Tabela13[[#This Row],[ATINGIDO]]</f>
        <v>13469.419999999998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19630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19630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29</v>
      </c>
      <c r="W10" s="18">
        <f>U10-V10</f>
        <v>9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46</v>
      </c>
      <c r="AE10" s="37" t="str" cm="1">
        <f t="array" ref="AE10">_xlfn.IFS(AD10&gt;=Z10,"A",AD10&gt;=AA10,"B",AD10&gt;=AB10,"C",AD10&gt;=AC10,"D",TRUE,"NÃO ATINGIDO")</f>
        <v>B</v>
      </c>
      <c r="AF10" s="37" t="str" cm="1">
        <f t="array" ref="AF10">_xlfn.IFS(AE10="NÃO ATINGIDO","D",AE10="D","C",AE10="C","B",AE10="B","A",AE10="A","OBJETIVO ALCANÇADO")</f>
        <v>A</v>
      </c>
      <c r="AG10" s="37" cm="1">
        <f t="array" ref="AG10">_xlfn.IFS(AF10="D",MAX(AC10-AD10,0),AF10="C",MAX(AB10-AD10,0),AF10="B",MAX(AA10-AD10,0),AF10="A",MAX(Z10-AD10,0),AF10="OBJETIVO ALCANÇADO",0)</f>
        <v>1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184444.20999999958</v>
      </c>
      <c r="AO10" s="32" t="str" cm="1">
        <f t="array" ref="AO10">_xlfn.IFS(AN10&gt;=AJ10,"A",AN10&gt;=AK10,"B",AN10&gt;=AL10,"C",AN10&gt;=AM10,"D",TRUE,"NÃO ATINGIDO")</f>
        <v>C</v>
      </c>
      <c r="AP10" s="32" t="str" cm="1">
        <f t="array" ref="AP10">_xlfn.IFS(AO10="NÃO ATINGIDO","D",AO10="D","C",AO10="C","B",AO10="B","A",AO10="A","OBJETIVO ALCANÇADO")</f>
        <v>B</v>
      </c>
      <c r="AQ10" s="31" cm="1">
        <f t="array" ref="AQ10">_xlfn.IFS(AP10="D",MAX(AM10-AN10,0),AP10="C",MAX(AL10-AN10,0),AP10="B",MAX(AK10-AN10,0),AP10="A",MAX(AJ10-AN10,0),AP10="OBJETIVO ALCANÇADO",0)</f>
        <v>21255.790000000416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297862.99000000011</v>
      </c>
      <c r="E11" s="23">
        <f>Tabela13[[#This Row],[META A]]-Tabela13[[#This Row],[ATINGIDO]]</f>
        <v>32137.009999999893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16280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16280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96500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44</v>
      </c>
      <c r="W11" s="18">
        <f t="shared" ref="W11:W20" si="0">U11-V11</f>
        <v>10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35</v>
      </c>
      <c r="AE11" s="35" t="str" cm="1">
        <f t="array" ref="AE11">_xlfn.IFS(AD11&gt;=Z11,"A",AD11&gt;=AA11,"B",AD11&gt;=AB11,"C",AD11&gt;=AC11,"D",TRUE,"NÃO ATINGIDO")</f>
        <v>C</v>
      </c>
      <c r="AF11" s="35" t="str" cm="1">
        <f t="array" ref="AF11">_xlfn.IFS(AE11="NÃO ATINGIDO","D",AE11="D","C",AE11="C","B",AE11="B","A",AE11="A","OBJETIVO ALCANÇADO")</f>
        <v>B</v>
      </c>
      <c r="AG11" s="35" cm="1">
        <f t="array" ref="AG11">_xlfn.IFS(AF11="D",MAX(AC11-AD11,0),AF11="C",MAX(AB11-AD11,0),AF11="B",MAX(AA11-AD11,0),AF11="A",MAX(Z11-AD11,0),AF11="OBJETIVO ALCANÇADO",0)</f>
        <v>6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84608.48999999986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19091.51000000014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277.87</v>
      </c>
      <c r="E12" s="25">
        <f>Tabela13[[#This Row],[META A]]-Tabela13[[#This Row],[ATINGIDO]]</f>
        <v>-277.87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12830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12830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35</v>
      </c>
      <c r="W12" s="18">
        <f t="shared" si="0"/>
        <v>8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29</v>
      </c>
      <c r="AE12" s="37" t="str" cm="1">
        <f t="array" ref="AE12">_xlfn.IFS(AD12&gt;=Z12,"A",AD12&gt;=AA12,"B",AD12&gt;=AB12,"C",AD12&gt;=AC12,"D",TRUE,"NÃO ATINGIDO")</f>
        <v>C</v>
      </c>
      <c r="AF12" s="37" t="str" cm="1">
        <f t="array" ref="AF12">_xlfn.IFS(AE12="NÃO ATINGIDO","D",AE12="D","C",AE12="C","B",AE12="B","A",AE12="A","OBJETIVO ALCANÇADO")</f>
        <v>B</v>
      </c>
      <c r="AG12" s="37" cm="1">
        <f t="array" ref="AG12">_xlfn.IFS(AF12="D",MAX(AC12-AD12,0),AF12="C",MAX(AB12-AD12,0),AF12="B",MAX(AA12-AD12,0),AF12="A",MAX(Z12-AD12,0),AF12="OBJETIVO ALCANÇADO",0)</f>
        <v>4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40393.610000000059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6356.3899999999412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74877.55</v>
      </c>
      <c r="E13" s="23">
        <f>Tabela13[[#This Row],[META A]]-Tabela13[[#This Row],[ATINGIDO]]</f>
        <v>15122.449999999997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25000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29230.139999999996</v>
      </c>
      <c r="Q13" s="2">
        <f>Tabela8[[#This Row],[COMPROMISSO]]-Tabela8[[#This Row],[ATINGIDO]]</f>
        <v>48769.86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58</v>
      </c>
      <c r="W13" s="18">
        <f t="shared" si="0"/>
        <v>3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35</v>
      </c>
      <c r="AE13" s="35" t="str" cm="1">
        <f t="array" ref="AE13">_xlfn.IFS(AD13&gt;=Z13,"A",AD13&gt;=AA13,"B",AD13&gt;=AB13,"C",AD13&gt;=AC13,"D",TRUE,"NÃO ATINGIDO")</f>
        <v>C</v>
      </c>
      <c r="AF13" s="35" t="str" cm="1">
        <f t="array" ref="AF13">_xlfn.IFS(AE13="NÃO ATINGIDO","D",AE13="D","C",AE13="C","B",AE13="B","A",AE13="A","OBJETIVO ALCANÇADO")</f>
        <v>B</v>
      </c>
      <c r="AG13" s="35" cm="1">
        <f t="array" ref="AG13">_xlfn.IFS(AF13="D",MAX(AC13-AD13,0),AF13="C",MAX(AB13-AD13,0),AF13="B",MAX(AA13-AD13,0),AF13="A",MAX(Z13-AD13,0),AF13="OBJETIVO ALCANÇADO",0)</f>
        <v>2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74877.55</v>
      </c>
      <c r="AO13" s="32" t="str" cm="1">
        <f t="array" ref="AO13">_xlfn.IFS(AN13&gt;=AJ13,"A",AN13&gt;=AK13,"B",AN13&gt;=AL13,"C",AN13&gt;=AM13,"D",TRUE,"NÃO ATINGIDO")</f>
        <v>C</v>
      </c>
      <c r="AP13" s="32" t="str" cm="1">
        <f t="array" ref="AP13">_xlfn.IFS(AO13="NÃO ATINGIDO","D",AO13="D","C",AO13="C","B",AO13="B","A",AO13="A","OBJETIVO ALCANÇADO")</f>
        <v>B</v>
      </c>
      <c r="AQ13" s="31" cm="1">
        <f t="array" ref="AQ13">_xlfn.IFS(AP13="D",MAX(AM13-AN13,0),AP13="C",MAX(AL13-AN13,0),AP13="B",MAX(AK13-AN13,0),AP13="A",MAX(AJ13-AN13,0),AP13="OBJETIVO ALCANÇADO",0)</f>
        <v>1622.4499999999971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205875.05999999953</v>
      </c>
      <c r="E14" s="25">
        <f>Tabela13[[#This Row],[META A]]-Tabela13[[#This Row],[ATINGIDO]]</f>
        <v>67124.940000000468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14700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14700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54272.999999999978</v>
      </c>
      <c r="Q14" s="2">
        <f>Tabela8[[#This Row],[COMPROMISSO]]-Tabela8[[#This Row],[ATINGIDO]]</f>
        <v>161727.00000000003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22</v>
      </c>
      <c r="W14" s="18">
        <f t="shared" si="0"/>
        <v>7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29</v>
      </c>
      <c r="AE14" s="37" t="str" cm="1">
        <f t="array" ref="AE14">_xlfn.IFS(AD14&gt;=Z14,"A",AD14&gt;=AA14,"B",AD14&gt;=AB14,"C",AD14&gt;=AC14,"D",TRUE,"NÃO ATINGIDO")</f>
        <v>C</v>
      </c>
      <c r="AF14" s="37" t="str" cm="1">
        <f t="array" ref="AF14">_xlfn.IFS(AE14="NÃO ATINGIDO","D",AE14="D","C",AE14="C","B",AE14="B","A",AE14="A","OBJETIVO ALCANÇADO")</f>
        <v>B</v>
      </c>
      <c r="AG14" s="37" cm="1">
        <f t="array" ref="AG14">_xlfn.IFS(AF14="D",MAX(AC14-AD14,0),AF14="C",MAX(AB14-AD14,0),AF14="B",MAX(AA14-AD14,0),AF14="A",MAX(Z14-AD14,0),AF14="OBJETIVO ALCANÇADO",0)</f>
        <v>4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51030.58</v>
      </c>
      <c r="AO14" s="32" t="str" cm="1">
        <f t="array" ref="AO14">_xlfn.IFS(AN14&gt;=AJ14,"A",AN14&gt;=AK14,"B",AN14&gt;=AL14,"C",AN14&gt;=AM14,"D",TRUE,"NÃO ATINGIDO")</f>
        <v>C</v>
      </c>
      <c r="AP14" s="32" t="str" cm="1">
        <f t="array" ref="AP14">_xlfn.IFS(AO14="NÃO ATINGIDO","D",AO14="D","C",AO14="C","B",AO14="B","A",AO14="A","OBJETIVO ALCANÇADO")</f>
        <v>B</v>
      </c>
      <c r="AQ14" s="31" cm="1">
        <f t="array" ref="AQ14">_xlfn.IFS(AP14="D",MAX(AM14-AN14,0),AP14="C",MAX(AL14-AN14,0),AP14="B",MAX(AK14-AN14,0),AP14="A",MAX(AJ14-AN14,0),AP14="OBJETIVO ALCANÇADO",0)</f>
        <v>3794.4199999999983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63117.560000000041</v>
      </c>
      <c r="E15" s="23">
        <f>Tabela13[[#This Row],[META A]]-Tabela13[[#This Row],[ATINGIDO]]</f>
        <v>14882.439999999959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21790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21790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16560.899999999998</v>
      </c>
      <c r="Q15" s="2">
        <f>Tabela8[[#This Row],[COMPROMISSO]]-Tabela8[[#This Row],[ATINGIDO]]</f>
        <v>69439.100000000006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35</v>
      </c>
      <c r="W15" s="18">
        <f>U15-V15</f>
        <v>13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22</v>
      </c>
      <c r="AE15" s="35" t="str" cm="1">
        <f t="array" ref="AE15">_xlfn.IFS(AD15&gt;=Z15,"A",AD15&gt;=AA15,"B",AD15&gt;=AB15,"C",AD15&gt;=AC15,"D",TRUE,"NÃO ATINGIDO")</f>
        <v>C</v>
      </c>
      <c r="AF15" s="35" t="str" cm="1">
        <f t="array" ref="AF15">_xlfn.IFS(AE15="NÃO ATINGIDO","D",AE15="D","C",AE15="C","B",AE15="B","A",AE15="A","OBJETIVO ALCANÇADO")</f>
        <v>B</v>
      </c>
      <c r="AG15" s="35" cm="1">
        <f t="array" ref="AG15">_xlfn.IFS(AF15="D",MAX(AC15-AD15,0),AF15="C",MAX(AB15-AD15,0),AF15="B",MAX(AA15-AD15,0),AF15="A",MAX(Z15-AD15,0),AF15="OBJETIVO ALCANÇADO",0)</f>
        <v>3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63117.560000000041</v>
      </c>
      <c r="AO15" s="32" t="str" cm="1">
        <f t="array" ref="AO15">_xlfn.IFS(AN15&gt;=AJ15,"A",AN15&gt;=AK15,"B",AN15&gt;=AL15,"C",AN15&gt;=AM15,"D",TRUE,"NÃO ATINGIDO")</f>
        <v>C</v>
      </c>
      <c r="AP15" s="32" t="str" cm="1">
        <f t="array" ref="AP15">_xlfn.IFS(AO15="NÃO ATINGIDO","D",AO15="D","C",AO15="C","B",AO15="B","A",AO15="A","OBJETIVO ALCANÇADO")</f>
        <v>B</v>
      </c>
      <c r="AQ15" s="31" cm="1">
        <f t="array" ref="AQ15">_xlfn.IFS(AP15="D",MAX(AM15-AN15,0),AP15="C",MAX(AL15-AN15,0),AP15="B",MAX(AK15-AN15,0),AP15="A",MAX(AJ15-AN15,0),AP15="OBJETIVO ALCANÇADO",0)</f>
        <v>3182.4399999999587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184214.43999999997</v>
      </c>
      <c r="E16" s="25">
        <f>Tabela13[[#This Row],[META A]]-Tabela13[[#This Row],[ATINGIDO]]</f>
        <v>165785.56000000003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11880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11880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657.59999999999991</v>
      </c>
      <c r="Q16" s="2">
        <f>Tabela8[[#This Row],[COMPROMISSO]]-Tabela8[[#This Row],[ATINGIDO]]</f>
        <v>-657.59999999999991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25</v>
      </c>
      <c r="W16" s="18">
        <f t="shared" si="0"/>
        <v>16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33</v>
      </c>
      <c r="AE16" s="37" t="str" cm="1">
        <f t="array" ref="AE16">_xlfn.IFS(AD16&gt;=Z16,"A",AD16&gt;=AA16,"B",AD16&gt;=AB16,"C",AD16&gt;=AC16,"D",TRUE,"NÃO ATINGIDO")</f>
        <v>C</v>
      </c>
      <c r="AF16" s="37" t="str" cm="1">
        <f t="array" ref="AF16">_xlfn.IFS(AE16="NÃO ATINGIDO","D",AE16="D","C",AE16="C","B",AE16="B","A",AE16="A","OBJETIVO ALCANÇADO")</f>
        <v>B</v>
      </c>
      <c r="AG16" s="37" cm="1">
        <f t="array" ref="AG16">_xlfn.IFS(AF16="D",MAX(AC16-AD16,0),AF16="C",MAX(AB16-AD16,0),AF16="B",MAX(AA16-AD16,0),AF16="A",MAX(Z16-AD16,0),AF16="OBJETIVO ALCANÇADO",0)</f>
        <v>5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96999.279999999853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21575.720000000147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390899.15</v>
      </c>
      <c r="E17" s="23">
        <f>Tabela13[[#This Row],[META A]]-Tabela13[[#This Row],[ATINGIDO]]</f>
        <v>29100.849999999977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8960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8960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33184.180000000008</v>
      </c>
      <c r="Q17" s="2">
        <f>Tabela8[[#This Row],[COMPROMISSO]]-Tabela8[[#This Row],[ATINGIDO]]</f>
        <v>132315.82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41</v>
      </c>
      <c r="W17" s="18">
        <f t="shared" si="0"/>
        <v>10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27</v>
      </c>
      <c r="AE17" s="35" t="str" cm="1">
        <f t="array" ref="AE17">_xlfn.IFS(AD17&gt;=Z17,"A",AD17&gt;=AA17,"B",AD17&gt;=AB17,"C",AD17&gt;=AC17,"D",TRUE,"NÃO ATINGIDO")</f>
        <v>D</v>
      </c>
      <c r="AF17" s="35" t="str" cm="1">
        <f t="array" ref="AF17">_xlfn.IFS(AE17="NÃO ATINGIDO","D",AE17="D","C",AE17="C","B",AE17="B","A",AE17="A","OBJETIVO ALCANÇADO")</f>
        <v>C</v>
      </c>
      <c r="AG17" s="35" cm="1">
        <f t="array" ref="AG17">_xlfn.IFS(AF17="D",MAX(AC17-AD17,0),AF17="C",MAX(AB17-AD17,0),AF17="B",MAX(AA17-AD17,0),AF17="A",MAX(Z17-AD17,0),AF17="OBJETIVO ALCANÇADO",0)</f>
        <v>2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102512.93000000005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20737.069999999949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569097.70000000019</v>
      </c>
      <c r="E18" s="25">
        <f>Tabela13[[#This Row],[META A]]-Tabela13[[#This Row],[ATINGIDO]]</f>
        <v>410902.29999999981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9340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9340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46</v>
      </c>
      <c r="W18" s="18">
        <f t="shared" si="0"/>
        <v>1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35</v>
      </c>
      <c r="AE18" s="37" t="str" cm="1">
        <f t="array" ref="AE18">_xlfn.IFS(AD18&gt;=Z18,"A",AD18&gt;=AA18,"B",AD18&gt;=AB18,"C",AD18&gt;=AC18,"D",TRUE,"NÃO ATINGIDO")</f>
        <v>D</v>
      </c>
      <c r="AF18" s="37" t="str" cm="1">
        <f t="array" ref="AF18">_xlfn.IFS(AE18="NÃO ATINGIDO","D",AE18="D","C",AE18="C","B",AE18="B","A",AE18="A","OBJETIVO ALCANÇADO")</f>
        <v>C</v>
      </c>
      <c r="AG18" s="37" cm="1">
        <f t="array" ref="AG18">_xlfn.IFS(AF18="D",MAX(AC18-AD18,0),AF18="C",MAX(AB18-AD18,0),AF18="B",MAX(AA18-AD18,0),AF18="A",MAX(Z18-AD18,0),AF18="OBJETIVO ALCANÇADO",0)</f>
        <v>4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198305.76999999952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26944.230000000476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54795.75</v>
      </c>
      <c r="E19" s="23">
        <f>Tabela13[[#This Row],[META A]]-Tabela13[[#This Row],[ATINGIDO]]</f>
        <v>87204.25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13640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13640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64</v>
      </c>
      <c r="W19" s="18">
        <f t="shared" si="0"/>
        <v>-1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25</v>
      </c>
      <c r="AE19" s="35" t="str" cm="1">
        <f t="array" ref="AE19">_xlfn.IFS(AD19&gt;=Z19,"A",AD19&gt;=AA19,"B",AD19&gt;=AB19,"C",AD19&gt;=AC19,"D",TRUE,"NÃO ATINGIDO")</f>
        <v>D</v>
      </c>
      <c r="AF19" s="35" t="str" cm="1">
        <f t="array" ref="AF19">_xlfn.IFS(AE19="NÃO ATINGIDO","D",AE19="D","C",AE19="C","B",AE19="B","A",AE19="A","OBJETIVO ALCANÇADO")</f>
        <v>C</v>
      </c>
      <c r="AG19" s="35" cm="1">
        <f t="array" ref="AG19">_xlfn.IFS(AF19="D",MAX(AC19-AD19,0),AF19="C",MAX(AB19-AD19,0),AF19="B",MAX(AA19-AD19,0),AF19="A",MAX(Z19-AD19,0),AF19="OBJETIVO ALCANÇADO",0)</f>
        <v>4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35939.500000000022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4560.4999999999782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324710.07000000018</v>
      </c>
      <c r="E20" s="25">
        <f>Tabela13[[#This Row],[META A]]-Tabela13[[#This Row],[ATINGIDO]]</f>
        <v>235289.92999999982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14220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14220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27</v>
      </c>
      <c r="W20" s="18">
        <f t="shared" si="0"/>
        <v>14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27</v>
      </c>
      <c r="AE20" s="37" t="str" cm="1">
        <f t="array" ref="AE20">_xlfn.IFS(AD20&gt;=Z20,"A",AD20&gt;=AA20,"B",AD20&gt;=AB20,"C",AD20&gt;=AC20,"D",TRUE,"NÃO ATINGIDO")</f>
        <v>D</v>
      </c>
      <c r="AF20" s="37" t="str" cm="1">
        <f t="array" ref="AF20">_xlfn.IFS(AE20="NÃO ATINGIDO","D",AE20="D","C",AE20="C","B",AE20="B","A",AE20="A","OBJETIVO ALCANÇADO")</f>
        <v>C</v>
      </c>
      <c r="AG20" s="37" cm="1">
        <f t="array" ref="AG20">_xlfn.IFS(AF20="D",MAX(AC20-AD20,0),AF20="C",MAX(AB20-AD20,0),AF20="B",MAX(AA20-AD20,0),AF20="A",MAX(Z20-AD20,0),AF20="OBJETIVO ALCANÇADO",0)</f>
        <v>11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100524.88999999974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24425.110000000263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275862.66999999981</v>
      </c>
      <c r="E21" s="23">
        <f>Tabela13[[#This Row],[META A]]-Tabela13[[#This Row],[ATINGIDO]]</f>
        <v>149137.33000000019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7420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7420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33</v>
      </c>
      <c r="W21" s="18">
        <f t="shared" ref="W21:W26" si="1">U21-V21</f>
        <v>11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614</v>
      </c>
      <c r="AE21" s="43"/>
      <c r="AF21" s="43"/>
      <c r="AG21" s="44">
        <f>SUBTOTAL(109,Planilha1!$AG$3:$AG$20)</f>
        <v>97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2219297.009999997</v>
      </c>
      <c r="AO21" s="4"/>
      <c r="AP21" s="4"/>
      <c r="AQ21" s="33">
        <f>SUBTOTAL(109,Tabela817[FALTA])</f>
        <v>264727.99000000273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84608.48999999986</v>
      </c>
      <c r="E22" s="25">
        <f>Tabela13[[#This Row],[META A]]-Tabela13[[#This Row],[ATINGIDO]]</f>
        <v>37391.51000000014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15310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15310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29</v>
      </c>
      <c r="W22" s="18">
        <f t="shared" si="1"/>
        <v>11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160728.84999999954</v>
      </c>
      <c r="E23" s="23">
        <f>Tabela13[[#This Row],[META A]]-Tabela13[[#This Row],[ATINGIDO]]</f>
        <v>39271.15000000046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5790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5790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548778.48000000021</v>
      </c>
      <c r="Q23" s="7">
        <f>O23-P23</f>
        <v>136221.51999999979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35</v>
      </c>
      <c r="W23" s="18">
        <f t="shared" si="1"/>
        <v>20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102512.93000000005</v>
      </c>
      <c r="E24" s="25">
        <f>Tabela13[[#This Row],[META A]]-Tabela13[[#This Row],[ATINGIDO]]</f>
        <v>42487.069999999949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5060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5060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133905.82000000007</v>
      </c>
      <c r="Q24" s="7">
        <f>O24-P24</f>
        <v>551094.17999999993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33</v>
      </c>
      <c r="W24" s="18">
        <f t="shared" si="1"/>
        <v>4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100524.88999999974</v>
      </c>
      <c r="E25" s="23">
        <f>Tabela13[[#This Row],[META A]]-Tabela13[[#This Row],[ATINGIDO]]</f>
        <v>46475.110000000263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6350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6350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27</v>
      </c>
      <c r="W25" s="18">
        <f t="shared" si="1"/>
        <v>26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35939.500000000022</v>
      </c>
      <c r="E26" s="25">
        <f>Tabela13[[#This Row],[META A]]-Tabela13[[#This Row],[ATINGIDO]]</f>
        <v>54060.499999999978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5280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5280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29</v>
      </c>
      <c r="W26" s="18">
        <f t="shared" si="1"/>
        <v>9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184444.20999999958</v>
      </c>
      <c r="E27" s="23">
        <f>Tabela13[[#This Row],[META A]]-Tabela13[[#This Row],[ATINGIDO]]</f>
        <v>57555.790000000416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6550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6550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262171.95999999944</v>
      </c>
      <c r="E28" s="25">
        <f>Tabela13[[#This Row],[META A]]-Tabela13[[#This Row],[ATINGIDO]]</f>
        <v>61328.040000000561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96999.279999999853</v>
      </c>
      <c r="E30" s="25">
        <f>Tabela13[[#This Row],[META A]]-Tabela13[[#This Row],[ATINGIDO]]</f>
        <v>42500.720000000147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140053.93999999983</v>
      </c>
      <c r="E31" s="23">
        <f>Tabela13[[#This Row],[META A]]-Tabela13[[#This Row],[ATINGIDO]]</f>
        <v>26946.060000000172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575469.77000000433</v>
      </c>
      <c r="K31" s="7">
        <f>I31-J31</f>
        <v>116554.03952380514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198305.76999999952</v>
      </c>
      <c r="E32" s="25">
        <f>Tabela13[[#This Row],[META A]]-Tabela13[[#This Row],[ATINGIDO]]</f>
        <v>66694.230000000476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61930.82000000008</v>
      </c>
      <c r="E33" s="23">
        <f>Tabela13[[#This Row],[META A]]-Tabela13[[#This Row],[ATINGIDO]]</f>
        <v>38069.17999999992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116</v>
      </c>
      <c r="W33" s="6">
        <f t="shared" si="2"/>
        <v>70.428571428571416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40393.610000000059</v>
      </c>
      <c r="E34" s="25">
        <f>Tabela13[[#This Row],[META A]]-Tabela13[[#This Row],[ATINGIDO]]</f>
        <v>14606.389999999941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273049.92000000004</v>
      </c>
      <c r="K34" s="7">
        <f t="shared" si="3"/>
        <v>418973.88952380943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57919.020000000019</v>
      </c>
      <c r="E35" s="23">
        <f>Tabela13[[#This Row],[META A]]-Tabela13[[#This Row],[ATINGIDO]]</f>
        <v>17080.979999999981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1041.96</v>
      </c>
      <c r="E36" s="23">
        <f>Tabela13[[#This Row],[META A]]-Tabela13[[#This Row],[ATINGIDO]]</f>
        <v>-41.960000000000036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1203635.6099999992</v>
      </c>
      <c r="E40" s="7">
        <f>C40-D40</f>
        <v>173626.29476190568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431739.34000000084</v>
      </c>
      <c r="E43" s="7">
        <f t="shared" si="4"/>
        <v>945522.56476190407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2026-08-25T14:16:35Z</dcterms:modified>
</cp:coreProperties>
</file>