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D4810163-3EDF-42F4-9206-8C681188A47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E36" i="2" s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3" i="2"/>
  <c r="V30" i="2"/>
  <c r="V31" i="2"/>
  <c r="V32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D42" i="2"/>
  <c r="D43" i="2"/>
  <c r="J33" i="2"/>
  <c r="P25" i="2"/>
  <c r="J31" i="2"/>
  <c r="P23" i="2"/>
  <c r="J35" i="2"/>
  <c r="P21" i="2"/>
  <c r="J32" i="2"/>
  <c r="D40" i="2"/>
  <c r="J34" i="2"/>
  <c r="P24" i="2"/>
  <c r="P22" i="2"/>
  <c r="D4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<sst xmlns="http://schemas.openxmlformats.org/spreadsheetml/2006/main" count="215" uniqueCount="54">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</sst>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3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5" xfId="0" applyFont="1" applyBorder="1" applyAlignment="1">
      <alignment horizontal="center"/>
    </xf>
    <xf numFmtId="44" fontId="0" fillId="0" borderId="5" xfId="2" applyNumberFormat="1" applyFont="1" applyBorder="1" applyAlignment="1">
      <alignment horizontal="center"/>
    </xf>
    <xf numFmtId="44" fontId="0" fillId="0" borderId="5" xfId="0" applyNumberFormat="1" applyFon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26930.750000000011</v>
          </cell>
          <cell r="H5" t="str">
            <v>CAMPINAS</v>
          </cell>
          <cell r="I5">
            <v>1304.31</v>
          </cell>
        </row>
        <row r="6">
          <cell r="E6" t="str">
            <v>CENTRO</v>
          </cell>
          <cell r="F6">
            <v>186540.97</v>
          </cell>
          <cell r="H6" t="str">
            <v>CENTRO</v>
          </cell>
          <cell r="I6">
            <v>11489.379999999997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INDAIATUBA</v>
          </cell>
          <cell r="I8">
            <v>3491.37</v>
          </cell>
          <cell r="K8" t="str">
            <v>CENTRO</v>
          </cell>
          <cell r="N8">
            <v>34</v>
          </cell>
        </row>
        <row r="9">
          <cell r="E9" t="str">
            <v>INDAIATUBA</v>
          </cell>
          <cell r="F9">
            <v>38366.310000000005</v>
          </cell>
          <cell r="H9" t="str">
            <v>INTERLAGOS</v>
          </cell>
          <cell r="I9">
            <v>13467.2</v>
          </cell>
          <cell r="K9" t="str">
            <v>INDAIATUBA</v>
          </cell>
          <cell r="N9">
            <v>30</v>
          </cell>
        </row>
        <row r="10">
          <cell r="E10" t="str">
            <v>INTERLAGOS</v>
          </cell>
          <cell r="F10">
            <v>122430.97999999985</v>
          </cell>
          <cell r="H10" t="str">
            <v>JUNDIAI</v>
          </cell>
          <cell r="I10">
            <v>1664.94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40895.590000000033</v>
          </cell>
          <cell r="H11" t="str">
            <v>KEY ABC</v>
          </cell>
          <cell r="I11">
            <v>13637.5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174575.71999999997</v>
          </cell>
          <cell r="H12" t="str">
            <v>KEY CASA</v>
          </cell>
          <cell r="I12">
            <v>315.2</v>
          </cell>
          <cell r="K12" t="str">
            <v>LESTE PENHA</v>
          </cell>
          <cell r="N12">
            <v>17</v>
          </cell>
        </row>
        <row r="13">
          <cell r="E13" t="str">
            <v>KEY CASA</v>
          </cell>
          <cell r="F13">
            <v>161512.55999999997</v>
          </cell>
          <cell r="H13" t="str">
            <v>KEY SJC</v>
          </cell>
          <cell r="I13">
            <v>5897</v>
          </cell>
          <cell r="K13" t="str">
            <v>LESTE TATUAPE</v>
          </cell>
          <cell r="N13">
            <v>24</v>
          </cell>
        </row>
        <row r="14">
          <cell r="E14" t="str">
            <v>KEY INTERIOR</v>
          </cell>
          <cell r="F14">
            <v>513142.70000000019</v>
          </cell>
          <cell r="H14" t="str">
            <v>KEY SP</v>
          </cell>
          <cell r="I14">
            <v>20532.100000000002</v>
          </cell>
          <cell r="K14" t="str">
            <v>NORTE</v>
          </cell>
          <cell r="N14">
            <v>35</v>
          </cell>
        </row>
        <row r="15">
          <cell r="E15" t="str">
            <v>KEY PIRACICABA</v>
          </cell>
          <cell r="F15">
            <v>60082.260000000017</v>
          </cell>
          <cell r="H15" t="str">
            <v>KEY ZL</v>
          </cell>
          <cell r="I15">
            <v>3075.6</v>
          </cell>
          <cell r="K15" t="str">
            <v>OSASCO</v>
          </cell>
          <cell r="N15">
            <v>47</v>
          </cell>
        </row>
        <row r="16">
          <cell r="E16" t="str">
            <v>KEY SJC</v>
          </cell>
          <cell r="F16">
            <v>42315.899999999994</v>
          </cell>
          <cell r="H16" t="str">
            <v>LESTE</v>
          </cell>
          <cell r="I16">
            <v>2980.05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190365.22000000015</v>
          </cell>
          <cell r="H17" t="str">
            <v>LESTE MOOCA</v>
          </cell>
          <cell r="I17">
            <v>3987.1200000000003</v>
          </cell>
          <cell r="K17" t="str">
            <v>SANTO ANDRE</v>
          </cell>
          <cell r="N17">
            <v>22</v>
          </cell>
        </row>
        <row r="18">
          <cell r="E18" t="str">
            <v>KEY ZL</v>
          </cell>
          <cell r="F18">
            <v>206904.88</v>
          </cell>
          <cell r="H18" t="str">
            <v>LESTE PENHA</v>
          </cell>
          <cell r="I18">
            <v>2362.75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52276.960000000021</v>
          </cell>
          <cell r="H19" t="str">
            <v>LESTE TATUAPE</v>
          </cell>
          <cell r="I19">
            <v>2359.1500000000005</v>
          </cell>
          <cell r="K19" t="str">
            <v>Total Geral</v>
          </cell>
          <cell r="N19">
            <v>296</v>
          </cell>
        </row>
        <row r="20">
          <cell r="E20" t="str">
            <v>LESTE MOOCA</v>
          </cell>
          <cell r="F20">
            <v>91342.019999999902</v>
          </cell>
          <cell r="H20" t="str">
            <v>MOGI</v>
          </cell>
          <cell r="I20">
            <v>5852.5499999999993</v>
          </cell>
        </row>
        <row r="21">
          <cell r="E21" t="str">
            <v>LESTE PENHA</v>
          </cell>
          <cell r="F21">
            <v>66758.630000000019</v>
          </cell>
          <cell r="H21" t="str">
            <v>NORTE</v>
          </cell>
          <cell r="I21">
            <v>16318.529999999995</v>
          </cell>
        </row>
        <row r="22">
          <cell r="E22" t="str">
            <v>LESTE TATUAPE</v>
          </cell>
          <cell r="F22">
            <v>53959.710000000101</v>
          </cell>
          <cell r="H22" t="str">
            <v>OSASCO</v>
          </cell>
          <cell r="I22">
            <v>15225.139999999994</v>
          </cell>
        </row>
        <row r="23">
          <cell r="E23" t="str">
            <v>MOGI</v>
          </cell>
          <cell r="F23">
            <v>34449.390000000058</v>
          </cell>
          <cell r="H23" t="str">
            <v>PIRITUBA</v>
          </cell>
          <cell r="I23">
            <v>3452.3699999999994</v>
          </cell>
        </row>
        <row r="24">
          <cell r="E24" t="str">
            <v>NORTE</v>
          </cell>
          <cell r="F24">
            <v>131431.81999999983</v>
          </cell>
          <cell r="H24" t="str">
            <v>SANTO ANDRE</v>
          </cell>
          <cell r="I24">
            <v>6695.95</v>
          </cell>
        </row>
        <row r="25">
          <cell r="E25" t="str">
            <v>OSASCO</v>
          </cell>
          <cell r="F25">
            <v>176954.21999999994</v>
          </cell>
          <cell r="H25" t="str">
            <v>SBC</v>
          </cell>
          <cell r="I25">
            <v>7824.8499999999967</v>
          </cell>
        </row>
        <row r="26">
          <cell r="E26" t="str">
            <v>PIRITUBA</v>
          </cell>
          <cell r="F26">
            <v>69444.489999999962</v>
          </cell>
          <cell r="H26" t="str">
            <v>SJC</v>
          </cell>
          <cell r="I26">
            <v>1597.3100000000002</v>
          </cell>
        </row>
        <row r="27">
          <cell r="E27" t="str">
            <v>SANTO ANDRE</v>
          </cell>
          <cell r="F27">
            <v>83181.479999999952</v>
          </cell>
          <cell r="H27" t="str">
            <v>SJC/VALE</v>
          </cell>
          <cell r="I27">
            <v>1783.7000000000005</v>
          </cell>
        </row>
        <row r="28">
          <cell r="E28" t="str">
            <v>SBC</v>
          </cell>
          <cell r="F28">
            <v>128498.59999999985</v>
          </cell>
          <cell r="H28" t="str">
            <v>VENDEDOR INTERNO 1</v>
          </cell>
          <cell r="I28">
            <v>1040.82</v>
          </cell>
        </row>
        <row r="29">
          <cell r="E29" t="str">
            <v>SJC</v>
          </cell>
          <cell r="F29">
            <v>44458.48000000004</v>
          </cell>
          <cell r="H29" t="str">
            <v>Total Geral</v>
          </cell>
          <cell r="I29">
            <v>146405.88999999966</v>
          </cell>
        </row>
        <row r="30">
          <cell r="E30" t="str">
            <v>SJC/VALE</v>
          </cell>
          <cell r="F30">
            <v>21855.87</v>
          </cell>
        </row>
        <row r="31">
          <cell r="E31" t="str">
            <v>VENDEDOR INTERNO 1</v>
          </cell>
          <cell r="F31">
            <v>37456.760000000017</v>
          </cell>
        </row>
        <row r="32">
          <cell r="E32" t="str">
            <v>Total Geral</v>
          </cell>
          <cell r="F32">
            <v>2757112.2999999598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10"/>
    <tableColumn id="2" xr3:uid="{4F0BAF4D-D0FC-4B7C-8FF4-8DDD6505FDA1}" name="REFERENCIA" dataDxfId="7" totalsRowDxfId="8"/>
    <tableColumn id="3" xr3:uid="{CCB341E8-8BC2-4209-AEA0-D6F26BFCB356}" name="META A" dataDxfId="5" totalsRowDxfId="6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4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2757112.3</v>
      </c>
      <c r="D5" s="2"/>
      <c r="E5" s="4"/>
      <c r="F5" s="4"/>
      <c r="G5" s="4"/>
      <c r="H5" s="4" t="s">
        <v>1</v>
      </c>
      <c r="I5" s="7">
        <f>SUM(J10:J27)</f>
        <v>102897.48999999998</v>
      </c>
      <c r="J5" s="4"/>
      <c r="K5" s="4"/>
      <c r="L5" s="4"/>
      <c r="M5" s="4"/>
      <c r="N5" s="4" t="s">
        <v>1</v>
      </c>
      <c r="O5" s="7">
        <f>SUM(P11:P17)</f>
        <v>43457.399999999994</v>
      </c>
      <c r="P5" s="4"/>
      <c r="Q5" s="4"/>
      <c r="R5" s="4"/>
      <c r="S5" s="4"/>
      <c r="T5" s="4" t="s">
        <v>1</v>
      </c>
      <c r="U5" s="4">
        <f>SUM(V10:V26)</f>
        <v>296</v>
      </c>
      <c r="V5" s="4"/>
      <c r="W5" s="4"/>
    </row>
    <row r="6" spans="1:23" x14ac:dyDescent="0.25">
      <c r="A6" s="4"/>
      <c r="B6" s="4" t="s">
        <v>2</v>
      </c>
      <c r="C6" s="2">
        <f>C4-C5</f>
        <v>2835387.7</v>
      </c>
      <c r="D6" s="2"/>
      <c r="E6" s="4"/>
      <c r="F6" s="4"/>
      <c r="G6" s="4"/>
      <c r="H6" s="4" t="s">
        <v>2</v>
      </c>
      <c r="I6" s="7">
        <f>I4-I5</f>
        <v>47115.510000000024</v>
      </c>
      <c r="J6" s="4"/>
      <c r="K6" s="4"/>
      <c r="L6" s="4"/>
      <c r="M6" s="4"/>
      <c r="N6" s="4" t="s">
        <v>2</v>
      </c>
      <c r="O6" s="7">
        <f>O4-O5</f>
        <v>-43457.399999999994</v>
      </c>
      <c r="P6" s="4"/>
      <c r="Q6" s="4"/>
      <c r="R6" s="4"/>
      <c r="S6" s="4"/>
      <c r="T6" s="4" t="s">
        <v>2</v>
      </c>
      <c r="U6" s="4">
        <f>U4-U5</f>
        <v>462</v>
      </c>
      <c r="V6" s="4"/>
      <c r="W6" s="4"/>
    </row>
    <row r="7" spans="1:23" x14ac:dyDescent="0.25">
      <c r="A7" s="4"/>
      <c r="B7" s="4" t="s">
        <v>3</v>
      </c>
      <c r="C7" s="3">
        <f>1-(C6/C4)</f>
        <v>0.49300175234689314</v>
      </c>
      <c r="D7" s="2"/>
      <c r="E7" s="4"/>
      <c r="F7" s="4"/>
      <c r="G7" s="4"/>
      <c r="H7" s="4" t="s">
        <v>3</v>
      </c>
      <c r="I7" s="3">
        <f>1-(I6/I4)</f>
        <v>0.68592381993560547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0.39050131926121368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26930.750000000011</v>
      </c>
      <c r="E10" s="27">
        <f>Tabela13[[#This Row],[META A]]-Tabela13[[#This Row],[ATINGIDO]]</f>
        <v>37569.249999999985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15225.139999999994</v>
      </c>
      <c r="K10" s="23">
        <f>Tabela5[[#This Row],[COMPROMISSO]]-Tabela5[[#This Row],[ATINGIDO]]</f>
        <v>1774.860000000006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186540.97</v>
      </c>
      <c r="E11" s="24">
        <f>Tabela13[[#This Row],[META A]]-Tabela13[[#This Row],[ATINGIDO]]</f>
        <v>138459.03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16318.529999999995</v>
      </c>
      <c r="K11" s="23">
        <f>Tabela5[[#This Row],[COMPROMISSO]]-Tabela5[[#This Row],[ATINGIDO]]</f>
        <v>-4468.5299999999952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13637.5</v>
      </c>
      <c r="Q11" s="2">
        <f>O11-P11</f>
        <v>-13637.5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34</v>
      </c>
      <c r="W11" s="19">
        <f t="shared" ref="W11:W20" si="0">U11-V11</f>
        <v>18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3452.3699999999994</v>
      </c>
      <c r="K12" s="23">
        <f>Tabela5[[#This Row],[COMPROMISSO]]-Tabela5[[#This Row],[ATINGIDO]]</f>
        <v>5547.630000000001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30</v>
      </c>
      <c r="W12" s="19">
        <f t="shared" si="0"/>
        <v>11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38366.310000000005</v>
      </c>
      <c r="E13" s="24">
        <f>Tabela13[[#This Row],[META A]]-Tabela13[[#This Row],[ATINGIDO]]</f>
        <v>51633.689999999995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7824.8499999999967</v>
      </c>
      <c r="K13" s="23">
        <f>Tabela5[[#This Row],[COMPROMISSO]]-Tabela5[[#This Row],[ATINGIDO]]</f>
        <v>7175.1500000000033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3075.6</v>
      </c>
      <c r="Q13" s="2">
        <f t="shared" ref="Q13:Q17" si="1">O13-P13</f>
        <v>-3075.6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122430.97999999985</v>
      </c>
      <c r="E14" s="27">
        <f>Tabela13[[#This Row],[META A]]-Tabela13[[#This Row],[ATINGIDO]]</f>
        <v>150569.02000000014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2359.1500000000005</v>
      </c>
      <c r="K14" s="23">
        <f>Tabela5[[#This Row],[COMPROMISSO]]-Tabela5[[#This Row],[ATINGIDO]]</f>
        <v>2964.8499999999995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40895.590000000033</v>
      </c>
      <c r="E15" s="24">
        <f>Tabela13[[#This Row],[META A]]-Tabela13[[#This Row],[ATINGIDO]]</f>
        <v>37104.409999999967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11489.379999999997</v>
      </c>
      <c r="K15" s="23">
        <f>Tabela5[[#This Row],[COMPROMISSO]]-Tabela5[[#This Row],[ATINGIDO]]</f>
        <v>4510.6200000000026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20532.100000000002</v>
      </c>
      <c r="Q15" s="2">
        <f t="shared" si="1"/>
        <v>-20532.100000000002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174575.71999999997</v>
      </c>
      <c r="E16" s="27">
        <f>Tabela13[[#This Row],[META A]]-Tabela13[[#This Row],[ATINGIDO]]</f>
        <v>150424.28000000003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6695.95</v>
      </c>
      <c r="K16" s="23">
        <f>Tabela5[[#This Row],[COMPROMISSO]]-Tabela5[[#This Row],[ATINGIDO]]</f>
        <v>6114.05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5897</v>
      </c>
      <c r="Q16" s="2">
        <f t="shared" si="1"/>
        <v>-5897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161512.55999999997</v>
      </c>
      <c r="E17" s="24">
        <f>Tabela13[[#This Row],[META A]]-Tabela13[[#This Row],[ATINGIDO]]</f>
        <v>8487.4400000000314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5852.5499999999993</v>
      </c>
      <c r="K17" s="23">
        <f>Tabela5[[#This Row],[COMPROMISSO]]-Tabela5[[#This Row],[ATINGIDO]]</f>
        <v>-2708.5499999999993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315.2</v>
      </c>
      <c r="Q17" s="2">
        <f t="shared" si="1"/>
        <v>-315.2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2980.05</v>
      </c>
      <c r="K18" s="23">
        <f>Tabela5[[#This Row],[COMPROMISSO]]-Tabela5[[#This Row],[ATINGIDO]]</f>
        <v>3235.95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35</v>
      </c>
      <c r="W18" s="19">
        <f t="shared" si="0"/>
        <v>10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42315.899999999994</v>
      </c>
      <c r="E19" s="24">
        <f>Tabela13[[#This Row],[META A]]-Tabela13[[#This Row],[ATINGIDO]]</f>
        <v>87684.1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3987.1200000000003</v>
      </c>
      <c r="K19" s="23">
        <f>Tabela5[[#This Row],[COMPROMISSO]]-Tabela5[[#This Row],[ATINGIDO]]</f>
        <v>6882.8799999999992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47</v>
      </c>
      <c r="W19" s="19">
        <f t="shared" si="0"/>
        <v>14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190365.22000000015</v>
      </c>
      <c r="E20" s="27">
        <f>Tabela13[[#This Row],[META A]]-Tabela13[[#This Row],[ATINGIDO]]</f>
        <v>369634.77999999985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13467.2</v>
      </c>
      <c r="K20" s="23">
        <f>Tabela5[[#This Row],[COMPROMISSO]]-Tabela5[[#This Row],[ATINGIDO]]</f>
        <v>-467.20000000000073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17</v>
      </c>
      <c r="W20" s="19">
        <f t="shared" si="0"/>
        <v>22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206904.88</v>
      </c>
      <c r="E21" s="24">
        <f>Tabela13[[#This Row],[META A]]-Tabela13[[#This Row],[ATINGIDO]]</f>
        <v>208095.12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1664.94</v>
      </c>
      <c r="K21" s="23">
        <f>Tabela5[[#This Row],[COMPROMISSO]]-Tabela5[[#This Row],[ATINGIDO]]</f>
        <v>3355.06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52276.960000000021</v>
      </c>
      <c r="E22" s="27">
        <f>Tabela13[[#This Row],[META A]]-Tabela13[[#This Row],[ATINGIDO]]</f>
        <v>69723.039999999979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2362.75</v>
      </c>
      <c r="K22" s="23">
        <f>Tabela5[[#This Row],[COMPROMISSO]]-Tabela5[[#This Row],[ATINGIDO]]</f>
        <v>5741.25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520408.39000000031</v>
      </c>
      <c r="Q22" s="7">
        <f>O22-P22</f>
        <v>-24953.844545454835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22</v>
      </c>
      <c r="W22" s="19">
        <f t="shared" si="2"/>
        <v>18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91342.019999999902</v>
      </c>
      <c r="E23" s="24">
        <f>Tabela13[[#This Row],[META A]]-Tabela13[[#This Row],[ATINGIDO]]</f>
        <v>103657.9800000001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3491.37</v>
      </c>
      <c r="K23" s="23">
        <f>Tabela5[[#This Row],[COMPROMISSO]]-Tabela5[[#This Row],[ATINGIDO]]</f>
        <v>1763.63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501773.76999999979</v>
      </c>
      <c r="Q23" s="7">
        <f>O23-P23</f>
        <v>117544.4118181821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66758.630000000019</v>
      </c>
      <c r="E24" s="27">
        <f>Tabela13[[#This Row],[META A]]-Tabela13[[#This Row],[ATINGIDO]]</f>
        <v>73241.369999999981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1040.82</v>
      </c>
      <c r="K24" s="23">
        <f>Tabela5[[#This Row],[COMPROMISSO]]-Tabela5[[#This Row],[ATINGIDO]]</f>
        <v>2069.1800000000003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53959.710000000101</v>
      </c>
      <c r="E25" s="24">
        <f>Tabela13[[#This Row],[META A]]-Tabela13[[#This Row],[ATINGIDO]]</f>
        <v>88540.289999999892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1597.3100000000002</v>
      </c>
      <c r="K25" s="23">
        <f>Tabela5[[#This Row],[COMPROMISSO]]-Tabela5[[#This Row],[ATINGIDO]]</f>
        <v>1972.6899999999998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24</v>
      </c>
      <c r="W25" s="19">
        <f t="shared" si="2"/>
        <v>27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34449.390000000058</v>
      </c>
      <c r="E26" s="27">
        <f>Tabela13[[#This Row],[META A]]-Tabela13[[#This Row],[ATINGIDO]]</f>
        <v>55550.609999999942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1783.7000000000005</v>
      </c>
      <c r="K26" s="23">
        <f>Tabela5[[#This Row],[COMPROMISSO]]-Tabela5[[#This Row],[ATINGIDO]]</f>
        <v>658.2999999999995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131431.81999999983</v>
      </c>
      <c r="E27" s="24">
        <f>Tabela13[[#This Row],[META A]]-Tabela13[[#This Row],[ATINGIDO]]</f>
        <v>106068.18000000017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1304.31</v>
      </c>
      <c r="K27" s="23">
        <f>Tabela5[[#This Row],[COMPROMISSO]]-Tabela5[[#This Row],[ATINGIDO]]</f>
        <v>993.69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176954.21999999994</v>
      </c>
      <c r="E28" s="27">
        <f>Tabela13[[#This Row],[META A]]-Tabela13[[#This Row],[ATINGIDO]]</f>
        <v>141545.78000000006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60082.260000000017</v>
      </c>
      <c r="E29" s="24">
        <f>Tabela13[[#This Row],[META A]]-Tabela13[[#This Row],[ATINGIDO]]</f>
        <v>114917.73999999999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69444.489999999962</v>
      </c>
      <c r="E30" s="27">
        <f>Tabela13[[#This Row],[META A]]-Tabela13[[#This Row],[ATINGIDO]]</f>
        <v>65055.510000000038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83181.479999999952</v>
      </c>
      <c r="E31" s="24">
        <f>Tabela13[[#This Row],[META A]]-Tabela13[[#This Row],[ATINGIDO]]</f>
        <v>83818.520000000048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256807.39999999982</v>
      </c>
      <c r="K31" s="7">
        <f>I31-J31</f>
        <v>133942.60000000018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128498.59999999985</v>
      </c>
      <c r="E32" s="27">
        <f>Tabela13[[#This Row],[META A]]-Tabela13[[#This Row],[ATINGIDO]]</f>
        <v>131501.40000000014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501687.34000000299</v>
      </c>
      <c r="K32" s="7">
        <f t="shared" ref="K32:K34" si="4">I32-J32</f>
        <v>19312.659999997006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163</v>
      </c>
      <c r="W32" s="6">
        <f t="shared" si="3"/>
        <v>9.2727272727272521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44458.48000000004</v>
      </c>
      <c r="E33" s="24">
        <f>Tabela13[[#This Row],[META A]]-Tabela13[[#This Row],[ATINGIDO]]</f>
        <v>55541.51999999996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557396.27000000444</v>
      </c>
      <c r="K33" s="7">
        <f t="shared" si="4"/>
        <v>93853.729999995558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21855.87</v>
      </c>
      <c r="E34" s="27">
        <f>Tabela13[[#This Row],[META A]]-Tabela13[[#This Row],[ATINGIDO]]</f>
        <v>33144.130000000005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37456.760000000017</v>
      </c>
      <c r="E35" s="24">
        <f>Tabela13[[#This Row],[META A]]-Tabela13[[#This Row],[ATINGIDO]]</f>
        <v>35543.239999999983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30" t="s">
        <v>39</v>
      </c>
      <c r="B36" s="30" t="s">
        <v>39</v>
      </c>
      <c r="C36" s="31">
        <f>_xlfn.XLOOKUP(Tabela13[[#This Row],[VENDEDOR]],[1]!Tabela2[VENDEDOR],[1]!Tabela2[META A])</f>
        <v>1000</v>
      </c>
      <c r="D36" s="31">
        <f>_xlfn.XLOOKUP(Tabela13[[#This Row],[VENDEDOR]],'[1]BASE PYTHON'!$E:$E,'[1]BASE PYTHON'!$F:$F,0)</f>
        <v>828.94</v>
      </c>
      <c r="E36" s="32">
        <f>Tabela13[[#This Row],[META A]]-Tabela13[[#This Row],[ATINGIDO]]</f>
        <v>171.05999999999995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545873.70000000158</v>
      </c>
      <c r="E40" s="7">
        <f>C40-D40</f>
        <v>-155123.70000000158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1104362.189999996</v>
      </c>
      <c r="E41" s="7">
        <f t="shared" ref="E41:E43" si="5">C41-D41</f>
        <v>-583362.18999999599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1106876.4099999981</v>
      </c>
      <c r="E42" s="7">
        <f t="shared" si="5"/>
        <v>-455626.40999999805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0</v>
      </c>
      <c r="E43" s="7">
        <f t="shared" si="5"/>
        <v>651250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2026-07-16T17:06:10Z</dcterms:modified>
</cp:coreProperties>
</file>