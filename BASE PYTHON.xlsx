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186EB74-E1E8-447C-B244-D89B7323B36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1" i="2"/>
  <c r="V32" i="2"/>
  <c r="V34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5" i="2"/>
  <c r="D44" i="2"/>
  <c r="J33" i="2"/>
  <c r="D43" i="2"/>
  <c r="D42" i="2"/>
  <c r="P23" i="2"/>
  <c r="J35" i="2"/>
  <c r="P21" i="2"/>
  <c r="P24" i="2"/>
  <c r="P22" i="2"/>
  <c r="J31" i="2"/>
  <c r="D41" i="2"/>
  <c r="J32" i="2"/>
  <c r="J34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<sst xmlns="http://schemas.openxmlformats.org/spreadsheetml/2006/main" count="215" uniqueCount="54">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</sst>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38432.729999999974</v>
          </cell>
          <cell r="H5" t="str">
            <v>CAMPINAS</v>
          </cell>
          <cell r="I5">
            <v>3262.0099999999998</v>
          </cell>
        </row>
        <row r="6">
          <cell r="E6" t="str">
            <v>CENTRO</v>
          </cell>
          <cell r="F6">
            <v>255196.99999999956</v>
          </cell>
          <cell r="H6" t="str">
            <v>CENTRO</v>
          </cell>
          <cell r="I6">
            <v>5075.1400000000003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1865.2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4733.2199999999993</v>
          </cell>
          <cell r="H8" t="str">
            <v>INTERLAGOS</v>
          </cell>
          <cell r="I8">
            <v>1582.6</v>
          </cell>
          <cell r="K8" t="str">
            <v>CENTRO</v>
          </cell>
          <cell r="N8">
            <v>40</v>
          </cell>
        </row>
        <row r="9">
          <cell r="E9" t="str">
            <v>INDAIATUBA</v>
          </cell>
          <cell r="F9">
            <v>50911.409999999996</v>
          </cell>
          <cell r="H9" t="str">
            <v>JUNDIAI</v>
          </cell>
          <cell r="I9">
            <v>2111</v>
          </cell>
          <cell r="K9" t="str">
            <v>INDAIATUBA</v>
          </cell>
          <cell r="N9">
            <v>32</v>
          </cell>
        </row>
        <row r="10">
          <cell r="E10" t="str">
            <v>INTERLAGOS</v>
          </cell>
          <cell r="F10">
            <v>172081.78999999986</v>
          </cell>
          <cell r="H10" t="str">
            <v>KEY SP</v>
          </cell>
          <cell r="I10">
            <v>1755.6</v>
          </cell>
          <cell r="K10" t="str">
            <v>JUNDIAI</v>
          </cell>
          <cell r="N10">
            <v>18</v>
          </cell>
        </row>
        <row r="11">
          <cell r="E11" t="str">
            <v>JUNDIAI</v>
          </cell>
          <cell r="F11">
            <v>50497.230000000061</v>
          </cell>
          <cell r="H11" t="str">
            <v>KEY ZL</v>
          </cell>
          <cell r="I11">
            <v>19933.399999999991</v>
          </cell>
          <cell r="K11" t="str">
            <v>LESTE</v>
          </cell>
          <cell r="N11">
            <v>30</v>
          </cell>
        </row>
        <row r="12">
          <cell r="E12" t="str">
            <v>KEY ABC</v>
          </cell>
          <cell r="F12">
            <v>209220.31999999995</v>
          </cell>
          <cell r="H12" t="str">
            <v>LESTE</v>
          </cell>
          <cell r="I12">
            <v>3369.5499999999997</v>
          </cell>
          <cell r="K12" t="str">
            <v>LESTE PENHA</v>
          </cell>
          <cell r="N12">
            <v>24</v>
          </cell>
        </row>
        <row r="13">
          <cell r="E13" t="str">
            <v>KEY CASA</v>
          </cell>
          <cell r="F13">
            <v>262775.00000000081</v>
          </cell>
          <cell r="H13" t="str">
            <v>LESTE MOOCA</v>
          </cell>
          <cell r="I13">
            <v>6579.7000000000007</v>
          </cell>
          <cell r="K13" t="str">
            <v>LESTE TATUAPE</v>
          </cell>
          <cell r="N13">
            <v>34</v>
          </cell>
        </row>
        <row r="14">
          <cell r="E14" t="str">
            <v>KEY INTERIOR</v>
          </cell>
          <cell r="F14">
            <v>518079.70000000013</v>
          </cell>
          <cell r="H14" t="str">
            <v>LESTE PENHA</v>
          </cell>
          <cell r="I14">
            <v>2531.9900000000002</v>
          </cell>
          <cell r="K14" t="str">
            <v>NORTE</v>
          </cell>
          <cell r="N14">
            <v>39</v>
          </cell>
        </row>
        <row r="15">
          <cell r="E15" t="str">
            <v>KEY PIRACICABA</v>
          </cell>
          <cell r="F15">
            <v>87483.259999999951</v>
          </cell>
          <cell r="H15" t="str">
            <v>LESTE TATUAPE</v>
          </cell>
          <cell r="I15">
            <v>2119.7999999999997</v>
          </cell>
          <cell r="K15" t="str">
            <v>OSASCO</v>
          </cell>
          <cell r="N15">
            <v>60</v>
          </cell>
        </row>
        <row r="16">
          <cell r="E16" t="str">
            <v>KEY SJC</v>
          </cell>
          <cell r="F16">
            <v>90046.200000000041</v>
          </cell>
          <cell r="H16" t="str">
            <v>MOGI</v>
          </cell>
          <cell r="I16">
            <v>3106.9800000000005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264953.34999999998</v>
          </cell>
          <cell r="H17" t="str">
            <v>NORTE</v>
          </cell>
          <cell r="I17">
            <v>1671.3999999999999</v>
          </cell>
          <cell r="K17" t="str">
            <v>SANTO ANDRE</v>
          </cell>
          <cell r="N17">
            <v>26</v>
          </cell>
        </row>
        <row r="18">
          <cell r="E18" t="str">
            <v>KEY ZL</v>
          </cell>
          <cell r="F18">
            <v>278371.99999999994</v>
          </cell>
          <cell r="H18" t="str">
            <v>OSASCO</v>
          </cell>
          <cell r="I18">
            <v>3163.2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72289.98</v>
          </cell>
          <cell r="H19" t="str">
            <v>PIRITUBA</v>
          </cell>
          <cell r="I19">
            <v>1555.4</v>
          </cell>
          <cell r="K19" t="str">
            <v>Total Geral</v>
          </cell>
          <cell r="N19">
            <v>351</v>
          </cell>
        </row>
        <row r="20">
          <cell r="E20" t="str">
            <v>LESTE MOOCA</v>
          </cell>
          <cell r="F20">
            <v>126381.53499999977</v>
          </cell>
          <cell r="H20" t="str">
            <v>SANTO ANDRE</v>
          </cell>
          <cell r="I20">
            <v>6084.99</v>
          </cell>
        </row>
        <row r="21">
          <cell r="E21" t="str">
            <v>LESTE PENHA</v>
          </cell>
          <cell r="F21">
            <v>92562.490000000049</v>
          </cell>
          <cell r="H21" t="str">
            <v>SBC</v>
          </cell>
          <cell r="I21">
            <v>10282.75</v>
          </cell>
        </row>
        <row r="22">
          <cell r="E22" t="str">
            <v>LESTE TATUAPE</v>
          </cell>
          <cell r="F22">
            <v>83828.379999999845</v>
          </cell>
          <cell r="H22" t="str">
            <v>SJC</v>
          </cell>
          <cell r="I22">
            <v>2083.1800000000003</v>
          </cell>
        </row>
        <row r="23">
          <cell r="E23" t="str">
            <v>MOGI</v>
          </cell>
          <cell r="F23">
            <v>48696.880000000092</v>
          </cell>
          <cell r="H23" t="str">
            <v>VENDEDOR INTERNO 1</v>
          </cell>
          <cell r="I23">
            <v>695.4</v>
          </cell>
        </row>
        <row r="24">
          <cell r="E24" t="str">
            <v>NORTE</v>
          </cell>
          <cell r="F24">
            <v>157592.50999999983</v>
          </cell>
          <cell r="H24" t="str">
            <v>Total Geral</v>
          </cell>
          <cell r="I24">
            <v>78829.290000000008</v>
          </cell>
        </row>
        <row r="25">
          <cell r="E25" t="str">
            <v>OSASCO</v>
          </cell>
          <cell r="F25">
            <v>231932.30999999968</v>
          </cell>
        </row>
        <row r="26">
          <cell r="E26" t="str">
            <v>PIRITUBA</v>
          </cell>
          <cell r="F26">
            <v>90356.509999999907</v>
          </cell>
        </row>
        <row r="27">
          <cell r="E27" t="str">
            <v>SANTO ANDRE</v>
          </cell>
          <cell r="F27">
            <v>110932.85999999996</v>
          </cell>
        </row>
        <row r="28">
          <cell r="E28" t="str">
            <v>SBC</v>
          </cell>
          <cell r="F28">
            <v>179361.28999999983</v>
          </cell>
        </row>
        <row r="29">
          <cell r="E29" t="str">
            <v>SJC</v>
          </cell>
          <cell r="F29">
            <v>58108.070000000094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52206.95</v>
          </cell>
        </row>
        <row r="32">
          <cell r="E32" t="str">
            <v>Total Geral</v>
          </cell>
          <cell r="F32">
            <v>3617775.0249999752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3617775.0249999994</v>
      </c>
      <c r="D5" s="2"/>
      <c r="E5" s="4"/>
      <c r="F5" s="4"/>
      <c r="G5" s="4"/>
      <c r="H5" s="4" t="s">
        <v>1</v>
      </c>
      <c r="I5" s="7">
        <f>SUM(J10:J27)</f>
        <v>57140.29</v>
      </c>
      <c r="J5" s="4"/>
      <c r="K5" s="4"/>
      <c r="L5" s="4"/>
      <c r="M5" s="4"/>
      <c r="N5" s="4" t="s">
        <v>1</v>
      </c>
      <c r="O5" s="7">
        <f>SUM(P11:P17)</f>
        <v>21688.999999999989</v>
      </c>
      <c r="P5" s="4"/>
      <c r="Q5" s="4"/>
      <c r="R5" s="4"/>
      <c r="S5" s="4"/>
      <c r="T5" s="4" t="s">
        <v>1</v>
      </c>
      <c r="U5" s="4">
        <f>SUM(V10:V26)</f>
        <v>351</v>
      </c>
      <c r="V5" s="4"/>
      <c r="W5" s="4"/>
    </row>
    <row r="6" spans="1:23" x14ac:dyDescent="0.25">
      <c r="A6" s="4"/>
      <c r="B6" s="4" t="s">
        <v>2</v>
      </c>
      <c r="C6" s="2">
        <f>C4-C5</f>
        <v>1974724.9750000006</v>
      </c>
      <c r="D6" s="2"/>
      <c r="E6" s="4"/>
      <c r="F6" s="4"/>
      <c r="G6" s="4"/>
      <c r="H6" s="4" t="s">
        <v>2</v>
      </c>
      <c r="I6" s="7">
        <f>I4-I5</f>
        <v>92859.709999999992</v>
      </c>
      <c r="J6" s="4"/>
      <c r="K6" s="4"/>
      <c r="L6" s="4"/>
      <c r="M6" s="4"/>
      <c r="N6" s="4" t="s">
        <v>2</v>
      </c>
      <c r="O6" s="7">
        <f>O4-O5</f>
        <v>-21688.999999999989</v>
      </c>
      <c r="P6" s="4"/>
      <c r="Q6" s="4"/>
      <c r="R6" s="4"/>
      <c r="S6" s="4"/>
      <c r="T6" s="4" t="s">
        <v>2</v>
      </c>
      <c r="U6" s="4">
        <f>U4-U5</f>
        <v>407</v>
      </c>
      <c r="V6" s="4"/>
      <c r="W6" s="4"/>
    </row>
    <row r="7" spans="1:23" x14ac:dyDescent="0.25">
      <c r="A7" s="4"/>
      <c r="B7" s="4" t="s">
        <v>3</v>
      </c>
      <c r="C7" s="3">
        <f>1-(C6/C4)</f>
        <v>0.64689763522574872</v>
      </c>
      <c r="D7" s="2"/>
      <c r="E7" s="4"/>
      <c r="F7" s="4"/>
      <c r="G7" s="4"/>
      <c r="H7" s="4" t="s">
        <v>3</v>
      </c>
      <c r="I7" s="3">
        <f>1-(I6/I4)</f>
        <v>0.38093526666666677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0.46306068601583117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38432.729999999974</v>
      </c>
      <c r="E10" s="27">
        <f>Tabela13[[#This Row],[META A]]-Tabela13[[#This Row],[ATINGIDO]]</f>
        <v>26067.270000000026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3163.2</v>
      </c>
      <c r="K10" s="23">
        <f>Tabela5[[#This Row],[COMPROMISSO]]-Tabela5[[#This Row],[ATINGIDO]]</f>
        <v>13836.8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255196.99999999956</v>
      </c>
      <c r="E11" s="24">
        <f>Tabela13[[#This Row],[META A]]-Tabela13[[#This Row],[ATINGIDO]]</f>
        <v>69803.000000000437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1671.3999999999999</v>
      </c>
      <c r="K11" s="23">
        <f>Tabela5[[#This Row],[COMPROMISSO]]-Tabela5[[#This Row],[ATINGIDO]]</f>
        <v>10288.6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40</v>
      </c>
      <c r="W11" s="19">
        <f t="shared" ref="W11:W20" si="0">U11-V11</f>
        <v>12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4733.2199999999993</v>
      </c>
      <c r="E12" s="27">
        <f>Tabela13[[#This Row],[META A]]-Tabela13[[#This Row],[ATINGIDO]]</f>
        <v>-3733.2199999999993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1555.4</v>
      </c>
      <c r="K12" s="23">
        <f>Tabela5[[#This Row],[COMPROMISSO]]-Tabela5[[#This Row],[ATINGIDO]]</f>
        <v>7554.6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50911.409999999996</v>
      </c>
      <c r="E13" s="24">
        <f>Tabela13[[#This Row],[META A]]-Tabela13[[#This Row],[ATINGIDO]]</f>
        <v>39088.590000000004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10282.75</v>
      </c>
      <c r="K13" s="23">
        <f>Tabela5[[#This Row],[COMPROMISSO]]-Tabela5[[#This Row],[ATINGIDO]]</f>
        <v>4717.25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172081.78999999986</v>
      </c>
      <c r="E14" s="27">
        <f>Tabela13[[#This Row],[META A]]-Tabela13[[#This Row],[ATINGIDO]]</f>
        <v>100918.21000000014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2119.7999999999997</v>
      </c>
      <c r="K14" s="23">
        <f>Tabela5[[#This Row],[COMPROMISSO]]-Tabela5[[#This Row],[ATINGIDO]]</f>
        <v>2160.2000000000003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18</v>
      </c>
      <c r="W14" s="19">
        <f t="shared" si="0"/>
        <v>9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50497.230000000061</v>
      </c>
      <c r="E15" s="24">
        <f>Tabela13[[#This Row],[META A]]-Tabela13[[#This Row],[ATINGIDO]]</f>
        <v>27502.769999999939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5075.1400000000003</v>
      </c>
      <c r="K15" s="23">
        <f>Tabela5[[#This Row],[COMPROMISSO]]-Tabela5[[#This Row],[ATINGIDO]]</f>
        <v>9924.86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1755.6</v>
      </c>
      <c r="Q15" s="2">
        <f t="shared" si="1"/>
        <v>-1755.6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6084.99</v>
      </c>
      <c r="K16" s="23">
        <f>Tabela5[[#This Row],[COMPROMISSO]]-Tabela5[[#This Row],[ATINGIDO]]</f>
        <v>7385.01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262775.00000000081</v>
      </c>
      <c r="E17" s="24">
        <f>Tabela13[[#This Row],[META A]]-Tabela13[[#This Row],[ATINGIDO]]</f>
        <v>-92775.000000000815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3106.9800000000005</v>
      </c>
      <c r="K17" s="23">
        <f>Tabela5[[#This Row],[COMPROMISSO]]-Tabela5[[#This Row],[ATINGIDO]]</f>
        <v>-576.98000000000047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518079.70000000013</v>
      </c>
      <c r="E18" s="27">
        <f>Tabela13[[#This Row],[META A]]-Tabela13[[#This Row],[ATINGIDO]]</f>
        <v>431920.29999999987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3369.5499999999997</v>
      </c>
      <c r="K18" s="23">
        <f>Tabela5[[#This Row],[COMPROMISSO]]-Tabela5[[#This Row],[ATINGIDO]]</f>
        <v>3470.4500000000003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39</v>
      </c>
      <c r="W18" s="19">
        <f t="shared" si="0"/>
        <v>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6579.7000000000007</v>
      </c>
      <c r="K19" s="23">
        <f>Tabela5[[#This Row],[COMPROMISSO]]-Tabela5[[#This Row],[ATINGIDO]]</f>
        <v>4330.2999999999993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264953.34999999998</v>
      </c>
      <c r="E20" s="27">
        <f>Tabela13[[#This Row],[META A]]-Tabela13[[#This Row],[ATINGIDO]]</f>
        <v>295046.65000000002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1582.6</v>
      </c>
      <c r="K20" s="23">
        <f>Tabela5[[#This Row],[COMPROMISSO]]-Tabela5[[#This Row],[ATINGIDO]]</f>
        <v>11417.4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2111</v>
      </c>
      <c r="K21" s="23">
        <f>Tabela5[[#This Row],[COMPROMISSO]]-Tabela5[[#This Row],[ATINGIDO]]</f>
        <v>3379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72289.98</v>
      </c>
      <c r="E22" s="27">
        <f>Tabela13[[#This Row],[META A]]-Tabela13[[#This Row],[ATINGIDO]]</f>
        <v>49710.020000000004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2531.9900000000002</v>
      </c>
      <c r="K22" s="23">
        <f>Tabela5[[#This Row],[COMPROMISSO]]-Tabela5[[#This Row],[ATINGIDO]]</f>
        <v>4818.01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26</v>
      </c>
      <c r="W22" s="19">
        <f t="shared" si="2"/>
        <v>14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126381.53499999977</v>
      </c>
      <c r="E23" s="24">
        <f>Tabela13[[#This Row],[META A]]-Tabela13[[#This Row],[ATINGIDO]]</f>
        <v>68618.465000000229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1865.2</v>
      </c>
      <c r="K23" s="23">
        <f>Tabela5[[#This Row],[COMPROMISSO]]-Tabela5[[#This Row],[ATINGIDO]]</f>
        <v>3424.8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92562.490000000049</v>
      </c>
      <c r="E24" s="27">
        <f>Tabela13[[#This Row],[META A]]-Tabela13[[#This Row],[ATINGIDO]]</f>
        <v>47437.509999999951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695.4</v>
      </c>
      <c r="K24" s="23">
        <f>Tabela5[[#This Row],[COMPROMISSO]]-Tabela5[[#This Row],[ATINGIDO]]</f>
        <v>2844.6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180720.71000000008</v>
      </c>
      <c r="Q24" s="7">
        <f>O24-P24</f>
        <v>438597.4718181818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83828.379999999845</v>
      </c>
      <c r="E25" s="24">
        <f>Tabela13[[#This Row],[META A]]-Tabela13[[#This Row],[ATINGIDO]]</f>
        <v>58671.620000000155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2083.1800000000003</v>
      </c>
      <c r="K25" s="23">
        <f>Tabela5[[#This Row],[COMPROMISSO]]-Tabela5[[#This Row],[ATINGIDO]]</f>
        <v>1816.8199999999997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34</v>
      </c>
      <c r="W25" s="19">
        <f t="shared" si="2"/>
        <v>17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48696.880000000092</v>
      </c>
      <c r="E26" s="27">
        <f>Tabela13[[#This Row],[META A]]-Tabela13[[#This Row],[ATINGIDO]]</f>
        <v>41303.119999999908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157592.50999999983</v>
      </c>
      <c r="E27" s="24">
        <f>Tabela13[[#This Row],[META A]]-Tabela13[[#This Row],[ATINGIDO]]</f>
        <v>79907.490000000165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3262.0099999999998</v>
      </c>
      <c r="K27" s="23">
        <f>Tabela5[[#This Row],[COMPROMISSO]]-Tabela5[[#This Row],[ATINGIDO]]</f>
        <v>-712.00999999999976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231932.30999999968</v>
      </c>
      <c r="E28" s="27">
        <f>Tabela13[[#This Row],[META A]]-Tabela13[[#This Row],[ATINGIDO]]</f>
        <v>86567.690000000322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90356.509999999907</v>
      </c>
      <c r="E30" s="27">
        <f>Tabela13[[#This Row],[META A]]-Tabela13[[#This Row],[ATINGIDO]]</f>
        <v>44143.490000000093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110932.85999999996</v>
      </c>
      <c r="E31" s="24">
        <f>Tabela13[[#This Row],[META A]]-Tabela13[[#This Row],[ATINGIDO]]</f>
        <v>56067.140000000043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265751.90999999992</v>
      </c>
      <c r="K31" s="7">
        <f>I31-J31</f>
        <v>124998.09000000008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179361.28999999983</v>
      </c>
      <c r="E32" s="27">
        <f>Tabela13[[#This Row],[META A]]-Tabela13[[#This Row],[ATINGIDO]]</f>
        <v>80638.710000000166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58108.070000000094</v>
      </c>
      <c r="E33" s="24">
        <f>Tabela13[[#This Row],[META A]]-Tabela13[[#This Row],[ATINGIDO]]</f>
        <v>41891.929999999906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102</v>
      </c>
      <c r="W33" s="6">
        <f t="shared" si="3"/>
        <v>70.272727272727252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395051.4550000013</v>
      </c>
      <c r="K34" s="7">
        <f t="shared" si="4"/>
        <v>256198.5449999987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52206.95</v>
      </c>
      <c r="E35" s="24">
        <f>Tabela13[[#This Row],[META A]]-Tabela13[[#This Row],[ATINGIDO]]</f>
        <v>20793.050000000003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576026.05500000238</v>
      </c>
      <c r="E43" s="7">
        <f t="shared" si="5"/>
        <v>75223.94499999762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2026-07-22T14:36:15Z</dcterms:modified>
</cp:coreProperties>
</file>