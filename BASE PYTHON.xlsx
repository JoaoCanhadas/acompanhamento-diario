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F1D93380-7C21-429C-B4A6-4A0E77E04626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0" i="2" l="1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V26" i="2"/>
  <c r="U26" i="2"/>
  <c r="V25" i="2"/>
  <c r="U25" i="2"/>
  <c r="V24" i="2"/>
  <c r="U24" i="2"/>
  <c r="V23" i="2"/>
  <c r="U23" i="2"/>
  <c r="V22" i="2"/>
  <c r="U22" i="2"/>
  <c r="V21" i="2"/>
  <c r="U21" i="2"/>
  <c r="V20" i="2"/>
  <c r="U20" i="2"/>
  <c r="V19" i="2"/>
  <c r="U19" i="2"/>
  <c r="V18" i="2"/>
  <c r="U18" i="2"/>
  <c r="V17" i="2"/>
  <c r="U17" i="2"/>
  <c r="V16" i="2"/>
  <c r="U16" i="2"/>
  <c r="V15" i="2"/>
  <c r="U15" i="2"/>
  <c r="V14" i="2"/>
  <c r="U14" i="2"/>
  <c r="V13" i="2"/>
  <c r="U13" i="2"/>
  <c r="V12" i="2"/>
  <c r="U12" i="2"/>
  <c r="V11" i="2"/>
  <c r="U11" i="2"/>
  <c r="V10" i="2"/>
  <c r="U10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J10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O17" i="2" a="1"/>
  <c r="O17" i="2" s="1"/>
  <c r="O16" i="2" a="1"/>
  <c r="O16" i="2" s="1"/>
  <c r="O15" i="2" a="1"/>
  <c r="O15" i="2" s="1"/>
  <c r="O14" i="2" a="1"/>
  <c r="O14" i="2" s="1"/>
  <c r="O13" i="2" a="1"/>
  <c r="O13" i="2" s="1"/>
  <c r="O12" i="2" a="1"/>
  <c r="O12" i="2" s="1"/>
  <c r="O11" i="2" a="1"/>
  <c r="O11" i="2" s="1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P16" i="2"/>
  <c r="D40" i="2"/>
  <c r="D44" i="2"/>
  <c r="V33" i="2"/>
  <c r="P14" i="2"/>
  <c r="J34" i="2"/>
  <c r="J35" i="2"/>
  <c r="J32" i="2"/>
  <c r="P15" i="2"/>
  <c r="P24" i="2"/>
  <c r="P17" i="2"/>
  <c r="P13" i="2"/>
  <c r="D41" i="2"/>
  <c r="P25" i="2"/>
  <c r="V34" i="2"/>
  <c r="D43" i="2"/>
  <c r="P23" i="2"/>
  <c r="V30" i="2"/>
  <c r="D42" i="2"/>
  <c r="V32" i="2"/>
  <c r="J33" i="2"/>
  <c r="P21" i="2"/>
  <c r="P11" i="2"/>
  <c r="J31" i="2"/>
  <c r="P12" i="2"/>
  <c r="V31" i="2"/>
  <c r="P22" i="2"/>
  <c r="Q11" i="2" l="1"/>
  <c r="Q17" i="2"/>
  <c r="Q16" i="2"/>
  <c r="Q15" i="2"/>
  <c r="Q14" i="2"/>
  <c r="Q13" i="2"/>
  <c r="Q12" i="2"/>
  <c r="E36" i="2"/>
  <c r="U5" i="2"/>
  <c r="E12" i="2"/>
  <c r="C5" i="2" l="1"/>
  <c r="C4" i="2"/>
  <c r="K16" i="2"/>
  <c r="K20" i="2"/>
  <c r="K19" i="2"/>
  <c r="K12" i="2"/>
  <c r="K27" i="2"/>
  <c r="K11" i="2"/>
  <c r="E31" i="2"/>
  <c r="E15" i="2"/>
  <c r="K22" i="2"/>
  <c r="K21" i="2"/>
  <c r="K18" i="2"/>
  <c r="K17" i="2"/>
  <c r="K15" i="2"/>
  <c r="K14" i="2"/>
  <c r="K13" i="2"/>
  <c r="K26" i="2"/>
  <c r="K10" i="2"/>
  <c r="K25" i="2"/>
  <c r="K24" i="2"/>
  <c r="K23" i="2"/>
  <c r="E32" i="2"/>
  <c r="E16" i="2"/>
  <c r="E30" i="2"/>
  <c r="E14" i="2"/>
  <c r="E29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E10" i="2"/>
  <c r="I5" i="2" l="1"/>
  <c r="O4" i="2"/>
  <c r="O5" i="2"/>
  <c r="C6" i="2"/>
  <c r="C7" i="2" s="1"/>
  <c r="O6" i="2" l="1"/>
  <c r="O7" i="2" s="1"/>
  <c r="I4" i="2" l="1"/>
  <c r="I6" i="2" s="1"/>
  <c r="I7" i="2" s="1"/>
  <c r="W19" i="2" l="1"/>
  <c r="W18" i="2"/>
  <c r="W21" i="2"/>
  <c r="W23" i="2"/>
  <c r="W25" i="2"/>
  <c r="W11" i="2"/>
  <c r="W22" i="2"/>
  <c r="W16" i="2"/>
  <c r="W15" i="2"/>
  <c r="W17" i="2"/>
  <c r="W13" i="2"/>
  <c r="W14" i="2"/>
  <c r="W20" i="2"/>
  <c r="W12" i="2"/>
  <c r="W24" i="2"/>
  <c r="W26" i="2"/>
  <c r="W10" i="2" l="1"/>
  <c r="U4" i="2"/>
  <c r="U6" i="2" s="1"/>
  <c r="U7" i="2" s="1"/>
  <c r="C42" i="2" l="1" a="1"/>
  <c r="C42" i="2" s="1"/>
  <c r="E42" i="2" s="1"/>
  <c r="C43" i="2" a="1"/>
  <c r="C43" i="2" s="1"/>
  <c r="E43" i="2" s="1"/>
  <c r="C40" i="2" a="1"/>
  <c r="C40" i="2" s="1"/>
  <c r="E40" i="2" s="1"/>
  <c r="C41" i="2" a="1"/>
  <c r="C41" i="2" s="1"/>
  <c r="E41" i="2" s="1"/>
  <c r="C44" i="2" a="1"/>
  <c r="C44" i="2" s="1"/>
  <c r="E44" i="2" s="1"/>
  <c r="I32" i="2" a="1"/>
  <c r="I32" i="2" s="1"/>
  <c r="K32" i="2" s="1"/>
  <c r="I31" i="2" a="1"/>
  <c r="I31" i="2" s="1"/>
  <c r="K31" i="2" s="1"/>
  <c r="I34" i="2" a="1"/>
  <c r="I34" i="2" s="1"/>
  <c r="K34" i="2" s="1"/>
  <c r="O23" i="2" a="1"/>
  <c r="O23" i="2" s="1"/>
  <c r="Q23" i="2" s="1"/>
  <c r="I35" i="2" a="1"/>
  <c r="I35" i="2" s="1"/>
  <c r="K35" i="2" s="1"/>
  <c r="I33" i="2" a="1"/>
  <c r="I33" i="2" s="1"/>
  <c r="K33" i="2" s="1"/>
  <c r="O24" i="2" a="1"/>
  <c r="O24" i="2" s="1"/>
  <c r="Q24" i="2" s="1"/>
  <c r="O21" i="2" a="1"/>
  <c r="O21" i="2" s="1"/>
  <c r="Q21" i="2" s="1"/>
  <c r="O25" i="2" a="1"/>
  <c r="O25" i="2" s="1"/>
  <c r="Q25" i="2" s="1"/>
  <c r="O22" i="2" a="1"/>
  <c r="O22" i="2" s="1"/>
  <c r="Q22" i="2" s="1"/>
  <c r="U30" i="2" l="1" a="1"/>
  <c r="U30" i="2" s="1"/>
  <c r="W30" i="2" s="1"/>
  <c r="U31" i="2" a="1"/>
  <c r="U31" i="2" s="1"/>
  <c r="W31" i="2" s="1"/>
  <c r="U32" i="2" a="1"/>
  <c r="U32" i="2" s="1"/>
  <c r="W32" i="2" s="1"/>
  <c r="U33" i="2" a="1"/>
  <c r="U33" i="2" s="1"/>
  <c r="W33" i="2" s="1"/>
  <c r="U34" i="2" a="1"/>
  <c r="U34" i="2" s="1"/>
  <c r="W34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[2026-08-17T00:00:00]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<sst xmlns="http://schemas.openxmlformats.org/spreadsheetml/2006/main" count="215" uniqueCount="54">
  <si>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</si>
  <si>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</si>
  <si>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</si>
  <si>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</si>
  <si>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</si>
  <si>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</si>
  <si>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</si>
  <si>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</si>
  <si>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</si>
  <si>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</si>
  <si>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</si>
  <si>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</si>
  <si>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</si>
  <si>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</si>
  <si>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</si>
  <si>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</si>
  <si>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</si>
  <si>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</si>
  <si>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</si>
  <si>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</si>
  <si>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</si>
  <si>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</si>
  <si>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</si>
  <si>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</si>
  <si>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</si>
  <si>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</si>
  <si>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</si>
  <si>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</si>
  <si>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</si>
  <si>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</si>
  <si>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</si>
  <si>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</si>
  <si>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</si>
  <si>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</si>
  <si>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</si>
  <si>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</si>
  <si>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</si>
  <si>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</si>
  <si>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</si>
  <si>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</si>
  <si>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</si>
  <si>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</si>
  <si>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</si>
  <si>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</si>
  <si>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</si>
  <si>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</si>
  <si>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</si>
  <si>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</si>
  <si>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</si>
  <si>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</si>
  <si>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</si>
  <si>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</si>
  <si>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</si>
  <si>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POSITIVACAO BRIOCHE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</si>
</sst>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9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0" fillId="0" borderId="5" xfId="0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3" fillId="4" borderId="0" xfId="0" applyFont="1" applyFill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44" fontId="0" fillId="0" borderId="5" xfId="0" applyNumberFormat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7" borderId="5" xfId="0" applyNumberFormat="1" applyFill="1" applyBorder="1" applyAlignment="1">
      <alignment horizontal="center"/>
    </xf>
    <xf numFmtId="44" fontId="3" fillId="4" borderId="0" xfId="2" applyFont="1" applyFill="1" applyBorder="1" applyAlignment="1">
      <alignment horizontal="center"/>
    </xf>
    <xf numFmtId="0" fontId="0" fillId="0" borderId="0" xfId="0" applyAlignment="1">
      <alignment horizontal="left"/>
    </xf>
    <xf numFmtId="44" fontId="0" fillId="0" borderId="5" xfId="2" applyFont="1" applyFill="1" applyBorder="1" applyAlignment="1">
      <alignment horizontal="center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8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eetMetadata" Target="metadata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com3\Downloads\Conversor%20CX%20vs%20KG.xlsm" TargetMode="External"/><Relationship Id="rId1" Type="http://schemas.openxmlformats.org/officeDocument/2006/relationships/externalLinkPath" Target="file:///C:\Users\acom3\Downloads\Conversor%20CX%20vs%20KG.xlsm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/>
      <sheetData sheetId="1"/>
      <sheetData sheetId="2"/>
      <sheetData sheetId="3"/>
      <sheetData sheetId="4"/>
      <sheetData sheetId="5">
        <row r="1">
          <cell r="E1" t="str">
            <v>GERAL</v>
          </cell>
          <cell r="H1" t="str">
            <v>VAREJO/KEY DIA</v>
          </cell>
          <cell r="K1" t="str">
            <v>POSITIVACAO BRIOCHE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>17/08/2026</v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29243.490000000009</v>
          </cell>
          <cell r="H5" t="str">
            <v>CENTRO</v>
          </cell>
          <cell r="I5">
            <v>2872.1000000000004</v>
          </cell>
        </row>
        <row r="6">
          <cell r="E6" t="str">
            <v>CENTRO</v>
          </cell>
          <cell r="F6">
            <v>190715.7999999999</v>
          </cell>
          <cell r="H6" t="str">
            <v>INDAIATUBA</v>
          </cell>
          <cell r="I6">
            <v>2823.6</v>
          </cell>
          <cell r="K6" t="str">
            <v>Contagem Distinta de COD_CLIENTE</v>
          </cell>
        </row>
        <row r="7">
          <cell r="E7" t="str">
            <v>ECOMMERCE</v>
          </cell>
          <cell r="F7">
            <v>644.28</v>
          </cell>
          <cell r="H7" t="str">
            <v>INTERLAGOS</v>
          </cell>
          <cell r="I7">
            <v>4604.3</v>
          </cell>
          <cell r="K7" t="str">
            <v>Rótulos de Linha</v>
          </cell>
          <cell r="N7" t="str">
            <v>Total Geral</v>
          </cell>
        </row>
        <row r="8">
          <cell r="E8" t="str">
            <v>IATAGAM JUNIOR</v>
          </cell>
          <cell r="F8">
            <v>139.37</v>
          </cell>
          <cell r="H8" t="str">
            <v>KEY SP</v>
          </cell>
          <cell r="I8">
            <v>27980</v>
          </cell>
          <cell r="K8" t="str">
            <v>CAMPINAS</v>
          </cell>
          <cell r="N8">
            <v>20</v>
          </cell>
        </row>
        <row r="9">
          <cell r="E9" t="str">
            <v>INDAIATUBA</v>
          </cell>
          <cell r="F9">
            <v>44719.335000000006</v>
          </cell>
          <cell r="H9" t="str">
            <v>KEY ZL</v>
          </cell>
          <cell r="I9">
            <v>31879.599999999999</v>
          </cell>
          <cell r="K9" t="str">
            <v>CENTRO</v>
          </cell>
          <cell r="N9">
            <v>38</v>
          </cell>
        </row>
        <row r="10">
          <cell r="E10" t="str">
            <v>INTERLAGOS</v>
          </cell>
          <cell r="F10">
            <v>130714.95999999976</v>
          </cell>
          <cell r="H10" t="str">
            <v>LESTE MOOCA</v>
          </cell>
          <cell r="I10">
            <v>1906.9</v>
          </cell>
          <cell r="K10" t="str">
            <v>INDAIATUBA</v>
          </cell>
          <cell r="N10">
            <v>25</v>
          </cell>
        </row>
        <row r="11">
          <cell r="E11" t="str">
            <v>JUNDIAI</v>
          </cell>
          <cell r="F11">
            <v>42880.940000000024</v>
          </cell>
          <cell r="H11" t="str">
            <v>LESTE PENHA</v>
          </cell>
          <cell r="I11">
            <v>1711.3500000000001</v>
          </cell>
          <cell r="K11" t="str">
            <v>INTERLAGOS</v>
          </cell>
          <cell r="N11">
            <v>43</v>
          </cell>
        </row>
        <row r="12">
          <cell r="E12" t="str">
            <v>KEY ABC</v>
          </cell>
          <cell r="F12">
            <v>148517.63999999996</v>
          </cell>
          <cell r="H12" t="str">
            <v>LESTE TATUAPE</v>
          </cell>
          <cell r="I12">
            <v>992.36</v>
          </cell>
          <cell r="K12" t="str">
            <v>JUNDIAI</v>
          </cell>
          <cell r="N12">
            <v>14</v>
          </cell>
        </row>
        <row r="13">
          <cell r="E13" t="str">
            <v>KEY CASA</v>
          </cell>
          <cell r="F13">
            <v>220998.31999999977</v>
          </cell>
          <cell r="H13" t="str">
            <v>PIRITUBA</v>
          </cell>
          <cell r="I13">
            <v>440.7</v>
          </cell>
          <cell r="K13" t="str">
            <v>LESTE</v>
          </cell>
          <cell r="N13">
            <v>29</v>
          </cell>
        </row>
        <row r="14">
          <cell r="E14" t="str">
            <v>KEY INTERIOR</v>
          </cell>
          <cell r="F14">
            <v>423879.69999999978</v>
          </cell>
          <cell r="H14" t="str">
            <v>SANTO ANDRE</v>
          </cell>
          <cell r="I14">
            <v>1145.3</v>
          </cell>
          <cell r="K14" t="str">
            <v>LESTE MOOCA</v>
          </cell>
          <cell r="N14">
            <v>33</v>
          </cell>
        </row>
        <row r="15">
          <cell r="E15" t="str">
            <v>KEY PIRACICABA</v>
          </cell>
          <cell r="F15">
            <v>0</v>
          </cell>
          <cell r="H15" t="str">
            <v>SJC</v>
          </cell>
          <cell r="I15">
            <v>1061.8200000000002</v>
          </cell>
          <cell r="K15" t="str">
            <v>LESTE PENHA</v>
          </cell>
          <cell r="N15">
            <v>19</v>
          </cell>
        </row>
        <row r="16">
          <cell r="E16" t="str">
            <v>KEY SJC</v>
          </cell>
          <cell r="F16">
            <v>17374.349999999999</v>
          </cell>
          <cell r="H16" t="str">
            <v>VENDEDOR INTERNO 1</v>
          </cell>
          <cell r="I16">
            <v>1613.67</v>
          </cell>
          <cell r="K16" t="str">
            <v>LESTE TATUAPE</v>
          </cell>
          <cell r="N16">
            <v>19</v>
          </cell>
        </row>
        <row r="17">
          <cell r="E17" t="str">
            <v>KEY SP</v>
          </cell>
          <cell r="F17">
            <v>213199.10000000012</v>
          </cell>
          <cell r="H17" t="str">
            <v>Total Geral</v>
          </cell>
          <cell r="I17">
            <v>79031.699999999968</v>
          </cell>
          <cell r="K17" t="str">
            <v>MOGI</v>
          </cell>
          <cell r="N17">
            <v>18</v>
          </cell>
        </row>
        <row r="18">
          <cell r="E18" t="str">
            <v>KEY ZL</v>
          </cell>
          <cell r="F18">
            <v>187972.56999999992</v>
          </cell>
          <cell r="K18" t="str">
            <v>NORTE</v>
          </cell>
          <cell r="N18">
            <v>28</v>
          </cell>
        </row>
        <row r="19">
          <cell r="E19" t="str">
            <v>LESTE</v>
          </cell>
          <cell r="F19">
            <v>55812.090000000055</v>
          </cell>
          <cell r="K19" t="str">
            <v>OSASCO</v>
          </cell>
          <cell r="N19">
            <v>44</v>
          </cell>
        </row>
        <row r="20">
          <cell r="E20" t="str">
            <v>LESTE MOOCA</v>
          </cell>
          <cell r="F20">
            <v>93229.90999999996</v>
          </cell>
          <cell r="K20" t="str">
            <v>PIRITUBA</v>
          </cell>
          <cell r="N20">
            <v>23</v>
          </cell>
        </row>
        <row r="21">
          <cell r="E21" t="str">
            <v>LESTE PENHA</v>
          </cell>
          <cell r="F21">
            <v>56309.55</v>
          </cell>
          <cell r="K21" t="str">
            <v>SANTO ANDRE</v>
          </cell>
          <cell r="N21">
            <v>24</v>
          </cell>
        </row>
        <row r="22">
          <cell r="E22" t="str">
            <v>LESTE TATUAPE</v>
          </cell>
          <cell r="F22">
            <v>38483.460000000043</v>
          </cell>
          <cell r="K22" t="str">
            <v>SBC</v>
          </cell>
          <cell r="N22">
            <v>26</v>
          </cell>
        </row>
        <row r="23">
          <cell r="E23" t="str">
            <v>MOGI</v>
          </cell>
          <cell r="F23">
            <v>20407.630000000012</v>
          </cell>
          <cell r="K23" t="str">
            <v>SJC</v>
          </cell>
          <cell r="N23">
            <v>28</v>
          </cell>
        </row>
        <row r="24">
          <cell r="E24" t="str">
            <v>NORTE</v>
          </cell>
          <cell r="F24">
            <v>99341.889999999912</v>
          </cell>
          <cell r="K24" t="str">
            <v>SJC/VALE</v>
          </cell>
          <cell r="N24">
            <v>21</v>
          </cell>
        </row>
        <row r="25">
          <cell r="E25" t="str">
            <v>OSASCO</v>
          </cell>
          <cell r="F25">
            <v>157458.57499999992</v>
          </cell>
          <cell r="K25" t="str">
            <v>Total Geral</v>
          </cell>
          <cell r="N25">
            <v>452</v>
          </cell>
        </row>
        <row r="26">
          <cell r="E26" t="str">
            <v>PIRITUBA</v>
          </cell>
          <cell r="F26">
            <v>60194.280000000042</v>
          </cell>
        </row>
        <row r="27">
          <cell r="E27" t="str">
            <v>SANTO ANDRE</v>
          </cell>
          <cell r="F27">
            <v>81342.889999999985</v>
          </cell>
        </row>
        <row r="28">
          <cell r="E28" t="str">
            <v>SBC</v>
          </cell>
          <cell r="F28">
            <v>118570.04999999987</v>
          </cell>
        </row>
        <row r="29">
          <cell r="E29" t="str">
            <v>SJC</v>
          </cell>
          <cell r="F29">
            <v>36060.560000000034</v>
          </cell>
        </row>
        <row r="30">
          <cell r="E30" t="str">
            <v>SJC/VALE</v>
          </cell>
          <cell r="F30">
            <v>23764.140000000025</v>
          </cell>
        </row>
        <row r="31">
          <cell r="E31" t="str">
            <v>VENDEDOR INTERNO 1</v>
          </cell>
          <cell r="F31">
            <v>36758.37000000001</v>
          </cell>
        </row>
        <row r="32">
          <cell r="E32" t="str">
            <v>Total Geral</v>
          </cell>
          <cell r="F32">
            <v>2528733.25</v>
          </cell>
          <cell r="P32" t="str">
            <v>Soma de TOTAL</v>
          </cell>
        </row>
        <row r="47">
          <cell r="P47" t="str">
            <v>Soma de TOTAL</v>
          </cell>
        </row>
        <row r="63">
          <cell r="A63" t="str">
            <v>OSASCO</v>
          </cell>
          <cell r="B63">
            <v>63</v>
          </cell>
        </row>
        <row r="64">
          <cell r="A64" t="str">
            <v>NORTE</v>
          </cell>
          <cell r="B64">
            <v>47</v>
          </cell>
        </row>
        <row r="65">
          <cell r="A65" t="str">
            <v>PIRITUBA</v>
          </cell>
          <cell r="B65">
            <v>44</v>
          </cell>
        </row>
        <row r="66">
          <cell r="A66" t="str">
            <v>SBC</v>
          </cell>
          <cell r="B66">
            <v>55</v>
          </cell>
        </row>
        <row r="67">
          <cell r="A67" t="str">
            <v>LESTE TATUAPE</v>
          </cell>
          <cell r="B67">
            <v>53</v>
          </cell>
        </row>
        <row r="68">
          <cell r="A68" t="str">
            <v>CENTRO</v>
          </cell>
          <cell r="B68">
            <v>54</v>
          </cell>
        </row>
        <row r="69">
          <cell r="A69" t="str">
            <v>SANTO ANDRE</v>
          </cell>
          <cell r="B69">
            <v>40</v>
          </cell>
        </row>
        <row r="70">
          <cell r="A70" t="str">
            <v>MOGI</v>
          </cell>
          <cell r="B70">
            <v>41</v>
          </cell>
        </row>
        <row r="71">
          <cell r="A71" t="str">
            <v>LESTE</v>
          </cell>
          <cell r="B71">
            <v>48</v>
          </cell>
        </row>
        <row r="72">
          <cell r="A72" t="str">
            <v>LESTE MOOCA</v>
          </cell>
          <cell r="B72">
            <v>51</v>
          </cell>
        </row>
        <row r="73">
          <cell r="A73" t="str">
            <v>INTERLAGOS</v>
          </cell>
          <cell r="B73">
            <v>61</v>
          </cell>
        </row>
        <row r="74">
          <cell r="A74" t="str">
            <v>JUNDIAI</v>
          </cell>
          <cell r="B74">
            <v>29</v>
          </cell>
        </row>
        <row r="75">
          <cell r="A75" t="str">
            <v>LESTE PENHA</v>
          </cell>
          <cell r="B75">
            <v>41</v>
          </cell>
        </row>
        <row r="76">
          <cell r="A76" t="str">
            <v>INDAIATUBA</v>
          </cell>
          <cell r="B76">
            <v>43</v>
          </cell>
        </row>
        <row r="77">
          <cell r="A77" t="str">
            <v>SJC</v>
          </cell>
          <cell r="B77">
            <v>37</v>
          </cell>
        </row>
        <row r="78">
          <cell r="A78" t="str">
            <v>SJC/VALE</v>
          </cell>
          <cell r="B78">
            <v>38</v>
          </cell>
        </row>
        <row r="79">
          <cell r="A79" t="str">
            <v>CAMPINAS</v>
          </cell>
          <cell r="B79">
            <v>38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87">
          <cell r="E87">
            <v>96500</v>
          </cell>
          <cell r="F87">
            <v>0</v>
          </cell>
        </row>
        <row r="88">
          <cell r="E88">
            <v>0</v>
          </cell>
          <cell r="F88">
            <v>0</v>
          </cell>
        </row>
        <row r="89">
          <cell r="E89">
            <v>78000</v>
          </cell>
          <cell r="F89">
            <v>96540</v>
          </cell>
        </row>
        <row r="90">
          <cell r="E90">
            <v>216000</v>
          </cell>
          <cell r="F90">
            <v>130000</v>
          </cell>
        </row>
        <row r="91">
          <cell r="E91">
            <v>86000</v>
          </cell>
          <cell r="F91">
            <v>126000</v>
          </cell>
        </row>
        <row r="92">
          <cell r="E92">
            <v>0</v>
          </cell>
          <cell r="F92">
            <v>0</v>
          </cell>
        </row>
        <row r="93">
          <cell r="E93">
            <v>165500</v>
          </cell>
          <cell r="F93">
            <v>50500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CONVERSOR"/>
      <sheetName val="SENSUM"/>
      <sheetName val="BASE PYTHON"/>
      <sheetName val="Conversor CX vs KG"/>
    </sheetNames>
    <sheetDataSet>
      <sheetData sheetId="0"/>
      <sheetData sheetId="1"/>
      <sheetData sheetId="2"/>
      <sheetData sheetId="3"/>
      <sheetData sheetId="4"/>
      <sheetData sheetId="5"/>
      <sheetData sheetId="6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9" dataDxfId="78">
  <tableColumns count="2">
    <tableColumn id="1" xr3:uid="{3308613D-E7FC-469E-B078-C5AC910E183B}" name="Coluna1" dataDxfId="77"/>
    <tableColumn id="2" xr3:uid="{C994D666-6174-475E-AE71-1F12062A5225}" name="Coluna2" headerRowDxfId="76" dataDxfId="75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9:E44" totalsRowShown="0" headerRowDxfId="74" dataDxfId="73">
  <autoFilter ref="B39:E44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72"/>
    <tableColumn id="2" xr3:uid="{06063E15-5C9E-4303-B5F6-B9D0B178DB82}" name="META" dataDxfId="71" dataCellStyle="Moeda">
      <calculatedColumnFormula array="1">_xlfn.XLOOKUP(Tabela3[[#This Row],[SEMANAL]],[1]!Tabela7[[#All],[Coluna1]],[1]!Tabela7[[#All],[Coluna2]])</calculatedColumnFormula>
    </tableColumn>
    <tableColumn id="3" xr3:uid="{425F53BB-8CBB-40E8-9773-1C7C39906AD7}" name="REALIZADO" dataDxfId="70" dataCellStyle="Moeda">
      <calculatedColumnFormula>IFERROR(GETPIVOTDATA("[Measures].[Soma de TOTAL 3]",'[1]BASE PYTHON'!$P$47,"[Intervalo 2].[SEMANA]","[Intervalo 2].[SEMANA].&amp;[2]"),0)</calculatedColumnFormula>
    </tableColumn>
    <tableColumn id="4" xr3:uid="{A18F5082-185F-44C4-B163-8A3CBDDA6732}" name="FALTA" dataDxfId="69">
      <calculatedColumnFormula>C40-D40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68" dataDxfId="67">
  <tableColumns count="2">
    <tableColumn id="1" xr3:uid="{C661D03F-A79A-4D24-86FD-3574B6E5537D}" name="Coluna1" dataDxfId="66"/>
    <tableColumn id="2" xr3:uid="{7EF7A574-C8A3-4CB7-9C98-86948FE130EB}" name="Coluna2" headerRowDxfId="65" dataDxfId="6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63" dataDxfId="62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61"/>
    <tableColumn id="2" xr3:uid="{67CE9FE2-AA11-4BD4-9F34-EDC9123EA89F}" name="META" dataDxfId="60" dataCellStyle="Moeda">
      <calculatedColumnFormula array="1">_xlfn.XLOOKUP(Tabela6[[#This Row],[SEMANAL]],[1]!Tabela9[[#All],[Coluna1]],[1]!Tabela9[[#All],[Coluna2]])</calculatedColumnFormula>
    </tableColumn>
    <tableColumn id="3" xr3:uid="{14D3AA11-9DFC-420F-8F5A-5002E14D4AAA}" name="REALIZADO" dataDxfId="59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58">
      <calculatedColumnFormula>I31-J31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57" dataDxfId="56">
  <tableColumns count="2">
    <tableColumn id="1" xr3:uid="{0139F26F-4C9F-4E96-9F64-C5C5B271DCA9}" name="Coluna1" dataDxfId="55"/>
    <tableColumn id="2" xr3:uid="{1DA3E17F-38EB-4042-B2F0-3DFB7629A3F5}" name="Coluna2" headerRowDxfId="54" dataDxfId="53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52" dataDxfId="51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REFERENCIA" dataDxfId="50"/>
    <tableColumn id="2" xr3:uid="{0B55D821-52F8-4CE2-9F16-C5BCDBCE53AC}" name="VENDEDOR" dataDxfId="49"/>
    <tableColumn id="3" xr3:uid="{B5D24BF0-392E-420D-BB1D-3FED1D3383B5}" name="COMPROMISSO" dataDxfId="48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47" dataCellStyle="Moeda">
      <calculatedColumnFormula>IFERROR(GETPIVOTDATA("[Measures].[Soma de TOTAL 3]",'[1]BASE PYTHON'!$P$32,"[Intervalo 2].[REGIAO]","[Intervalo 2].[REGIAO].&amp;["&amp;N11&amp;"]","[Intervalo 2].[SEMANA]","[Intervalo 2].[SEMANA].&amp;["&amp;RIGHT($O$9,1)&amp;"]"),0)</calculatedColumnFormula>
    </tableColumn>
    <tableColumn id="5" xr3:uid="{CA195FA3-3822-41FA-8A93-2D86914C048E}" name="FALTA" dataDxfId="46" dataCellStyle="Moeda">
      <calculatedColumnFormula>Tabela8[[#This Row],[COMPROMISSO]]-Tabela8[[#This Row],[ATINGIDO]]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45" dataDxfId="44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43"/>
    <tableColumn id="2" xr3:uid="{7B11DBA8-6FBD-4B67-BDA9-6624DF753EFD}" name="META" dataDxfId="42" dataCellStyle="Moeda">
      <calculatedColumnFormula array="1">_xlfn.XLOOKUP(Tabela9[[#This Row],[SEMANAL]],[1]!Tabela10[[#All],[Coluna1]],[1]!Tabela10[[#All],[Coluna2]])</calculatedColumnFormula>
    </tableColumn>
    <tableColumn id="3" xr3:uid="{0B727490-D536-4FC5-B857-CD92C459F1FB}" name="REALIZADO" dataDxfId="41"/>
    <tableColumn id="4" xr3:uid="{84544AF4-5466-4CAC-A349-7B2C804BDA05}" name="FALTA" dataDxfId="40">
      <calculatedColumnFormula>O21-P21</calculatedColumnFormula>
    </tableColumn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39" dataDxfId="38">
  <tableColumns count="2">
    <tableColumn id="1" xr3:uid="{870B59CA-1EA4-4CA9-BDCF-4A342A313131}" name="Coluna1" dataDxfId="37"/>
    <tableColumn id="2" xr3:uid="{6FE31DF2-1DB4-4D4B-8783-48EA07B43B53}" name="Coluna2" dataDxfId="36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35" dataDxfId="34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33"/>
    <tableColumn id="2" xr3:uid="{B849FCBC-ED0F-47D9-B4E7-149FFE3500D9}" name="META" dataDxfId="32" dataCellStyle="Moeda">
      <calculatedColumnFormula array="1">_xlfn.XLOOKUP(Tabela12[[#This Row],[SEMANAL]],[1]!Tabela11[[#All],[Coluna1]],[1]!Tabela11[[#All],[Coluna2]])</calculatedColumnFormula>
    </tableColumn>
    <tableColumn id="3" xr3:uid="{A81AB4FC-EF49-4A93-8229-1B0CBFC88744}" name="REALIZADO" dataDxfId="31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30">
      <calculatedColumnFormula>U30-V30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29" dataDxfId="28" tableBorderDxfId="27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REFERENCIA" dataDxfId="26"/>
    <tableColumn id="2" xr3:uid="{E2D85F5C-4525-4FA4-B813-A1322F5C254D}" name="VENDEDOR" dataDxfId="25"/>
    <tableColumn id="3" xr3:uid="{53C55BB3-DDD4-47EF-87D5-552E4D02B5BA}" name="META A" dataDxfId="24">
      <calculatedColumnFormula>_xlfn.XLOOKUP(Tabela2[[#This Row],[REFERENCIA]],'[2]BASE PYTHON'!$A$63:$A$79,#REF!)</calculatedColumnFormula>
    </tableColumn>
    <tableColumn id="4" xr3:uid="{018C7BF7-4C79-4668-95B2-CBF2E10B657D}" name="ATINGIDO" dataDxfId="23">
      <calculatedColumnFormula>_xlfn.XLOOKUP(Tabela2[[#This Row],[REFERENCIA]],'[1]BASE PYTHON'!$K:$K,'[1]BASE PYTHON'!$N:$N,0)</calculatedColumnFormula>
    </tableColumn>
    <tableColumn id="5" xr3:uid="{37E12533-09AB-4B65-AEC8-6BB07B5CC2B1}" name="FALTA" dataDxfId="22">
      <calculatedColumnFormula>U10-V10</calculatedColumnFormula>
    </tableColumn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21" dataDxfId="20" tableBorderDxfId="19">
  <autoFilter ref="G9:K27" xr:uid="{E3745920-1197-4A81-B558-958DBAB19EA3}"/>
  <tableColumns count="5">
    <tableColumn id="1" xr3:uid="{D324C7DB-F877-4A7E-BC26-EF8905C85433}" name="REFERENCIA" dataDxfId="18"/>
    <tableColumn id="2" xr3:uid="{A71A6478-3B31-4F54-A10C-E6EC00E95E0B}" name="VENDEDOR" dataDxfId="17"/>
    <tableColumn id="3" xr3:uid="{9F5EDCDD-D442-4FBE-9C74-26084F24EFCB}" name="COMPROMISSO" dataDxfId="16" dataCellStyle="Moeda">
      <calculatedColumnFormula>_xlfn.XLOOKUP(Tabela5[[#This Row],[REFERENCIA]],[1]!Tabela1[VENDEDOR],[1]!Tabela1[VALOR])</calculatedColumnFormula>
    </tableColumn>
    <tableColumn id="4" xr3:uid="{2E4F9793-0E4B-42F0-B595-748F8481D0D0}" name="ATINGIDO" dataDxfId="15" dataCellStyle="Moeda">
      <calculatedColumnFormula>_xlfn.XLOOKUP(Tabela5[[#This Row],[REFERENCIA]],'[1]BASE PYTHON'!$H:$H,'[1]BASE PYTHON'!$I:$I,0)</calculatedColumnFormula>
    </tableColumn>
    <tableColumn id="5" xr3:uid="{3CEFD09C-EF55-4119-A139-BD17682D2B73}" name="FALTA" dataDxfId="14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6" headerRowDxfId="13" tableBorderDxfId="12">
  <autoFilter ref="A9:E36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REFERENCIA" totalsRowLabel="Total" dataDxfId="11" totalsRowDxfId="10"/>
    <tableColumn id="2" xr3:uid="{4F0BAF4D-D0FC-4B7C-8FF4-8DDD6505FDA1}" name="VENDEDOR" dataDxfId="9" totalsRowDxfId="8"/>
    <tableColumn id="3" xr3:uid="{CCB341E8-8BC2-4209-AEA0-D6F26BFCB356}" name="META A" dataDxfId="7" totalsRowDxfId="6" dataCellStyle="Moeda">
      <calculatedColumnFormula>_xlfn.XLOOKUP(Tabela13[[#This Row],[REFERENCIA]],[1]!Tabela2[VENDEDOR],[1]!Tabela2[META A],0)</calculatedColumnFormula>
    </tableColumn>
    <tableColumn id="4" xr3:uid="{9AA985E6-33FD-40FD-9473-5AF6B4D03030}" name="ATINGIDO" dataDxfId="5" totalsRowDxfId="4" dataCellStyle="Moeda">
      <calculatedColumnFormula>_xlfn.XLOOKUP(Tabela13[[#This Row],[REFERENCIA]],'[1]BASE PYTHON'!$E:$E,'[1]BASE PYTHON'!$F:$F,0)</calculatedColumnFormula>
    </tableColumn>
    <tableColumn id="5" xr3:uid="{7B8A46E1-DE6F-44C0-A6C8-83887563A4C0}" name="FALTA" totalsRowFunction="sum" dataDxfId="3" totalsRowDxfId="2">
      <calculatedColumnFormula>Tabela13[[#This Row],[META A]]-Tabela13[[#This Row],[ATINGIDO]]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sheetPr codeName="Planilha1"/>
  <dimension ref="A1:W90"/>
  <sheetViews>
    <sheetView showGridLines="0" tabSelected="1" zoomScale="60" zoomScaleNormal="60" workbookViewId="0"/>
  </sheetViews>
  <sheetFormatPr defaultRowHeight="15" x14ac:dyDescent="0.25"/>
  <cols>
    <col min="1" max="1" width="26.5703125" customWidth="1"/>
    <col min="2" max="2" width="21.140625" bestFit="1" customWidth="1"/>
    <col min="3" max="3" width="22.140625" style="2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</cols>
  <sheetData>
    <row r="1" spans="1:2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53</v>
      </c>
      <c r="U1" s="14"/>
      <c r="V1" s="4"/>
      <c r="W1" s="4"/>
    </row>
    <row r="2" spans="1:2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x14ac:dyDescent="0.25">
      <c r="A4" s="4"/>
      <c r="B4" s="4" t="s">
        <v>38</v>
      </c>
      <c r="C4" s="2">
        <f>SUM(C10:C36)</f>
        <v>5784500</v>
      </c>
      <c r="D4" s="2"/>
      <c r="E4" s="4"/>
      <c r="F4" s="4"/>
      <c r="G4" s="4"/>
      <c r="H4" s="4" t="s">
        <v>0</v>
      </c>
      <c r="I4" s="7">
        <f>SUM(I10:I27)</f>
        <v>300000</v>
      </c>
      <c r="J4" s="4"/>
      <c r="K4" s="4"/>
      <c r="L4" s="4"/>
      <c r="M4" s="4"/>
      <c r="N4" s="4" t="s">
        <v>37</v>
      </c>
      <c r="O4" s="7">
        <f>SUM(O11:O17)</f>
        <v>645000</v>
      </c>
      <c r="P4" s="4"/>
      <c r="Q4" s="4"/>
      <c r="R4" s="4"/>
      <c r="S4" s="4"/>
      <c r="T4" s="4" t="s">
        <v>38</v>
      </c>
      <c r="U4" s="4">
        <f>SUM(U10:U26)</f>
        <v>783</v>
      </c>
      <c r="V4" s="4"/>
      <c r="W4" s="4"/>
    </row>
    <row r="5" spans="1:23" x14ac:dyDescent="0.25">
      <c r="A5" s="4"/>
      <c r="B5" s="4" t="s">
        <v>1</v>
      </c>
      <c r="C5" s="2">
        <f>SUM(D10:D36)</f>
        <v>2528733.2499999995</v>
      </c>
      <c r="D5" s="2"/>
      <c r="E5" s="4"/>
      <c r="F5" s="4"/>
      <c r="G5" s="4"/>
      <c r="H5" s="4" t="s">
        <v>1</v>
      </c>
      <c r="I5" s="7">
        <f>SUM(J10:J27)</f>
        <v>19172.099999999999</v>
      </c>
      <c r="J5" s="4"/>
      <c r="K5" s="4"/>
      <c r="L5" s="4"/>
      <c r="M5" s="4"/>
      <c r="N5" s="4" t="s">
        <v>1</v>
      </c>
      <c r="O5" s="7">
        <f>SUM(P11:P17)</f>
        <v>59859.6</v>
      </c>
      <c r="P5" s="4"/>
      <c r="Q5" s="4"/>
      <c r="R5" s="4"/>
      <c r="S5" s="4"/>
      <c r="T5" s="4" t="s">
        <v>1</v>
      </c>
      <c r="U5" s="4">
        <f>SUM(V10:V26)</f>
        <v>452</v>
      </c>
      <c r="V5" s="4"/>
      <c r="W5" s="4"/>
    </row>
    <row r="6" spans="1:23" x14ac:dyDescent="0.25">
      <c r="A6" s="4"/>
      <c r="B6" s="4" t="s">
        <v>2</v>
      </c>
      <c r="C6" s="2">
        <f>C4-C5</f>
        <v>3255766.7500000005</v>
      </c>
      <c r="D6" s="2"/>
      <c r="E6" s="4"/>
      <c r="F6" s="4"/>
      <c r="G6" s="4"/>
      <c r="H6" s="4" t="s">
        <v>2</v>
      </c>
      <c r="I6" s="7">
        <f>I4-I5</f>
        <v>280827.90000000002</v>
      </c>
      <c r="J6" s="4"/>
      <c r="K6" s="4"/>
      <c r="L6" s="4"/>
      <c r="M6" s="4"/>
      <c r="N6" s="4" t="s">
        <v>2</v>
      </c>
      <c r="O6" s="7">
        <f>O4-O5</f>
        <v>585140.4</v>
      </c>
      <c r="P6" s="4"/>
      <c r="Q6" s="4"/>
      <c r="R6" s="4"/>
      <c r="S6" s="4"/>
      <c r="T6" s="4" t="s">
        <v>2</v>
      </c>
      <c r="U6" s="4">
        <f>U4-U5</f>
        <v>331</v>
      </c>
      <c r="V6" s="4"/>
      <c r="W6" s="4"/>
    </row>
    <row r="7" spans="1:23" x14ac:dyDescent="0.25">
      <c r="A7" s="4"/>
      <c r="B7" s="4" t="s">
        <v>3</v>
      </c>
      <c r="C7" s="3">
        <f>1-(C6/C4)</f>
        <v>0.43715675512144514</v>
      </c>
      <c r="D7" s="2"/>
      <c r="E7" s="4"/>
      <c r="F7" s="4"/>
      <c r="G7" s="4"/>
      <c r="H7" s="4" t="s">
        <v>3</v>
      </c>
      <c r="I7" s="3">
        <f>1-(I6/I4)</f>
        <v>6.3906999999999936E-2</v>
      </c>
      <c r="J7" s="4"/>
      <c r="K7" s="4"/>
      <c r="L7" s="4"/>
      <c r="M7" s="4"/>
      <c r="N7" s="4" t="s">
        <v>3</v>
      </c>
      <c r="O7" s="3">
        <f>1-(O6/O4)</f>
        <v>9.280558139534878E-2</v>
      </c>
      <c r="P7" s="4"/>
      <c r="Q7" s="4"/>
      <c r="R7" s="4"/>
      <c r="S7" s="4"/>
      <c r="T7" s="4" t="s">
        <v>3</v>
      </c>
      <c r="U7" s="3">
        <f>1-(U6/U4)</f>
        <v>0.57726692209450836</v>
      </c>
      <c r="V7" s="4"/>
      <c r="W7" s="4"/>
    </row>
    <row r="8" spans="1:2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x14ac:dyDescent="0.25">
      <c r="A9" s="19" t="s">
        <v>46</v>
      </c>
      <c r="B9" s="19" t="s">
        <v>5</v>
      </c>
      <c r="C9" s="26" t="s">
        <v>33</v>
      </c>
      <c r="D9" s="26" t="s">
        <v>1</v>
      </c>
      <c r="E9" s="19" t="s">
        <v>2</v>
      </c>
      <c r="F9" s="4"/>
      <c r="G9" s="17" t="s">
        <v>46</v>
      </c>
      <c r="H9" s="17" t="s">
        <v>5</v>
      </c>
      <c r="I9" s="17" t="s">
        <v>6</v>
      </c>
      <c r="J9" s="17" t="s">
        <v>1</v>
      </c>
      <c r="K9" s="17" t="s">
        <v>2</v>
      </c>
      <c r="L9" s="4"/>
      <c r="M9" s="4"/>
      <c r="N9" s="4"/>
      <c r="O9" s="8" t="s">
        <v>49</v>
      </c>
      <c r="P9" s="4"/>
      <c r="Q9" s="4"/>
      <c r="R9" s="4"/>
      <c r="S9" s="17" t="s">
        <v>46</v>
      </c>
      <c r="T9" s="17" t="s">
        <v>5</v>
      </c>
      <c r="U9" s="17" t="s">
        <v>33</v>
      </c>
      <c r="V9" s="17" t="s">
        <v>1</v>
      </c>
      <c r="W9" s="17" t="s">
        <v>2</v>
      </c>
    </row>
    <row r="10" spans="1:23" x14ac:dyDescent="0.25">
      <c r="A10" s="24" t="s">
        <v>7</v>
      </c>
      <c r="B10" s="24" t="s">
        <v>7</v>
      </c>
      <c r="C10" s="28">
        <f>_xlfn.XLOOKUP(Tabela13[[#This Row],[REFERENCIA]],[1]!Tabela2[VENDEDOR],[1]!Tabela2[META A],0)</f>
        <v>64500</v>
      </c>
      <c r="D10" s="28">
        <f>_xlfn.XLOOKUP(Tabela13[[#This Row],[REFERENCIA]],'[1]BASE PYTHON'!$E:$E,'[1]BASE PYTHON'!$F:$F,0)</f>
        <v>29243.490000000009</v>
      </c>
      <c r="E10" s="25">
        <f>Tabela13[[#This Row],[META A]]-Tabela13[[#This Row],[ATINGIDO]]</f>
        <v>35256.509999999995</v>
      </c>
      <c r="F10" s="4"/>
      <c r="G10" s="20" t="s">
        <v>18</v>
      </c>
      <c r="H10" s="20" t="s">
        <v>18</v>
      </c>
      <c r="I10" s="21">
        <f>_xlfn.XLOOKUP(Tabela5[[#This Row],[REFERENCIA]],[1]!Tabela1[VENDEDOR],[1]!Tabela1[VALOR])</f>
        <v>30590</v>
      </c>
      <c r="J10" s="21">
        <f>_xlfn.XLOOKUP(Tabela5[[#This Row],[REFERENCIA]],'[1]BASE PYTHON'!$H:$H,'[1]BASE PYTHON'!$I:$I,0)</f>
        <v>0</v>
      </c>
      <c r="K10" s="22">
        <f>Tabela5[[#This Row],[COMPROMISSO]]-Tabela5[[#This Row],[ATINGIDO]]</f>
        <v>30590</v>
      </c>
      <c r="L10" s="4"/>
      <c r="M10" s="4" t="s">
        <v>46</v>
      </c>
      <c r="N10" s="4" t="s">
        <v>5</v>
      </c>
      <c r="O10" s="4" t="s">
        <v>6</v>
      </c>
      <c r="P10" s="4" t="s">
        <v>1</v>
      </c>
      <c r="Q10" s="4" t="s">
        <v>2</v>
      </c>
      <c r="R10" s="2"/>
      <c r="S10" s="18" t="s">
        <v>7</v>
      </c>
      <c r="T10" s="18" t="s">
        <v>7</v>
      </c>
      <c r="U10" s="18">
        <f>_xlfn.XLOOKUP(Tabela2[[#This Row],[REFERENCIA]],'[1]BASE PYTHON'!$A$63:$A$79,'[1]BASE PYTHON'!$B$63:$B$79)</f>
        <v>38</v>
      </c>
      <c r="V10" s="18">
        <f>_xlfn.XLOOKUP(Tabela2[[#This Row],[REFERENCIA]],'[1]BASE PYTHON'!$K:$K,'[1]BASE PYTHON'!$N:$N,0)</f>
        <v>20</v>
      </c>
      <c r="W10" s="18">
        <f>U10-V10</f>
        <v>18</v>
      </c>
    </row>
    <row r="11" spans="1:23" x14ac:dyDescent="0.25">
      <c r="A11" s="16" t="s">
        <v>8</v>
      </c>
      <c r="B11" s="16" t="s">
        <v>8</v>
      </c>
      <c r="C11" s="28">
        <f>_xlfn.XLOOKUP(Tabela13[[#This Row],[REFERENCIA]],[1]!Tabela2[VENDEDOR],[1]!Tabela2[META A],0)</f>
        <v>330000</v>
      </c>
      <c r="D11" s="28">
        <f>_xlfn.XLOOKUP(Tabela13[[#This Row],[REFERENCIA]],'[1]BASE PYTHON'!$E:$E,'[1]BASE PYTHON'!$F:$F,0)</f>
        <v>190715.7999999999</v>
      </c>
      <c r="E11" s="23">
        <f>Tabela13[[#This Row],[META A]]-Tabela13[[#This Row],[ATINGIDO]]</f>
        <v>139284.2000000001</v>
      </c>
      <c r="F11" s="4"/>
      <c r="G11" s="20" t="s">
        <v>17</v>
      </c>
      <c r="H11" s="20" t="s">
        <v>17</v>
      </c>
      <c r="I11" s="21">
        <f>_xlfn.XLOOKUP(Tabela5[[#This Row],[REFERENCIA]],[1]!Tabela1[VENDEDOR],[1]!Tabela1[VALOR])</f>
        <v>30170</v>
      </c>
      <c r="J11" s="21">
        <f>_xlfn.XLOOKUP(Tabela5[[#This Row],[REFERENCIA]],'[1]BASE PYTHON'!$H:$H,'[1]BASE PYTHON'!$I:$I,0)</f>
        <v>0</v>
      </c>
      <c r="K11" s="22">
        <f>Tabela5[[#This Row],[COMPROMISSO]]-Tabela5[[#This Row],[ATINGIDO]]</f>
        <v>30170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42500</v>
      </c>
      <c r="P11" s="2">
        <f>IFERROR(GETPIVOTDATA("[Measures].[Soma de TOTAL 3]",'[1]BASE PYTHON'!$P$32,"[Intervalo 2].[REGIAO]","[Intervalo 2].[REGIAO].&amp;["&amp;N11&amp;"]","[Intervalo 2].[SEMANA]","[Intervalo 2].[SEMANA].&amp;["&amp;RIGHT($O$9,1)&amp;"]"),0)</f>
        <v>0</v>
      </c>
      <c r="Q11" s="2">
        <f>Tabela8[[#This Row],[COMPROMISSO]]-Tabela8[[#This Row],[ATINGIDO]]</f>
        <v>42500</v>
      </c>
      <c r="R11" s="2"/>
      <c r="S11" s="18" t="s">
        <v>8</v>
      </c>
      <c r="T11" s="18" t="s">
        <v>8</v>
      </c>
      <c r="U11" s="18">
        <f>_xlfn.XLOOKUP(Tabela2[[#This Row],[REFERENCIA]],'[1]BASE PYTHON'!$A$63:$A$79,'[1]BASE PYTHON'!$B$63:$B$79)</f>
        <v>54</v>
      </c>
      <c r="V11" s="18">
        <f>_xlfn.XLOOKUP(Tabela2[[#This Row],[REFERENCIA]],'[1]BASE PYTHON'!$K:$K,'[1]BASE PYTHON'!$N:$N,0)</f>
        <v>38</v>
      </c>
      <c r="W11" s="18">
        <f t="shared" ref="W11:W20" si="0">U11-V11</f>
        <v>16</v>
      </c>
    </row>
    <row r="12" spans="1:23" x14ac:dyDescent="0.25">
      <c r="A12" s="24" t="s">
        <v>51</v>
      </c>
      <c r="B12" s="24" t="s">
        <v>51</v>
      </c>
      <c r="C12" s="28">
        <f>_xlfn.XLOOKUP(Tabela13[[#This Row],[REFERENCIA]],[1]!Tabela2[VENDEDOR],[1]!Tabela2[META A],0)</f>
        <v>0</v>
      </c>
      <c r="D12" s="28">
        <f>_xlfn.XLOOKUP(Tabela13[[#This Row],[REFERENCIA]],'[1]BASE PYTHON'!$E:$E,'[1]BASE PYTHON'!$F:$F,0)</f>
        <v>139.37</v>
      </c>
      <c r="E12" s="25">
        <f>Tabela13[[#This Row],[META A]]-Tabela13[[#This Row],[ATINGIDO]]</f>
        <v>-139.37</v>
      </c>
      <c r="F12" s="4"/>
      <c r="G12" s="20" t="s">
        <v>19</v>
      </c>
      <c r="H12" s="20" t="s">
        <v>19</v>
      </c>
      <c r="I12" s="21">
        <f>_xlfn.XLOOKUP(Tabela5[[#This Row],[REFERENCIA]],[1]!Tabela1[VENDEDOR],[1]!Tabela1[VALOR])</f>
        <v>11360</v>
      </c>
      <c r="J12" s="21">
        <f>_xlfn.XLOOKUP(Tabela5[[#This Row],[REFERENCIA]],'[1]BASE PYTHON'!$H:$H,'[1]BASE PYTHON'!$I:$I,0)</f>
        <v>440.7</v>
      </c>
      <c r="K12" s="22">
        <f>Tabela5[[#This Row],[COMPROMISSO]]-Tabela5[[#This Row],[ATINGIDO]]</f>
        <v>10919.3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0</v>
      </c>
      <c r="P12" s="2">
        <f>IFERROR(GETPIVOTDATA("[Measures].[Soma de TOTAL 3]",'[1]BASE PYTHON'!$P$32,"[Intervalo 2].[REGIAO]","[Intervalo 2].[REGIAO].&amp;["&amp;N12&amp;"]","[Intervalo 2].[SEMANA]","[Intervalo 2].[SEMANA].&amp;["&amp;RIGHT($O$9,1)&amp;"]"),0)</f>
        <v>0</v>
      </c>
      <c r="Q12" s="2">
        <f>Tabela8[[#This Row],[COMPROMISSO]]-Tabela8[[#This Row],[ATINGIDO]]</f>
        <v>0</v>
      </c>
      <c r="R12" s="2"/>
      <c r="S12" s="18" t="s">
        <v>9</v>
      </c>
      <c r="T12" s="18" t="s">
        <v>9</v>
      </c>
      <c r="U12" s="18">
        <f>_xlfn.XLOOKUP(Tabela2[[#This Row],[REFERENCIA]],'[1]BASE PYTHON'!$A$63:$A$79,'[1]BASE PYTHON'!$B$63:$B$79)</f>
        <v>43</v>
      </c>
      <c r="V12" s="18">
        <f>_xlfn.XLOOKUP(Tabela2[[#This Row],[REFERENCIA]],'[1]BASE PYTHON'!$K:$K,'[1]BASE PYTHON'!$N:$N,0)</f>
        <v>25</v>
      </c>
      <c r="W12" s="18">
        <f t="shared" si="0"/>
        <v>18</v>
      </c>
    </row>
    <row r="13" spans="1:23" x14ac:dyDescent="0.25">
      <c r="A13" s="16" t="s">
        <v>9</v>
      </c>
      <c r="B13" s="16" t="s">
        <v>9</v>
      </c>
      <c r="C13" s="28">
        <f>_xlfn.XLOOKUP(Tabela13[[#This Row],[REFERENCIA]],[1]!Tabela2[VENDEDOR],[1]!Tabela2[META A],0)</f>
        <v>90000</v>
      </c>
      <c r="D13" s="28">
        <f>_xlfn.XLOOKUP(Tabela13[[#This Row],[REFERENCIA]],'[1]BASE PYTHON'!$E:$E,'[1]BASE PYTHON'!$F:$F,0)</f>
        <v>44719.335000000006</v>
      </c>
      <c r="E13" s="23">
        <f>Tabela13[[#This Row],[META A]]-Tabela13[[#This Row],[ATINGIDO]]</f>
        <v>45280.664999999994</v>
      </c>
      <c r="F13" s="4"/>
      <c r="G13" s="20" t="s">
        <v>21</v>
      </c>
      <c r="H13" s="20" t="s">
        <v>21</v>
      </c>
      <c r="I13" s="21">
        <f>_xlfn.XLOOKUP(Tabela5[[#This Row],[REFERENCIA]],[1]!Tabela1[VENDEDOR],[1]!Tabela1[VALOR])</f>
        <v>21660</v>
      </c>
      <c r="J13" s="21">
        <f>_xlfn.XLOOKUP(Tabela5[[#This Row],[REFERENCIA]],'[1]BASE PYTHON'!$H:$H,'[1]BASE PYTHON'!$I:$I,0)</f>
        <v>0</v>
      </c>
      <c r="K13" s="22">
        <f>Tabela5[[#This Row],[COMPROMISSO]]-Tabela5[[#This Row],[ATINGIDO]]</f>
        <v>21660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80000</v>
      </c>
      <c r="P13" s="2">
        <f>IFERROR(GETPIVOTDATA("[Measures].[Soma de TOTAL 3]",'[1]BASE PYTHON'!$P$32,"[Intervalo 2].[REGIAO]","[Intervalo 2].[REGIAO].&amp;["&amp;N13&amp;"]","[Intervalo 2].[SEMANA]","[Intervalo 2].[SEMANA].&amp;["&amp;RIGHT($O$9,1)&amp;"]"),0)</f>
        <v>31879.599999999999</v>
      </c>
      <c r="Q13" s="2">
        <f>Tabela8[[#This Row],[COMPROMISSO]]-Tabela8[[#This Row],[ATINGIDO]]</f>
        <v>48120.4</v>
      </c>
      <c r="R13" s="2"/>
      <c r="S13" s="18" t="s">
        <v>10</v>
      </c>
      <c r="T13" s="18" t="s">
        <v>10</v>
      </c>
      <c r="U13" s="18">
        <f>_xlfn.XLOOKUP(Tabela2[[#This Row],[REFERENCIA]],'[1]BASE PYTHON'!$A$63:$A$79,'[1]BASE PYTHON'!$B$63:$B$79)</f>
        <v>61</v>
      </c>
      <c r="V13" s="18">
        <f>_xlfn.XLOOKUP(Tabela2[[#This Row],[REFERENCIA]],'[1]BASE PYTHON'!$K:$K,'[1]BASE PYTHON'!$N:$N,0)</f>
        <v>43</v>
      </c>
      <c r="W13" s="18">
        <f t="shared" si="0"/>
        <v>18</v>
      </c>
    </row>
    <row r="14" spans="1:23" x14ac:dyDescent="0.25">
      <c r="A14" s="24" t="s">
        <v>10</v>
      </c>
      <c r="B14" s="24" t="s">
        <v>10</v>
      </c>
      <c r="C14" s="28">
        <f>_xlfn.XLOOKUP(Tabela13[[#This Row],[REFERENCIA]],[1]!Tabela2[VENDEDOR],[1]!Tabela2[META A],0)</f>
        <v>273000</v>
      </c>
      <c r="D14" s="28">
        <f>_xlfn.XLOOKUP(Tabela13[[#This Row],[REFERENCIA]],'[1]BASE PYTHON'!$E:$E,'[1]BASE PYTHON'!$F:$F,0)</f>
        <v>130714.95999999976</v>
      </c>
      <c r="E14" s="25">
        <f>Tabela13[[#This Row],[META A]]-Tabela13[[#This Row],[ATINGIDO]]</f>
        <v>142285.04000000024</v>
      </c>
      <c r="F14" s="4"/>
      <c r="G14" s="20" t="s">
        <v>15</v>
      </c>
      <c r="H14" s="20" t="s">
        <v>43</v>
      </c>
      <c r="I14" s="21">
        <f>_xlfn.XLOOKUP(Tabela5[[#This Row],[REFERENCIA]],[1]!Tabela1[VENDEDOR],[1]!Tabela1[VALOR])</f>
        <v>22860</v>
      </c>
      <c r="J14" s="21">
        <f>_xlfn.XLOOKUP(Tabela5[[#This Row],[REFERENCIA]],'[1]BASE PYTHON'!$H:$H,'[1]BASE PYTHON'!$I:$I,0)</f>
        <v>992.36</v>
      </c>
      <c r="K14" s="22">
        <f>Tabela5[[#This Row],[COMPROMISSO]]-Tabela5[[#This Row],[ATINGIDO]]</f>
        <v>21867.64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247000</v>
      </c>
      <c r="P14" s="2">
        <f>IFERROR(GETPIVOTDATA("[Measures].[Soma de TOTAL 3]",'[1]BASE PYTHON'!$P$32,"[Intervalo 2].[REGIAO]","[Intervalo 2].[REGIAO].&amp;["&amp;N14&amp;"]","[Intervalo 2].[SEMANA]","[Intervalo 2].[SEMANA].&amp;["&amp;RIGHT($O$9,1)&amp;"]"),0)</f>
        <v>0</v>
      </c>
      <c r="Q14" s="2">
        <f>Tabela8[[#This Row],[COMPROMISSO]]-Tabela8[[#This Row],[ATINGIDO]]</f>
        <v>247000</v>
      </c>
      <c r="R14" s="2"/>
      <c r="S14" s="18" t="s">
        <v>11</v>
      </c>
      <c r="T14" s="18" t="s">
        <v>11</v>
      </c>
      <c r="U14" s="18">
        <f>_xlfn.XLOOKUP(Tabela2[[#This Row],[REFERENCIA]],'[1]BASE PYTHON'!$A$63:$A$79,'[1]BASE PYTHON'!$B$63:$B$79)</f>
        <v>29</v>
      </c>
      <c r="V14" s="18">
        <f>_xlfn.XLOOKUP(Tabela2[[#This Row],[REFERENCIA]],'[1]BASE PYTHON'!$K:$K,'[1]BASE PYTHON'!$N:$N,0)</f>
        <v>14</v>
      </c>
      <c r="W14" s="18">
        <f t="shared" si="0"/>
        <v>15</v>
      </c>
    </row>
    <row r="15" spans="1:23" x14ac:dyDescent="0.25">
      <c r="A15" s="16" t="s">
        <v>11</v>
      </c>
      <c r="B15" s="16" t="s">
        <v>11</v>
      </c>
      <c r="C15" s="28">
        <f>_xlfn.XLOOKUP(Tabela13[[#This Row],[REFERENCIA]],[1]!Tabela2[VENDEDOR],[1]!Tabela2[META A],0)</f>
        <v>78000</v>
      </c>
      <c r="D15" s="28">
        <f>_xlfn.XLOOKUP(Tabela13[[#This Row],[REFERENCIA]],'[1]BASE PYTHON'!$E:$E,'[1]BASE PYTHON'!$F:$F,0)</f>
        <v>42880.940000000024</v>
      </c>
      <c r="E15" s="23">
        <f>Tabela13[[#This Row],[META A]]-Tabela13[[#This Row],[ATINGIDO]]</f>
        <v>35119.059999999976</v>
      </c>
      <c r="F15" s="4"/>
      <c r="G15" s="20" t="s">
        <v>8</v>
      </c>
      <c r="H15" s="20" t="s">
        <v>8</v>
      </c>
      <c r="I15" s="21">
        <f>_xlfn.XLOOKUP(Tabela5[[#This Row],[REFERENCIA]],[1]!Tabela1[VENDEDOR],[1]!Tabela1[VALOR])</f>
        <v>37170</v>
      </c>
      <c r="J15" s="21">
        <f>_xlfn.XLOOKUP(Tabela5[[#This Row],[REFERENCIA]],'[1]BASE PYTHON'!$H:$H,'[1]BASE PYTHON'!$I:$I,0)</f>
        <v>2872.1000000000004</v>
      </c>
      <c r="K15" s="22">
        <f>Tabela5[[#This Row],[COMPROMISSO]]-Tabela5[[#This Row],[ATINGIDO]]</f>
        <v>34297.9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183500</v>
      </c>
      <c r="P15" s="2">
        <f>IFERROR(GETPIVOTDATA("[Measures].[Soma de TOTAL 3]",'[1]BASE PYTHON'!$P$32,"[Intervalo 2].[REGIAO]","[Intervalo 2].[REGIAO].&amp;["&amp;N15&amp;"]","[Intervalo 2].[SEMANA]","[Intervalo 2].[SEMANA].&amp;["&amp;RIGHT($O$9,1)&amp;"]"),0)</f>
        <v>27980</v>
      </c>
      <c r="Q15" s="2">
        <f>Tabela8[[#This Row],[COMPROMISSO]]-Tabela8[[#This Row],[ATINGIDO]]</f>
        <v>155520</v>
      </c>
      <c r="R15" s="2"/>
      <c r="S15" s="18" t="s">
        <v>12</v>
      </c>
      <c r="T15" s="18" t="s">
        <v>12</v>
      </c>
      <c r="U15" s="18">
        <f>_xlfn.XLOOKUP(Tabela2[[#This Row],[REFERENCIA]],'[1]BASE PYTHON'!$A$63:$A$79,'[1]BASE PYTHON'!$B$63:$B$79)</f>
        <v>48</v>
      </c>
      <c r="V15" s="18">
        <f>_xlfn.XLOOKUP(Tabela2[[#This Row],[REFERENCIA]],'[1]BASE PYTHON'!$K:$K,'[1]BASE PYTHON'!$N:$N,0)</f>
        <v>29</v>
      </c>
      <c r="W15" s="18">
        <f>U15-V15</f>
        <v>19</v>
      </c>
    </row>
    <row r="16" spans="1:23" x14ac:dyDescent="0.25">
      <c r="A16" s="24" t="s">
        <v>26</v>
      </c>
      <c r="B16" s="24" t="s">
        <v>26</v>
      </c>
      <c r="C16" s="28">
        <f>_xlfn.XLOOKUP(Tabela13[[#This Row],[REFERENCIA]],[1]!Tabela2[VENDEDOR],[1]!Tabela2[META A],0)</f>
        <v>350000</v>
      </c>
      <c r="D16" s="28">
        <f>_xlfn.XLOOKUP(Tabela13[[#This Row],[REFERENCIA]],'[1]BASE PYTHON'!$E:$E,'[1]BASE PYTHON'!$F:$F,0)</f>
        <v>148517.63999999996</v>
      </c>
      <c r="E16" s="25">
        <f>Tabela13[[#This Row],[META A]]-Tabela13[[#This Row],[ATINGIDO]]</f>
        <v>201482.36000000004</v>
      </c>
      <c r="F16" s="4"/>
      <c r="G16" s="20" t="s">
        <v>20</v>
      </c>
      <c r="H16" s="20" t="s">
        <v>20</v>
      </c>
      <c r="I16" s="21">
        <f>_xlfn.XLOOKUP(Tabela5[[#This Row],[REFERENCIA]],[1]!Tabela1[VENDEDOR],[1]!Tabela1[VALOR])</f>
        <v>14770</v>
      </c>
      <c r="J16" s="21">
        <f>_xlfn.XLOOKUP(Tabela5[[#This Row],[REFERENCIA]],'[1]BASE PYTHON'!$H:$H,'[1]BASE PYTHON'!$I:$I,0)</f>
        <v>1145.3</v>
      </c>
      <c r="K16" s="22">
        <f>Tabela5[[#This Row],[COMPROMISSO]]-Tabela5[[#This Row],[ATINGIDO]]</f>
        <v>13624.7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0</v>
      </c>
      <c r="P16" s="2">
        <f>IFERROR(GETPIVOTDATA("[Measures].[Soma de TOTAL 3]",'[1]BASE PYTHON'!$P$32,"[Intervalo 2].[REGIAO]","[Intervalo 2].[REGIAO].&amp;["&amp;N16&amp;"]","[Intervalo 2].[SEMANA]","[Intervalo 2].[SEMANA].&amp;["&amp;RIGHT($O$9,1)&amp;"]"),0)</f>
        <v>0</v>
      </c>
      <c r="Q16" s="2">
        <f>Tabela8[[#This Row],[COMPROMISSO]]-Tabela8[[#This Row],[ATINGIDO]]</f>
        <v>0</v>
      </c>
      <c r="R16" s="2"/>
      <c r="S16" s="18" t="s">
        <v>16</v>
      </c>
      <c r="T16" s="18" t="s">
        <v>16</v>
      </c>
      <c r="U16" s="18">
        <f>_xlfn.XLOOKUP(Tabela2[[#This Row],[REFERENCIA]],'[1]BASE PYTHON'!$A$63:$A$79,'[1]BASE PYTHON'!$B$63:$B$79)</f>
        <v>41</v>
      </c>
      <c r="V16" s="18">
        <f>_xlfn.XLOOKUP(Tabela2[[#This Row],[REFERENCIA]],'[1]BASE PYTHON'!$K:$K,'[1]BASE PYTHON'!$N:$N,0)</f>
        <v>18</v>
      </c>
      <c r="W16" s="18">
        <f t="shared" si="0"/>
        <v>23</v>
      </c>
    </row>
    <row r="17" spans="1:23" x14ac:dyDescent="0.25">
      <c r="A17" s="16" t="s">
        <v>32</v>
      </c>
      <c r="B17" s="16" t="s">
        <v>32</v>
      </c>
      <c r="C17" s="28">
        <f>_xlfn.XLOOKUP(Tabela13[[#This Row],[REFERENCIA]],[1]!Tabela2[VENDEDOR],[1]!Tabela2[META A],0)</f>
        <v>420000</v>
      </c>
      <c r="D17" s="28">
        <f>_xlfn.XLOOKUP(Tabela13[[#This Row],[REFERENCIA]],'[1]BASE PYTHON'!$E:$E,'[1]BASE PYTHON'!$F:$F,0)</f>
        <v>220998.31999999977</v>
      </c>
      <c r="E17" s="23">
        <f>Tabela13[[#This Row],[META A]]-Tabela13[[#This Row],[ATINGIDO]]</f>
        <v>199001.68000000023</v>
      </c>
      <c r="F17" s="4"/>
      <c r="G17" s="20" t="s">
        <v>16</v>
      </c>
      <c r="H17" s="20" t="s">
        <v>16</v>
      </c>
      <c r="I17" s="21">
        <f>_xlfn.XLOOKUP(Tabela5[[#This Row],[REFERENCIA]],[1]!Tabela1[VENDEDOR],[1]!Tabela1[VALOR])</f>
        <v>11750</v>
      </c>
      <c r="J17" s="21">
        <f>_xlfn.XLOOKUP(Tabela5[[#This Row],[REFERENCIA]],'[1]BASE PYTHON'!$H:$H,'[1]BASE PYTHON'!$I:$I,0)</f>
        <v>0</v>
      </c>
      <c r="K17" s="22">
        <f>Tabela5[[#This Row],[COMPROMISSO]]-Tabela5[[#This Row],[ATINGIDO]]</f>
        <v>11750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92000</v>
      </c>
      <c r="P17" s="2">
        <f>IFERROR(GETPIVOTDATA("[Measures].[Soma de TOTAL 3]",'[1]BASE PYTHON'!$P$32,"[Intervalo 2].[REGIAO]","[Intervalo 2].[REGIAO].&amp;["&amp;N17&amp;"]","[Intervalo 2].[SEMANA]","[Intervalo 2].[SEMANA].&amp;["&amp;RIGHT($O$9,1)&amp;"]"),0)</f>
        <v>0</v>
      </c>
      <c r="Q17" s="2">
        <f>Tabela8[[#This Row],[COMPROMISSO]]-Tabela8[[#This Row],[ATINGIDO]]</f>
        <v>92000</v>
      </c>
      <c r="R17" s="2"/>
      <c r="S17" s="18" t="s">
        <v>13</v>
      </c>
      <c r="T17" s="18" t="s">
        <v>41</v>
      </c>
      <c r="U17" s="18">
        <f>_xlfn.XLOOKUP(Tabela2[[#This Row],[REFERENCIA]],'[1]BASE PYTHON'!$A$63:$A$79,'[1]BASE PYTHON'!$B$63:$B$79)</f>
        <v>51</v>
      </c>
      <c r="V17" s="18">
        <f>_xlfn.XLOOKUP(Tabela2[[#This Row],[REFERENCIA]],'[1]BASE PYTHON'!$K:$K,'[1]BASE PYTHON'!$N:$N,0)</f>
        <v>33</v>
      </c>
      <c r="W17" s="18">
        <f t="shared" si="0"/>
        <v>18</v>
      </c>
    </row>
    <row r="18" spans="1:23" x14ac:dyDescent="0.25">
      <c r="A18" s="24" t="s">
        <v>29</v>
      </c>
      <c r="B18" s="24" t="s">
        <v>29</v>
      </c>
      <c r="C18" s="28">
        <f>_xlfn.XLOOKUP(Tabela13[[#This Row],[REFERENCIA]],[1]!Tabela2[VENDEDOR],[1]!Tabela2[META A],0)</f>
        <v>980000</v>
      </c>
      <c r="D18" s="28">
        <f>_xlfn.XLOOKUP(Tabela13[[#This Row],[REFERENCIA]],'[1]BASE PYTHON'!$E:$E,'[1]BASE PYTHON'!$F:$F,0)</f>
        <v>423879.69999999978</v>
      </c>
      <c r="E18" s="25">
        <f>Tabela13[[#This Row],[META A]]-Tabela13[[#This Row],[ATINGIDO]]</f>
        <v>556120.30000000028</v>
      </c>
      <c r="F18" s="4"/>
      <c r="G18" s="20" t="s">
        <v>12</v>
      </c>
      <c r="H18" s="20" t="s">
        <v>12</v>
      </c>
      <c r="I18" s="21">
        <f>_xlfn.XLOOKUP(Tabela5[[#This Row],[REFERENCIA]],[1]!Tabela1[VENDEDOR],[1]!Tabela1[VALOR])</f>
        <v>11700</v>
      </c>
      <c r="J18" s="21">
        <f>_xlfn.XLOOKUP(Tabela5[[#This Row],[REFERENCIA]],'[1]BASE PYTHON'!$H:$H,'[1]BASE PYTHON'!$I:$I,0)</f>
        <v>0</v>
      </c>
      <c r="K18" s="22">
        <f>Tabela5[[#This Row],[COMPROMISSO]]-Tabela5[[#This Row],[ATINGIDO]]</f>
        <v>11700</v>
      </c>
      <c r="L18" s="4"/>
      <c r="M18" s="15"/>
      <c r="N18" s="4"/>
      <c r="O18" s="4"/>
      <c r="P18" s="2"/>
      <c r="Q18" s="2"/>
      <c r="R18" s="4"/>
      <c r="S18" s="18" t="s">
        <v>17</v>
      </c>
      <c r="T18" s="18" t="s">
        <v>17</v>
      </c>
      <c r="U18" s="18">
        <f>_xlfn.XLOOKUP(Tabela2[[#This Row],[REFERENCIA]],'[1]BASE PYTHON'!$A$63:$A$79,'[1]BASE PYTHON'!$B$63:$B$79)</f>
        <v>47</v>
      </c>
      <c r="V18" s="18">
        <f>_xlfn.XLOOKUP(Tabela2[[#This Row],[REFERENCIA]],'[1]BASE PYTHON'!$K:$K,'[1]BASE PYTHON'!$N:$N,0)</f>
        <v>28</v>
      </c>
      <c r="W18" s="18">
        <f t="shared" si="0"/>
        <v>19</v>
      </c>
    </row>
    <row r="19" spans="1:23" x14ac:dyDescent="0.25">
      <c r="A19" s="16" t="s">
        <v>31</v>
      </c>
      <c r="B19" s="16" t="s">
        <v>31</v>
      </c>
      <c r="C19" s="28">
        <f>_xlfn.XLOOKUP(Tabela13[[#This Row],[REFERENCIA]],[1]!Tabela2[VENDEDOR],[1]!Tabela2[META A],0)</f>
        <v>142000</v>
      </c>
      <c r="D19" s="28">
        <f>_xlfn.XLOOKUP(Tabela13[[#This Row],[REFERENCIA]],'[1]BASE PYTHON'!$E:$E,'[1]BASE PYTHON'!$F:$F,0)</f>
        <v>17374.349999999999</v>
      </c>
      <c r="E19" s="23">
        <f>Tabela13[[#This Row],[META A]]-Tabela13[[#This Row],[ATINGIDO]]</f>
        <v>124625.65</v>
      </c>
      <c r="F19" s="4"/>
      <c r="G19" s="20" t="s">
        <v>13</v>
      </c>
      <c r="H19" s="20" t="s">
        <v>41</v>
      </c>
      <c r="I19" s="21">
        <f>_xlfn.XLOOKUP(Tabela5[[#This Row],[REFERENCIA]],[1]!Tabela1[VENDEDOR],[1]!Tabela1[VALOR])</f>
        <v>16840</v>
      </c>
      <c r="J19" s="21">
        <f>_xlfn.XLOOKUP(Tabela5[[#This Row],[REFERENCIA]],'[1]BASE PYTHON'!$H:$H,'[1]BASE PYTHON'!$I:$I,0)</f>
        <v>1906.9</v>
      </c>
      <c r="K19" s="22">
        <f>Tabela5[[#This Row],[COMPROMISSO]]-Tabela5[[#This Row],[ATINGIDO]]</f>
        <v>14933.1</v>
      </c>
      <c r="L19" s="4"/>
      <c r="M19" s="4"/>
      <c r="R19" s="4"/>
      <c r="S19" s="18" t="s">
        <v>18</v>
      </c>
      <c r="T19" s="18" t="s">
        <v>18</v>
      </c>
      <c r="U19" s="18">
        <f>_xlfn.XLOOKUP(Tabela2[[#This Row],[REFERENCIA]],'[1]BASE PYTHON'!$A$63:$A$79,'[1]BASE PYTHON'!$B$63:$B$79)</f>
        <v>63</v>
      </c>
      <c r="V19" s="18">
        <f>_xlfn.XLOOKUP(Tabela2[[#This Row],[REFERENCIA]],'[1]BASE PYTHON'!$K:$K,'[1]BASE PYTHON'!$N:$N,0)</f>
        <v>44</v>
      </c>
      <c r="W19" s="18">
        <f t="shared" si="0"/>
        <v>19</v>
      </c>
    </row>
    <row r="20" spans="1:23" x14ac:dyDescent="0.25">
      <c r="A20" s="24" t="s">
        <v>30</v>
      </c>
      <c r="B20" s="24" t="s">
        <v>30</v>
      </c>
      <c r="C20" s="28">
        <f>_xlfn.XLOOKUP(Tabela13[[#This Row],[REFERENCIA]],[1]!Tabela2[VENDEDOR],[1]!Tabela2[META A],0)</f>
        <v>560000</v>
      </c>
      <c r="D20" s="28">
        <f>_xlfn.XLOOKUP(Tabela13[[#This Row],[REFERENCIA]],'[1]BASE PYTHON'!$E:$E,'[1]BASE PYTHON'!$F:$F,0)</f>
        <v>213199.10000000012</v>
      </c>
      <c r="E20" s="25">
        <f>Tabela13[[#This Row],[META A]]-Tabela13[[#This Row],[ATINGIDO]]</f>
        <v>346800.89999999991</v>
      </c>
      <c r="F20" s="4"/>
      <c r="G20" s="20" t="s">
        <v>10</v>
      </c>
      <c r="H20" s="20" t="s">
        <v>10</v>
      </c>
      <c r="I20" s="21">
        <f>_xlfn.XLOOKUP(Tabela5[[#This Row],[REFERENCIA]],[1]!Tabela1[VENDEDOR],[1]!Tabela1[VALOR])</f>
        <v>20610</v>
      </c>
      <c r="J20" s="21">
        <f>_xlfn.XLOOKUP(Tabela5[[#This Row],[REFERENCIA]],'[1]BASE PYTHON'!$H:$H,'[1]BASE PYTHON'!$I:$I,0)</f>
        <v>4604.3</v>
      </c>
      <c r="K20" s="22">
        <f>Tabela5[[#This Row],[COMPROMISSO]]-Tabela5[[#This Row],[ATINGIDO]]</f>
        <v>16005.7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8" t="s">
        <v>14</v>
      </c>
      <c r="T20" s="18" t="s">
        <v>42</v>
      </c>
      <c r="U20" s="18">
        <f>_xlfn.XLOOKUP(Tabela2[[#This Row],[REFERENCIA]],'[1]BASE PYTHON'!$A$63:$A$79,'[1]BASE PYTHON'!$B$63:$B$79)</f>
        <v>41</v>
      </c>
      <c r="V20" s="18">
        <f>_xlfn.XLOOKUP(Tabela2[[#This Row],[REFERENCIA]],'[1]BASE PYTHON'!$K:$K,'[1]BASE PYTHON'!$N:$N,0)</f>
        <v>19</v>
      </c>
      <c r="W20" s="18">
        <f t="shared" si="0"/>
        <v>22</v>
      </c>
    </row>
    <row r="21" spans="1:23" x14ac:dyDescent="0.25">
      <c r="A21" s="16" t="s">
        <v>28</v>
      </c>
      <c r="B21" s="16" t="s">
        <v>28</v>
      </c>
      <c r="C21" s="28">
        <f>_xlfn.XLOOKUP(Tabela13[[#This Row],[REFERENCIA]],[1]!Tabela2[VENDEDOR],[1]!Tabela2[META A],0)</f>
        <v>425000</v>
      </c>
      <c r="D21" s="28">
        <f>_xlfn.XLOOKUP(Tabela13[[#This Row],[REFERENCIA]],'[1]BASE PYTHON'!$E:$E,'[1]BASE PYTHON'!$F:$F,0)</f>
        <v>187972.56999999992</v>
      </c>
      <c r="E21" s="23">
        <f>Tabela13[[#This Row],[META A]]-Tabela13[[#This Row],[ATINGIDO]]</f>
        <v>237027.43000000008</v>
      </c>
      <c r="F21" s="4"/>
      <c r="G21" s="20" t="s">
        <v>11</v>
      </c>
      <c r="H21" s="20" t="s">
        <v>11</v>
      </c>
      <c r="I21" s="21">
        <f>_xlfn.XLOOKUP(Tabela5[[#This Row],[REFERENCIA]],[1]!Tabela1[VENDEDOR],[1]!Tabela1[VALOR])</f>
        <v>7240</v>
      </c>
      <c r="J21" s="21">
        <f>_xlfn.XLOOKUP(Tabela5[[#This Row],[REFERENCIA]],'[1]BASE PYTHON'!$H:$H,'[1]BASE PYTHON'!$I:$I,0)</f>
        <v>0</v>
      </c>
      <c r="K21" s="22">
        <f>Tabela5[[#This Row],[COMPROMISSO]]-Tabela5[[#This Row],[ATINGIDO]]</f>
        <v>7240</v>
      </c>
      <c r="L21" s="4"/>
      <c r="M21" s="4"/>
      <c r="N21" s="4" t="s">
        <v>4</v>
      </c>
      <c r="O21" s="2" cm="1">
        <f t="array" ref="O21">_xlfn.XLOOKUP(Tabela9[[#This Row],[SEMANAL]],[1]!Tabela10[[#All],[Coluna1]],[1]!Tabela10[[#All],[Coluna2]])</f>
        <v>685000</v>
      </c>
      <c r="P21" s="2">
        <f>IFERROR(GETPIVOTDATA("[Measures].[Soma de TOTAL 3]",'[1]BASE PYTHON'!$P$32,"[Intervalo 2].[SEMANA]","[Intervalo 2].[SEMANA].&amp;[1]"),0)</f>
        <v>589719.48999999976</v>
      </c>
      <c r="Q21" s="7">
        <f>O21-P21</f>
        <v>95280.510000000242</v>
      </c>
      <c r="R21" s="4"/>
      <c r="S21" s="18" t="s">
        <v>19</v>
      </c>
      <c r="T21" s="18" t="s">
        <v>19</v>
      </c>
      <c r="U21" s="18">
        <f>_xlfn.XLOOKUP(Tabela2[[#This Row],[REFERENCIA]],'[1]BASE PYTHON'!$A$63:$A$79,'[1]BASE PYTHON'!$B$63:$B$79)</f>
        <v>44</v>
      </c>
      <c r="V21" s="18">
        <f>_xlfn.XLOOKUP(Tabela2[[#This Row],[REFERENCIA]],'[1]BASE PYTHON'!$K:$K,'[1]BASE PYTHON'!$N:$N,0)</f>
        <v>23</v>
      </c>
      <c r="W21" s="18">
        <f t="shared" ref="W21:W26" si="1">U21-V21</f>
        <v>21</v>
      </c>
    </row>
    <row r="22" spans="1:23" x14ac:dyDescent="0.25">
      <c r="A22" s="24" t="s">
        <v>12</v>
      </c>
      <c r="B22" s="24" t="s">
        <v>12</v>
      </c>
      <c r="C22" s="28">
        <f>_xlfn.XLOOKUP(Tabela13[[#This Row],[REFERENCIA]],[1]!Tabela2[VENDEDOR],[1]!Tabela2[META A],0)</f>
        <v>122000</v>
      </c>
      <c r="D22" s="28">
        <f>_xlfn.XLOOKUP(Tabela13[[#This Row],[REFERENCIA]],'[1]BASE PYTHON'!$E:$E,'[1]BASE PYTHON'!$F:$F,0)</f>
        <v>55812.090000000055</v>
      </c>
      <c r="E22" s="25">
        <f>Tabela13[[#This Row],[META A]]-Tabela13[[#This Row],[ATINGIDO]]</f>
        <v>66187.909999999945</v>
      </c>
      <c r="F22" s="4"/>
      <c r="G22" s="20" t="s">
        <v>14</v>
      </c>
      <c r="H22" s="20" t="s">
        <v>42</v>
      </c>
      <c r="I22" s="21">
        <f>_xlfn.XLOOKUP(Tabela5[[#This Row],[REFERENCIA]],[1]!Tabela1[VENDEDOR],[1]!Tabela1[VALOR])</f>
        <v>17380</v>
      </c>
      <c r="J22" s="21">
        <f>_xlfn.XLOOKUP(Tabela5[[#This Row],[REFERENCIA]],'[1]BASE PYTHON'!$H:$H,'[1]BASE PYTHON'!$I:$I,0)</f>
        <v>1711.3500000000001</v>
      </c>
      <c r="K22" s="22">
        <f>Tabela5[[#This Row],[COMPROMISSO]]-Tabela5[[#This Row],[ATINGIDO]]</f>
        <v>15668.65</v>
      </c>
      <c r="L22" s="4"/>
      <c r="M22" s="4"/>
      <c r="N22" s="4" t="s">
        <v>48</v>
      </c>
      <c r="O22" s="2" cm="1">
        <f t="array" ref="O22">_xlfn.XLOOKUP(Tabela9[[#This Row],[SEMANAL]],[1]!Tabela10[[#All],[Coluna1]],[1]!Tabela10[[#All],[Coluna2]])</f>
        <v>685000</v>
      </c>
      <c r="P22" s="7">
        <f>IFERROR(GETPIVOTDATA("[Measures].[Soma de TOTAL 3]",'[1]BASE PYTHON'!$P$32,"[Intervalo 2].[SEMANA]","[Intervalo 2].[SEMANA].&amp;[2]"),0)</f>
        <v>562362.5899999995</v>
      </c>
      <c r="Q22" s="7">
        <f>O22-P22</f>
        <v>122637.4100000005</v>
      </c>
      <c r="R22" s="4"/>
      <c r="S22" s="18" t="s">
        <v>20</v>
      </c>
      <c r="T22" s="18" t="s">
        <v>20</v>
      </c>
      <c r="U22" s="18">
        <f>_xlfn.XLOOKUP(Tabela2[[#This Row],[REFERENCIA]],'[1]BASE PYTHON'!$A$63:$A$79,'[1]BASE PYTHON'!$B$63:$B$79)</f>
        <v>40</v>
      </c>
      <c r="V22" s="18">
        <f>_xlfn.XLOOKUP(Tabela2[[#This Row],[REFERENCIA]],'[1]BASE PYTHON'!$K:$K,'[1]BASE PYTHON'!$N:$N,0)</f>
        <v>24</v>
      </c>
      <c r="W22" s="18">
        <f t="shared" si="1"/>
        <v>16</v>
      </c>
    </row>
    <row r="23" spans="1:23" x14ac:dyDescent="0.25">
      <c r="A23" s="16" t="s">
        <v>13</v>
      </c>
      <c r="B23" s="16" t="s">
        <v>41</v>
      </c>
      <c r="C23" s="28">
        <f>_xlfn.XLOOKUP(Tabela13[[#This Row],[REFERENCIA]],[1]!Tabela2[VENDEDOR],[1]!Tabela2[META A],0)</f>
        <v>200000</v>
      </c>
      <c r="D23" s="28">
        <f>_xlfn.XLOOKUP(Tabela13[[#This Row],[REFERENCIA]],'[1]BASE PYTHON'!$E:$E,'[1]BASE PYTHON'!$F:$F,0)</f>
        <v>93229.90999999996</v>
      </c>
      <c r="E23" s="23">
        <f>Tabela13[[#This Row],[META A]]-Tabela13[[#This Row],[ATINGIDO]]</f>
        <v>106770.09000000004</v>
      </c>
      <c r="F23" s="4"/>
      <c r="G23" s="20" t="s">
        <v>9</v>
      </c>
      <c r="H23" s="20" t="s">
        <v>9</v>
      </c>
      <c r="I23" s="21">
        <f>_xlfn.XLOOKUP(Tabela5[[#This Row],[REFERENCIA]],[1]!Tabela1[VENDEDOR],[1]!Tabela1[VALOR])</f>
        <v>10950</v>
      </c>
      <c r="J23" s="21">
        <f>_xlfn.XLOOKUP(Tabela5[[#This Row],[REFERENCIA]],'[1]BASE PYTHON'!$H:$H,'[1]BASE PYTHON'!$I:$I,0)</f>
        <v>2823.6</v>
      </c>
      <c r="K23" s="22">
        <f>Tabela5[[#This Row],[COMPROMISSO]]-Tabela5[[#This Row],[ATINGIDO]]</f>
        <v>8126.4</v>
      </c>
      <c r="L23" s="4"/>
      <c r="M23" s="4"/>
      <c r="N23" s="4" t="s">
        <v>49</v>
      </c>
      <c r="O23" s="2" cm="1">
        <f t="array" ref="O23">_xlfn.XLOOKUP(Tabela9[[#This Row],[SEMANAL]],[1]!Tabela10[[#All],[Coluna1]],[1]!Tabela10[[#All],[Coluna2]])</f>
        <v>685000</v>
      </c>
      <c r="P23" s="7">
        <f>IFERROR(GETPIVOTDATA("[Measures].[Soma de TOTAL 3]",'[1]BASE PYTHON'!$P$32,"[Intervalo 2].[SEMANA]","[Intervalo 2].[SEMANA].&amp;[3]"),0)</f>
        <v>59859.6</v>
      </c>
      <c r="Q23" s="7">
        <f>O23-P23</f>
        <v>625140.4</v>
      </c>
      <c r="R23" s="4"/>
      <c r="S23" s="18" t="s">
        <v>21</v>
      </c>
      <c r="T23" s="18" t="s">
        <v>21</v>
      </c>
      <c r="U23" s="18">
        <f>_xlfn.XLOOKUP(Tabela2[[#This Row],[REFERENCIA]],'[1]BASE PYTHON'!$A$63:$A$79,'[1]BASE PYTHON'!$B$63:$B$79)</f>
        <v>55</v>
      </c>
      <c r="V23" s="18">
        <f>_xlfn.XLOOKUP(Tabela2[[#This Row],[REFERENCIA]],'[1]BASE PYTHON'!$K:$K,'[1]BASE PYTHON'!$N:$N,0)</f>
        <v>26</v>
      </c>
      <c r="W23" s="18">
        <f t="shared" si="1"/>
        <v>29</v>
      </c>
    </row>
    <row r="24" spans="1:23" x14ac:dyDescent="0.25">
      <c r="A24" s="24" t="s">
        <v>14</v>
      </c>
      <c r="B24" s="24" t="s">
        <v>42</v>
      </c>
      <c r="C24" s="28">
        <f>_xlfn.XLOOKUP(Tabela13[[#This Row],[REFERENCIA]],[1]!Tabela2[VENDEDOR],[1]!Tabela2[META A],0)</f>
        <v>145000</v>
      </c>
      <c r="D24" s="28">
        <f>_xlfn.XLOOKUP(Tabela13[[#This Row],[REFERENCIA]],'[1]BASE PYTHON'!$E:$E,'[1]BASE PYTHON'!$F:$F,0)</f>
        <v>56309.55</v>
      </c>
      <c r="E24" s="25">
        <f>Tabela13[[#This Row],[META A]]-Tabela13[[#This Row],[ATINGIDO]]</f>
        <v>88690.45</v>
      </c>
      <c r="F24" s="4"/>
      <c r="G24" s="20" t="s">
        <v>24</v>
      </c>
      <c r="H24" s="20" t="s">
        <v>45</v>
      </c>
      <c r="I24" s="21">
        <f>_xlfn.XLOOKUP(Tabela5[[#This Row],[REFERENCIA]],[1]!Tabela1[VENDEDOR],[1]!Tabela1[VALOR])</f>
        <v>11520</v>
      </c>
      <c r="J24" s="21">
        <f>_xlfn.XLOOKUP(Tabela5[[#This Row],[REFERENCIA]],'[1]BASE PYTHON'!$H:$H,'[1]BASE PYTHON'!$I:$I,0)</f>
        <v>1613.67</v>
      </c>
      <c r="K24" s="22">
        <f>Tabela5[[#This Row],[COMPROMISSO]]-Tabela5[[#This Row],[ATINGIDO]]</f>
        <v>9906.33</v>
      </c>
      <c r="L24" s="4"/>
      <c r="M24" s="4"/>
      <c r="N24" s="4" t="s">
        <v>50</v>
      </c>
      <c r="O24" s="2" cm="1">
        <f t="array" ref="O24">_xlfn.XLOOKUP(Tabela9[[#This Row],[SEMANAL]],[1]!Tabela10[[#All],[Coluna1]],[1]!Tabela10[[#All],[Coluna2]])</f>
        <v>685000</v>
      </c>
      <c r="P24" s="7">
        <f>IFERROR(GETPIVOTDATA("[Measures].[Soma de TOTAL 3]",'[1]BASE PYTHON'!$P$32,"[Intervalo 2].[SEMANA]","[Intervalo 2].[SEMANA].&amp;[4]"),0)</f>
        <v>0</v>
      </c>
      <c r="Q24" s="7">
        <f>O24-P24</f>
        <v>685000</v>
      </c>
      <c r="R24" s="4"/>
      <c r="S24" s="18" t="s">
        <v>22</v>
      </c>
      <c r="T24" s="18" t="s">
        <v>22</v>
      </c>
      <c r="U24" s="18">
        <f>_xlfn.XLOOKUP(Tabela2[[#This Row],[REFERENCIA]],'[1]BASE PYTHON'!$A$63:$A$79,'[1]BASE PYTHON'!$B$63:$B$79)</f>
        <v>37</v>
      </c>
      <c r="V24" s="18">
        <f>_xlfn.XLOOKUP(Tabela2[[#This Row],[REFERENCIA]],'[1]BASE PYTHON'!$K:$K,'[1]BASE PYTHON'!$N:$N,0)</f>
        <v>28</v>
      </c>
      <c r="W24" s="18">
        <f t="shared" si="1"/>
        <v>9</v>
      </c>
    </row>
    <row r="25" spans="1:23" x14ac:dyDescent="0.25">
      <c r="A25" s="16" t="s">
        <v>15</v>
      </c>
      <c r="B25" s="16" t="s">
        <v>43</v>
      </c>
      <c r="C25" s="28">
        <f>_xlfn.XLOOKUP(Tabela13[[#This Row],[REFERENCIA]],[1]!Tabela2[VENDEDOR],[1]!Tabela2[META A],0)</f>
        <v>147000</v>
      </c>
      <c r="D25" s="28">
        <f>_xlfn.XLOOKUP(Tabela13[[#This Row],[REFERENCIA]],'[1]BASE PYTHON'!$E:$E,'[1]BASE PYTHON'!$F:$F,0)</f>
        <v>38483.460000000043</v>
      </c>
      <c r="E25" s="23">
        <f>Tabela13[[#This Row],[META A]]-Tabela13[[#This Row],[ATINGIDO]]</f>
        <v>108516.53999999995</v>
      </c>
      <c r="F25" s="4"/>
      <c r="G25" s="20" t="s">
        <v>22</v>
      </c>
      <c r="H25" s="20" t="s">
        <v>22</v>
      </c>
      <c r="I25" s="21">
        <f>_xlfn.XLOOKUP(Tabela5[[#This Row],[REFERENCIA]],[1]!Tabela1[VENDEDOR],[1]!Tabela1[VALOR])</f>
        <v>13040</v>
      </c>
      <c r="J25" s="21">
        <f>_xlfn.XLOOKUP(Tabela5[[#This Row],[REFERENCIA]],'[1]BASE PYTHON'!$H:$H,'[1]BASE PYTHON'!$I:$I,0)</f>
        <v>1061.8200000000002</v>
      </c>
      <c r="K25" s="22">
        <f>Tabela5[[#This Row],[COMPROMISSO]]-Tabela5[[#This Row],[ATINGIDO]]</f>
        <v>11978.18</v>
      </c>
      <c r="L25" s="4"/>
      <c r="M25" s="4"/>
      <c r="N25" s="4" t="s">
        <v>52</v>
      </c>
      <c r="O25" s="2" cm="1">
        <f t="array" ref="O25">_xlfn.XLOOKUP(Tabela9[[#This Row],[SEMANAL]],[1]!Tabela10[[#All],[Coluna1]],[1]!Tabela10[[#All],[Coluna2]])</f>
        <v>137000</v>
      </c>
      <c r="P25" s="7">
        <f>IFERROR(GETPIVOTDATA("[Measures].[Soma de TOTAL 3]",'[1]BASE PYTHON'!$P$32,"[Intervalo 2].[SEMANA]","[Intervalo 2].[SEMANA].&amp;[5]"),0)</f>
        <v>0</v>
      </c>
      <c r="Q25" s="7">
        <f>O25-P25</f>
        <v>137000</v>
      </c>
      <c r="R25" s="4"/>
      <c r="S25" s="18" t="s">
        <v>15</v>
      </c>
      <c r="T25" s="18" t="s">
        <v>43</v>
      </c>
      <c r="U25" s="18">
        <f>_xlfn.XLOOKUP(Tabela2[[#This Row],[REFERENCIA]],'[1]BASE PYTHON'!$A$63:$A$79,'[1]BASE PYTHON'!$B$63:$B$79)</f>
        <v>53</v>
      </c>
      <c r="V25" s="18">
        <f>_xlfn.XLOOKUP(Tabela2[[#This Row],[REFERENCIA]],'[1]BASE PYTHON'!$K:$K,'[1]BASE PYTHON'!$N:$N,0)</f>
        <v>19</v>
      </c>
      <c r="W25" s="18">
        <f t="shared" si="1"/>
        <v>34</v>
      </c>
    </row>
    <row r="26" spans="1:23" x14ac:dyDescent="0.25">
      <c r="A26" s="24" t="s">
        <v>16</v>
      </c>
      <c r="B26" s="24" t="s">
        <v>16</v>
      </c>
      <c r="C26" s="28">
        <f>_xlfn.XLOOKUP(Tabela13[[#This Row],[REFERENCIA]],[1]!Tabela2[VENDEDOR],[1]!Tabela2[META A],0)</f>
        <v>90000</v>
      </c>
      <c r="D26" s="28">
        <f>_xlfn.XLOOKUP(Tabela13[[#This Row],[REFERENCIA]],'[1]BASE PYTHON'!$E:$E,'[1]BASE PYTHON'!$F:$F,0)</f>
        <v>20407.630000000012</v>
      </c>
      <c r="E26" s="25">
        <f>Tabela13[[#This Row],[META A]]-Tabela13[[#This Row],[ATINGIDO]]</f>
        <v>69592.37</v>
      </c>
      <c r="F26" s="4"/>
      <c r="G26" s="20" t="s">
        <v>23</v>
      </c>
      <c r="H26" s="20" t="s">
        <v>44</v>
      </c>
      <c r="I26" s="21">
        <f>_xlfn.XLOOKUP(Tabela5[[#This Row],[REFERENCIA]],[1]!Tabela1[VENDEDOR],[1]!Tabela1[VALOR])</f>
        <v>5880</v>
      </c>
      <c r="J26" s="21">
        <f>_xlfn.XLOOKUP(Tabela5[[#This Row],[REFERENCIA]],'[1]BASE PYTHON'!$H:$H,'[1]BASE PYTHON'!$I:$I,0)</f>
        <v>0</v>
      </c>
      <c r="K26" s="22">
        <f>Tabela5[[#This Row],[COMPROMISSO]]-Tabela5[[#This Row],[ATINGIDO]]</f>
        <v>5880</v>
      </c>
      <c r="L26" s="4"/>
      <c r="M26" s="4"/>
      <c r="N26" s="4"/>
      <c r="O26" s="2"/>
      <c r="P26" s="4"/>
      <c r="Q26" s="4"/>
      <c r="R26" s="4"/>
      <c r="S26" s="18" t="s">
        <v>23</v>
      </c>
      <c r="T26" s="18" t="s">
        <v>44</v>
      </c>
      <c r="U26" s="18">
        <f>_xlfn.XLOOKUP(Tabela2[[#This Row],[REFERENCIA]],'[1]BASE PYTHON'!$A$63:$A$79,'[1]BASE PYTHON'!$B$63:$B$79)</f>
        <v>38</v>
      </c>
      <c r="V26" s="18">
        <f>_xlfn.XLOOKUP(Tabela2[[#This Row],[REFERENCIA]],'[1]BASE PYTHON'!$K:$K,'[1]BASE PYTHON'!$N:$N,0)</f>
        <v>21</v>
      </c>
      <c r="W26" s="18">
        <f t="shared" si="1"/>
        <v>17</v>
      </c>
    </row>
    <row r="27" spans="1:23" x14ac:dyDescent="0.25">
      <c r="A27" s="16" t="s">
        <v>17</v>
      </c>
      <c r="B27" s="16" t="s">
        <v>17</v>
      </c>
      <c r="C27" s="28">
        <f>_xlfn.XLOOKUP(Tabela13[[#This Row],[REFERENCIA]],[1]!Tabela2[VENDEDOR],[1]!Tabela2[META A],0)</f>
        <v>242000</v>
      </c>
      <c r="D27" s="28">
        <f>_xlfn.XLOOKUP(Tabela13[[#This Row],[REFERENCIA]],'[1]BASE PYTHON'!$E:$E,'[1]BASE PYTHON'!$F:$F,0)</f>
        <v>99341.889999999912</v>
      </c>
      <c r="E27" s="23">
        <f>Tabela13[[#This Row],[META A]]-Tabela13[[#This Row],[ATINGIDO]]</f>
        <v>142658.1100000001</v>
      </c>
      <c r="F27" s="4"/>
      <c r="G27" s="20" t="s">
        <v>7</v>
      </c>
      <c r="H27" s="20" t="s">
        <v>7</v>
      </c>
      <c r="I27" s="21">
        <f>_xlfn.XLOOKUP(Tabela5[[#This Row],[REFERENCIA]],[1]!Tabela1[VENDEDOR],[1]!Tabela1[VALOR])</f>
        <v>4510</v>
      </c>
      <c r="J27" s="21">
        <f>_xlfn.XLOOKUP(Tabela5[[#This Row],[REFERENCIA]],'[1]BASE PYTHON'!$H:$H,'[1]BASE PYTHON'!$I:$I,0)</f>
        <v>0</v>
      </c>
      <c r="K27" s="22">
        <f>Tabela5[[#This Row],[COMPROMISSO]]-Tabela5[[#This Row],[ATINGIDO]]</f>
        <v>4510</v>
      </c>
      <c r="L27" s="4"/>
      <c r="M27" s="4"/>
      <c r="N27" s="4"/>
      <c r="O27" s="4"/>
      <c r="P27" s="4"/>
      <c r="Q27" s="4"/>
      <c r="R27" s="4"/>
    </row>
    <row r="28" spans="1:23" x14ac:dyDescent="0.25">
      <c r="A28" s="24" t="s">
        <v>18</v>
      </c>
      <c r="B28" s="24" t="s">
        <v>18</v>
      </c>
      <c r="C28" s="28">
        <f>_xlfn.XLOOKUP(Tabela13[[#This Row],[REFERENCIA]],[1]!Tabela2[VENDEDOR],[1]!Tabela2[META A],0)</f>
        <v>323500</v>
      </c>
      <c r="D28" s="28">
        <f>_xlfn.XLOOKUP(Tabela13[[#This Row],[REFERENCIA]],'[1]BASE PYTHON'!$E:$E,'[1]BASE PYTHON'!$F:$F,0)</f>
        <v>157458.57499999992</v>
      </c>
      <c r="E28" s="25">
        <f>Tabela13[[#This Row],[META A]]-Tabela13[[#This Row],[ATINGIDO]]</f>
        <v>166041.42500000008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23" x14ac:dyDescent="0.25">
      <c r="A29" s="16" t="s">
        <v>27</v>
      </c>
      <c r="B29" s="16" t="s">
        <v>27</v>
      </c>
      <c r="C29" s="28">
        <f>_xlfn.XLOOKUP(Tabela13[[#This Row],[REFERENCIA]],[1]!Tabela2[VENDEDOR],[1]!Tabela2[META A],0)</f>
        <v>0</v>
      </c>
      <c r="D29" s="28">
        <f>_xlfn.XLOOKUP(Tabela13[[#This Row],[REFERENCIA]],'[1]BASE PYTHON'!$E:$E,'[1]BASE PYTHON'!$F:$F,0)</f>
        <v>0</v>
      </c>
      <c r="E29" s="23">
        <f>Tabela13[[#This Row],[META A]]-Tabela13[[#This Row],[ATINGIDO]]</f>
        <v>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23" x14ac:dyDescent="0.25">
      <c r="A30" s="24" t="s">
        <v>19</v>
      </c>
      <c r="B30" s="24" t="s">
        <v>19</v>
      </c>
      <c r="C30" s="28">
        <f>_xlfn.XLOOKUP(Tabela13[[#This Row],[REFERENCIA]],[1]!Tabela2[VENDEDOR],[1]!Tabela2[META A],0)</f>
        <v>139500</v>
      </c>
      <c r="D30" s="28">
        <f>_xlfn.XLOOKUP(Tabela13[[#This Row],[REFERENCIA]],'[1]BASE PYTHON'!$E:$E,'[1]BASE PYTHON'!$F:$F,0)</f>
        <v>60194.280000000042</v>
      </c>
      <c r="E30" s="25">
        <f>Tabela13[[#This Row],[META A]]-Tabela13[[#This Row],[ATINGIDO]]</f>
        <v>79305.719999999958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Row],[SEMANAL]],[1]!Tabela11[[#All],[Coluna1]],[1]!Tabela11[[#All],[Coluna2]])</f>
        <v>186.42857142857142</v>
      </c>
      <c r="V30" s="5">
        <f>IFERROR(GETPIVOTDATA("[Measures].[Contagem Distinta de COD_CLIENTE]",'[1]BASE PYTHON'!$P$85,"[Intervalo 2].[SEMANA]","[Intervalo 2].[SEMANA].&amp;[1]"),0)</f>
        <v>249</v>
      </c>
      <c r="W30" s="6">
        <f>U30-V30</f>
        <v>-62.571428571428584</v>
      </c>
    </row>
    <row r="31" spans="1:23" x14ac:dyDescent="0.25">
      <c r="A31" s="16" t="s">
        <v>20</v>
      </c>
      <c r="B31" s="16" t="s">
        <v>20</v>
      </c>
      <c r="C31" s="28">
        <f>_xlfn.XLOOKUP(Tabela13[[#This Row],[REFERENCIA]],[1]!Tabela2[VENDEDOR],[1]!Tabela2[META A],0)</f>
        <v>167000</v>
      </c>
      <c r="D31" s="28">
        <f>_xlfn.XLOOKUP(Tabela13[[#This Row],[REFERENCIA]],'[1]BASE PYTHON'!$E:$E,'[1]BASE PYTHON'!$F:$F,0)</f>
        <v>81342.889999999985</v>
      </c>
      <c r="E31" s="23">
        <f>Tabela13[[#This Row],[META A]]-Tabela13[[#This Row],[ATINGIDO]]</f>
        <v>85657.110000000015</v>
      </c>
      <c r="F31" s="4"/>
      <c r="G31" s="4"/>
      <c r="H31" s="4" t="s">
        <v>4</v>
      </c>
      <c r="I31" s="2" cm="1">
        <f t="array" ref="I31">_xlfn.XLOOKUP(Tabela6[[#This Row],[SEMANAL]],[1]!Tabela9[[#All],[Coluna1]],[1]!Tabela9[[#All],[Coluna2]])</f>
        <v>692023.80952380947</v>
      </c>
      <c r="J31" s="2">
        <f>IFERROR(GETPIVOTDATA("[Measures].[Soma de TOTAL 3]",'[1]BASE PYTHON'!$P$4,"[Intervalo 2].[SEMANA]","[Intervalo 2].[SEMANA].&amp;[1]"),0)</f>
        <v>575694.77000000456</v>
      </c>
      <c r="K31" s="7">
        <f>I31-J31</f>
        <v>116329.03952380491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Row],[SEMANAL]],[1]!Tabela11[[#All],[Coluna1]],[1]!Tabela11[[#All],[Coluna2]])</f>
        <v>186.42857142857142</v>
      </c>
      <c r="V31" s="6">
        <f>IFERROR(GETPIVOTDATA("[Measures].[Contagem Distinta de COD_CLIENTE]",'[1]BASE PYTHON'!$P$85,"[Intervalo 2].[SEMANA]","[Intervalo 2].[SEMANA].&amp;[2]"),0)</f>
        <v>285</v>
      </c>
      <c r="W31" s="6">
        <f t="shared" ref="W31:W33" si="2">U31-V31</f>
        <v>-98.571428571428584</v>
      </c>
    </row>
    <row r="32" spans="1:23" x14ac:dyDescent="0.25">
      <c r="A32" s="24" t="s">
        <v>21</v>
      </c>
      <c r="B32" s="24" t="s">
        <v>21</v>
      </c>
      <c r="C32" s="28">
        <f>_xlfn.XLOOKUP(Tabela13[[#This Row],[REFERENCIA]],[1]!Tabela2[VENDEDOR],[1]!Tabela2[META A],0)</f>
        <v>265000</v>
      </c>
      <c r="D32" s="28">
        <f>_xlfn.XLOOKUP(Tabela13[[#This Row],[REFERENCIA]],'[1]BASE PYTHON'!$E:$E,'[1]BASE PYTHON'!$F:$F,0)</f>
        <v>118570.04999999987</v>
      </c>
      <c r="E32" s="25">
        <f>Tabela13[[#This Row],[META A]]-Tabela13[[#This Row],[ATINGIDO]]</f>
        <v>146429.95000000013</v>
      </c>
      <c r="F32" s="4"/>
      <c r="G32" s="4"/>
      <c r="H32" s="4" t="s">
        <v>48</v>
      </c>
      <c r="I32" s="2" cm="1">
        <f t="array" ref="I32">_xlfn.XLOOKUP(Tabela6[[#This Row],[SEMANAL]],[1]!Tabela9[[#All],[Coluna1]],[1]!Tabela9[[#All],[Coluna2]])</f>
        <v>692023.80952380947</v>
      </c>
      <c r="J32" s="7">
        <f>IFERROR(GETPIVOTDATA("[Measures].[Soma de TOTAL 3]",'[1]BASE PYTHON'!$P$4,"[Intervalo 2].[SEMANA]","[Intervalo 2].[SEMANA].&amp;[2]"),0)</f>
        <v>629818.04000000225</v>
      </c>
      <c r="K32" s="7">
        <f t="shared" ref="K32:K34" si="3">I32-J32</f>
        <v>62205.769523807219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Row],[SEMANAL]],[1]!Tabela11[[#All],[Coluna1]],[1]!Tabela11[[#All],[Coluna2]])</f>
        <v>186.42857142857142</v>
      </c>
      <c r="V32" s="6">
        <f>IFERROR(GETPIVOTDATA("[Measures].[Contagem Distinta de COD_CLIENTE]",'[1]BASE PYTHON'!$P$85,"[Intervalo 2].[SEMANA]","[Intervalo 2].[SEMANA].&amp;[3]"),0)</f>
        <v>6</v>
      </c>
      <c r="W32" s="6">
        <f t="shared" si="2"/>
        <v>180.42857142857142</v>
      </c>
    </row>
    <row r="33" spans="1:23" x14ac:dyDescent="0.25">
      <c r="A33" s="16" t="s">
        <v>22</v>
      </c>
      <c r="B33" s="16" t="s">
        <v>22</v>
      </c>
      <c r="C33" s="28">
        <f>_xlfn.XLOOKUP(Tabela13[[#This Row],[REFERENCIA]],[1]!Tabela2[VENDEDOR],[1]!Tabela2[META A],0)</f>
        <v>100000</v>
      </c>
      <c r="D33" s="28">
        <f>_xlfn.XLOOKUP(Tabela13[[#This Row],[REFERENCIA]],'[1]BASE PYTHON'!$E:$E,'[1]BASE PYTHON'!$F:$F,0)</f>
        <v>36060.560000000034</v>
      </c>
      <c r="E33" s="23">
        <f>Tabela13[[#This Row],[META A]]-Tabela13[[#This Row],[ATINGIDO]]</f>
        <v>63939.439999999966</v>
      </c>
      <c r="F33" s="4"/>
      <c r="G33" s="4"/>
      <c r="H33" s="4" t="s">
        <v>49</v>
      </c>
      <c r="I33" s="2" cm="1">
        <f t="array" ref="I33">_xlfn.XLOOKUP(Tabela6[[#This Row],[SEMANAL]],[1]!Tabela9[[#All],[Coluna1]],[1]!Tabela9[[#All],[Coluna2]])</f>
        <v>692023.80952380947</v>
      </c>
      <c r="J33" s="7">
        <f>IFERROR(GETPIVOTDATA("[Measures].[Soma de TOTAL 3]",'[1]BASE PYTHON'!$P$4,"[Intervalo 2].[SEMANA]","[Intervalo 2].[SEMANA].&amp;[3]"),0)</f>
        <v>17265.2</v>
      </c>
      <c r="K33" s="7">
        <f t="shared" si="3"/>
        <v>674758.60952380951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Row],[SEMANAL]],[1]!Tabela11[[#All],[Coluna1]],[1]!Tabela11[[#All],[Coluna2]])</f>
        <v>186.42857142857142</v>
      </c>
      <c r="V33" s="6">
        <f>IFERROR(GETPIVOTDATA("[Measures].[Contagem Distinta de COD_CLIENTE]",'[1]BASE PYTHON'!$P$85,"[Intervalo 2].[SEMANA]","[Intervalo 2].[SEMANA].&amp;[4]"),0)</f>
        <v>0</v>
      </c>
      <c r="W33" s="6">
        <f t="shared" si="2"/>
        <v>186.42857142857142</v>
      </c>
    </row>
    <row r="34" spans="1:23" x14ac:dyDescent="0.25">
      <c r="A34" s="24" t="s">
        <v>23</v>
      </c>
      <c r="B34" s="24" t="s">
        <v>44</v>
      </c>
      <c r="C34" s="28">
        <f>_xlfn.XLOOKUP(Tabela13[[#This Row],[REFERENCIA]],[1]!Tabela2[VENDEDOR],[1]!Tabela2[META A],0)</f>
        <v>55000</v>
      </c>
      <c r="D34" s="28">
        <f>_xlfn.XLOOKUP(Tabela13[[#This Row],[REFERENCIA]],'[1]BASE PYTHON'!$E:$E,'[1]BASE PYTHON'!$F:$F,0)</f>
        <v>23764.140000000025</v>
      </c>
      <c r="E34" s="25">
        <f>Tabela13[[#This Row],[META A]]-Tabela13[[#This Row],[ATINGIDO]]</f>
        <v>31235.859999999975</v>
      </c>
      <c r="F34" s="4"/>
      <c r="G34" s="4"/>
      <c r="H34" s="4" t="s">
        <v>50</v>
      </c>
      <c r="I34" s="2" cm="1">
        <f t="array" ref="I34">_xlfn.XLOOKUP(Tabela6[[#This Row],[SEMANAL]],[1]!Tabela9[[#All],[Coluna1]],[1]!Tabela9[[#All],[Coluna2]])</f>
        <v>692023.80952380947</v>
      </c>
      <c r="J34" s="7">
        <f>IFERROR(GETPIVOTDATA("[Measures].[Soma de TOTAL 3]",'[1]BASE PYTHON'!$P$4,"[Intervalo 2].[SEMANA]","[Intervalo 2].[SEMANA].&amp;[4]"),0)</f>
        <v>0</v>
      </c>
      <c r="K34" s="7">
        <f t="shared" si="3"/>
        <v>692023.80952380947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Row],[SEMANAL]],[1]!Tabela11[[#All],[Coluna1]],[1]!Tabela11[[#All],[Coluna2]])</f>
        <v>37.285714285714285</v>
      </c>
      <c r="V34" s="6">
        <f>IFERROR(GETPIVOTDATA("[Measures].[Contagem Distinta de COD_CLIENTE]",'[1]BASE PYTHON'!$P$85,"[Intervalo 2].[SEMANA]","[Intervalo 2].[SEMANA].&amp;[5]"),0)</f>
        <v>0</v>
      </c>
      <c r="W34" s="6">
        <f>U34-V34</f>
        <v>37.285714285714285</v>
      </c>
    </row>
    <row r="35" spans="1:23" x14ac:dyDescent="0.25">
      <c r="A35" s="16" t="s">
        <v>24</v>
      </c>
      <c r="B35" s="16" t="s">
        <v>45</v>
      </c>
      <c r="C35" s="28">
        <f>_xlfn.XLOOKUP(Tabela13[[#This Row],[REFERENCIA]],[1]!Tabela2[VENDEDOR],[1]!Tabela2[META A],0)</f>
        <v>75000</v>
      </c>
      <c r="D35" s="28">
        <f>_xlfn.XLOOKUP(Tabela13[[#This Row],[REFERENCIA]],'[1]BASE PYTHON'!$E:$E,'[1]BASE PYTHON'!$F:$F,0)</f>
        <v>36758.37000000001</v>
      </c>
      <c r="E35" s="23">
        <f>Tabela13[[#This Row],[META A]]-Tabela13[[#This Row],[ATINGIDO]]</f>
        <v>38241.62999999999</v>
      </c>
      <c r="F35" s="4"/>
      <c r="G35" s="4"/>
      <c r="H35" s="4" t="s">
        <v>52</v>
      </c>
      <c r="I35" s="2" cm="1">
        <f t="array" ref="I35">_xlfn.XLOOKUP(Tabela6[[#This Row],[SEMANAL]],[1]!Tabela9[[#All],[Coluna1]],[1]!Tabela9[[#All],[Coluna2]])</f>
        <v>138404.76190476189</v>
      </c>
      <c r="J35" s="7">
        <f>IFERROR(GETPIVOTDATA("[Measures].[Soma de TOTAL 3]",'[1]BASE PYTHON'!$P$4,"[Intervalo 2].[SEMANA]","[Intervalo 2].[SEMANA].&amp;[5]"),0)</f>
        <v>0</v>
      </c>
      <c r="K35" s="7">
        <f>I35-J35</f>
        <v>138404.76190476189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16" t="s">
        <v>39</v>
      </c>
      <c r="B36" s="16" t="s">
        <v>39</v>
      </c>
      <c r="C36" s="28">
        <f>_xlfn.XLOOKUP(Tabela13[[#This Row],[REFERENCIA]],[1]!Tabela2[VENDEDOR],[1]!Tabela2[META A],0)</f>
        <v>1000</v>
      </c>
      <c r="D36" s="28">
        <f>_xlfn.XLOOKUP(Tabela13[[#This Row],[REFERENCIA]],'[1]BASE PYTHON'!$E:$E,'[1]BASE PYTHON'!$F:$F,0)</f>
        <v>644.28</v>
      </c>
      <c r="E36" s="23">
        <f>Tabela13[[#This Row],[META A]]-Tabela13[[#This Row],[ATINGIDO]]</f>
        <v>355.72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27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27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27"/>
      <c r="B39" s="4" t="s">
        <v>47</v>
      </c>
      <c r="C39" s="4" t="s">
        <v>25</v>
      </c>
      <c r="D39" s="4" t="s">
        <v>3</v>
      </c>
      <c r="E39" s="4" t="s">
        <v>2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27"/>
      <c r="B40" s="4" t="s">
        <v>4</v>
      </c>
      <c r="C40" s="2" cm="1">
        <f t="array" ref="C40">_xlfn.XLOOKUP(Tabela3[[#This Row],[SEMANAL]],[1]!Tabela7[[#All],[Coluna1]],[1]!Tabela7[[#All],[Coluna2]])</f>
        <v>1377261.9047619049</v>
      </c>
      <c r="D40" s="2">
        <f>IFERROR(GETPIVOTDATA("[Measures].[Soma de TOTAL 3]",'[1]BASE PYTHON'!$P$47,"[Intervalo 2].[SEMANA]","[Intervalo 2].[SEMANA].&amp;[1]"),0)</f>
        <v>1203860.6099999992</v>
      </c>
      <c r="E40" s="7">
        <f>C40-D40</f>
        <v>173401.29476190568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27"/>
      <c r="B41" s="4" t="s">
        <v>48</v>
      </c>
      <c r="C41" s="2" cm="1">
        <f t="array" ref="C41">_xlfn.XLOOKUP(Tabela3[[#This Row],[SEMANAL]],[1]!Tabela7[[#All],[Coluna1]],[1]!Tabela7[[#All],[Coluna2]])</f>
        <v>1377261.9047619049</v>
      </c>
      <c r="D41" s="2">
        <f>IFERROR(GETPIVOTDATA("[Measures].[Soma de TOTAL 3]",'[1]BASE PYTHON'!$P$47,"[Intervalo 2].[SEMANA]","[Intervalo 2].[SEMANA].&amp;[2]"),0)</f>
        <v>1245840.9399999927</v>
      </c>
      <c r="E41" s="7">
        <f t="shared" ref="E41:E43" si="4">C41-D41</f>
        <v>131420.96476191212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27"/>
      <c r="B42" s="4" t="s">
        <v>49</v>
      </c>
      <c r="C42" s="2" cm="1">
        <f t="array" ref="C42">_xlfn.XLOOKUP(Tabela3[[#This Row],[SEMANAL]],[1]!Tabela7[[#All],[Coluna1]],[1]!Tabela7[[#All],[Coluna2]])</f>
        <v>1377261.9047619049</v>
      </c>
      <c r="D42" s="2">
        <f>IFERROR(GETPIVOTDATA("[Measures].[Soma de TOTAL 3]",'[1]BASE PYTHON'!$P$47,"[Intervalo 2].[SEMANA]","[Intervalo 2].[SEMANA].&amp;[3]"),0)</f>
        <v>79031.699999999968</v>
      </c>
      <c r="E42" s="7">
        <f t="shared" si="4"/>
        <v>1298230.2047619049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27"/>
      <c r="B43" s="4" t="s">
        <v>50</v>
      </c>
      <c r="C43" s="2" cm="1">
        <f t="array" ref="C43">_xlfn.XLOOKUP(Tabela3[[#This Row],[SEMANAL]],[1]!Tabela7[[#All],[Coluna1]],[1]!Tabela7[[#All],[Coluna2]])</f>
        <v>1377261.9047619049</v>
      </c>
      <c r="D43" s="2">
        <f>IFERROR(GETPIVOTDATA("[Measures].[Soma de TOTAL 3]",'[1]BASE PYTHON'!$P$47,"[Intervalo 2].[SEMANA]","[Intervalo 2].[SEMANA].&amp;[4]"),0)</f>
        <v>0</v>
      </c>
      <c r="E43" s="7">
        <f t="shared" si="4"/>
        <v>1377261.9047619049</v>
      </c>
    </row>
    <row r="44" spans="1:23" x14ac:dyDescent="0.25">
      <c r="A44" s="27"/>
      <c r="B44" s="4" t="s">
        <v>52</v>
      </c>
      <c r="C44" s="2" cm="1">
        <f t="array" ref="C44">_xlfn.XLOOKUP(Tabela3[[#This Row],[SEMANAL]],[1]!Tabela7[[#All],[Coluna1]],[1]!Tabela7[[#All],[Coluna2]])</f>
        <v>275452.38095238095</v>
      </c>
      <c r="D44" s="2">
        <f>IFERROR(GETPIVOTDATA("[Measures].[Soma de TOTAL 3]",'[1]BASE PYTHON'!$P$47,"[Intervalo 2].[SEMANA]","[Intervalo 2].[SEMANA].&amp;[5]"),0)</f>
        <v>0</v>
      </c>
      <c r="E44" s="7">
        <f t="shared" ref="E44" si="5">C44-D44</f>
        <v>275452.38095238095</v>
      </c>
    </row>
    <row r="45" spans="1:23" x14ac:dyDescent="0.25">
      <c r="A45" s="27"/>
    </row>
    <row r="46" spans="1:23" x14ac:dyDescent="0.25">
      <c r="A46" s="27"/>
    </row>
    <row r="47" spans="1:23" x14ac:dyDescent="0.25">
      <c r="A47" s="27"/>
    </row>
    <row r="48" spans="1:23" x14ac:dyDescent="0.25">
      <c r="A48" s="27"/>
      <c r="C48"/>
      <c r="D48"/>
    </row>
    <row r="49" spans="1:4" x14ac:dyDescent="0.25">
      <c r="A49" s="27"/>
      <c r="C49"/>
      <c r="D49"/>
    </row>
    <row r="50" spans="1:4" x14ac:dyDescent="0.25">
      <c r="C50"/>
      <c r="D50"/>
    </row>
    <row r="51" spans="1:4" x14ac:dyDescent="0.25">
      <c r="A51" s="27"/>
      <c r="C51"/>
      <c r="D51"/>
    </row>
    <row r="52" spans="1:4" x14ac:dyDescent="0.25">
      <c r="A52" s="27"/>
      <c r="C52"/>
      <c r="D52"/>
    </row>
    <row r="53" spans="1:4" x14ac:dyDescent="0.25">
      <c r="A53" s="27"/>
      <c r="C53"/>
      <c r="D53"/>
    </row>
    <row r="54" spans="1:4" x14ac:dyDescent="0.25">
      <c r="A54" s="27"/>
      <c r="C54"/>
      <c r="D54"/>
    </row>
    <row r="55" spans="1:4" x14ac:dyDescent="0.25">
      <c r="A55" s="27"/>
      <c r="C55"/>
      <c r="D55"/>
    </row>
    <row r="56" spans="1:4" x14ac:dyDescent="0.25">
      <c r="A56" s="27"/>
      <c r="C56"/>
      <c r="D56"/>
    </row>
    <row r="57" spans="1:4" x14ac:dyDescent="0.25">
      <c r="A57" s="27"/>
      <c r="C57"/>
      <c r="D57"/>
    </row>
    <row r="58" spans="1:4" x14ac:dyDescent="0.25">
      <c r="A58" s="27"/>
      <c r="C58"/>
      <c r="D58"/>
    </row>
    <row r="59" spans="1:4" x14ac:dyDescent="0.25">
      <c r="A59" s="27"/>
      <c r="C59"/>
      <c r="D59"/>
    </row>
    <row r="60" spans="1:4" x14ac:dyDescent="0.25">
      <c r="A60" s="27"/>
      <c r="C60"/>
      <c r="D60"/>
    </row>
    <row r="61" spans="1:4" x14ac:dyDescent="0.25">
      <c r="A61" s="27"/>
      <c r="C61"/>
      <c r="D61"/>
    </row>
    <row r="62" spans="1:4" x14ac:dyDescent="0.25">
      <c r="A62" s="27"/>
      <c r="C62"/>
      <c r="D62"/>
    </row>
    <row r="63" spans="1:4" x14ac:dyDescent="0.25">
      <c r="A63" s="27"/>
      <c r="C63"/>
      <c r="D63"/>
    </row>
    <row r="64" spans="1:4" x14ac:dyDescent="0.25">
      <c r="A64" s="27"/>
      <c r="C64"/>
      <c r="D64"/>
    </row>
    <row r="65" spans="1:4" x14ac:dyDescent="0.25">
      <c r="A65" s="27"/>
      <c r="C65"/>
      <c r="D65"/>
    </row>
    <row r="66" spans="1:4" x14ac:dyDescent="0.25">
      <c r="C66"/>
      <c r="D66"/>
    </row>
    <row r="67" spans="1:4" x14ac:dyDescent="0.25">
      <c r="C67"/>
      <c r="D67"/>
    </row>
    <row r="68" spans="1:4" x14ac:dyDescent="0.25">
      <c r="C68"/>
      <c r="D68"/>
    </row>
    <row r="69" spans="1:4" x14ac:dyDescent="0.25">
      <c r="C69"/>
      <c r="D69"/>
    </row>
    <row r="70" spans="1:4" x14ac:dyDescent="0.25">
      <c r="C70"/>
      <c r="D70"/>
    </row>
    <row r="71" spans="1:4" x14ac:dyDescent="0.25">
      <c r="C71"/>
      <c r="D71"/>
    </row>
    <row r="72" spans="1:4" x14ac:dyDescent="0.25">
      <c r="C72"/>
      <c r="D72"/>
    </row>
    <row r="73" spans="1:4" x14ac:dyDescent="0.25">
      <c r="C73"/>
      <c r="D73"/>
    </row>
    <row r="74" spans="1:4" x14ac:dyDescent="0.25">
      <c r="C74"/>
      <c r="D74"/>
    </row>
    <row r="75" spans="1:4" x14ac:dyDescent="0.25">
      <c r="C75"/>
      <c r="D75"/>
    </row>
    <row r="76" spans="1:4" x14ac:dyDescent="0.25">
      <c r="C76"/>
      <c r="D76"/>
    </row>
    <row r="77" spans="1:4" x14ac:dyDescent="0.25">
      <c r="C77"/>
      <c r="D77"/>
    </row>
    <row r="78" spans="1:4" x14ac:dyDescent="0.25">
      <c r="C78"/>
      <c r="D78"/>
    </row>
    <row r="79" spans="1:4" x14ac:dyDescent="0.25">
      <c r="C79"/>
      <c r="D79"/>
    </row>
    <row r="80" spans="1:4" x14ac:dyDescent="0.25">
      <c r="C80"/>
      <c r="D80"/>
    </row>
    <row r="81" spans="3:4" x14ac:dyDescent="0.25">
      <c r="C81"/>
      <c r="D81"/>
    </row>
    <row r="82" spans="3:4" x14ac:dyDescent="0.25">
      <c r="C82"/>
      <c r="D82"/>
    </row>
    <row r="83" spans="3:4" x14ac:dyDescent="0.25">
      <c r="C83"/>
      <c r="D83"/>
    </row>
    <row r="84" spans="3:4" x14ac:dyDescent="0.25">
      <c r="C84"/>
      <c r="D84"/>
    </row>
    <row r="85" spans="3:4" x14ac:dyDescent="0.25">
      <c r="C85"/>
      <c r="D85"/>
    </row>
    <row r="86" spans="3:4" x14ac:dyDescent="0.25">
      <c r="C86"/>
      <c r="D86"/>
    </row>
    <row r="87" spans="3:4" x14ac:dyDescent="0.25">
      <c r="C87"/>
      <c r="D87"/>
    </row>
    <row r="88" spans="3:4" x14ac:dyDescent="0.25">
      <c r="C88"/>
      <c r="D88"/>
    </row>
    <row r="89" spans="3:4" x14ac:dyDescent="0.25">
      <c r="C89"/>
      <c r="D89"/>
    </row>
    <row r="90" spans="3:4" x14ac:dyDescent="0.25">
      <c r="C90"/>
      <c r="D90"/>
    </row>
  </sheetData>
  <phoneticPr fontId="2" type="noConversion"/>
  <conditionalFormatting sqref="A1:A49 A51:A1048576">
    <cfRule type="duplicateValues" dxfId="1" priority="2"/>
  </conditionalFormatting>
  <conditionalFormatting sqref="B12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Comercio LTDA</cp:lastModifiedBy>
  <dcterms:created xsi:type="dcterms:W3CDTF">2026-05-05T18:00:23Z</dcterms:created>
  <dcterms:modified xsi:type="dcterms:W3CDTF">2026-08-17T12:34:17Z</dcterms:modified>
</cp:coreProperties>
</file>