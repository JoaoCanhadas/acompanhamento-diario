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2B78962-A4DD-4798-A6AE-26FFD53E6C33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1" i="2"/>
  <c r="D42" i="2"/>
  <c r="J35" i="2"/>
  <c r="V30" i="2"/>
  <c r="P21" i="2"/>
  <c r="V33" i="2"/>
  <c r="P16" i="2"/>
  <c r="P17" i="2"/>
  <c r="V31" i="2"/>
  <c r="J32" i="2"/>
  <c r="P14" i="2"/>
  <c r="P25" i="2"/>
  <c r="J33" i="2"/>
  <c r="D40" i="2"/>
  <c r="V34" i="2"/>
  <c r="D44" i="2"/>
  <c r="D43" i="2"/>
  <c r="P24" i="2"/>
  <c r="P11" i="2"/>
  <c r="P13" i="2"/>
  <c r="P15" i="2"/>
  <c r="J31" i="2"/>
  <c r="P23" i="2"/>
  <c r="P22" i="2"/>
  <c r="V32" i="2"/>
  <c r="P12" i="2"/>
  <c r="J34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<sst xmlns="http://schemas.openxmlformats.org/spreadsheetml/2006/main" count="215" uniqueCount="54">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</sst>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24787.820000000007</v>
          </cell>
        </row>
        <row r="6">
          <cell r="E6" t="str">
            <v>CENTRO</v>
          </cell>
          <cell r="F6">
            <v>167200.54999999993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37110.875000000022</v>
          </cell>
          <cell r="K9" t="str">
            <v>CENTRO</v>
          </cell>
          <cell r="N9">
            <v>34</v>
          </cell>
        </row>
        <row r="10">
          <cell r="E10" t="str">
            <v>INTERLAGOS</v>
          </cell>
          <cell r="F10">
            <v>97243.709999999846</v>
          </cell>
          <cell r="K10" t="str">
            <v>INDAIATUBA</v>
          </cell>
          <cell r="N10">
            <v>21</v>
          </cell>
        </row>
        <row r="11">
          <cell r="E11" t="str">
            <v>JUNDIAI</v>
          </cell>
          <cell r="F11">
            <v>37837.590000000018</v>
          </cell>
          <cell r="K11" t="str">
            <v>INTERLAGOS</v>
          </cell>
          <cell r="N11">
            <v>37</v>
          </cell>
        </row>
        <row r="12">
          <cell r="E12" t="str">
            <v>KEY ABC</v>
          </cell>
          <cell r="F12">
            <v>105144.13999999998</v>
          </cell>
          <cell r="K12" t="str">
            <v>JUNDIAI</v>
          </cell>
          <cell r="N12">
            <v>10</v>
          </cell>
        </row>
        <row r="13">
          <cell r="E13" t="str">
            <v>KEY CASA</v>
          </cell>
          <cell r="F13">
            <v>220998.31999999977</v>
          </cell>
          <cell r="K13" t="str">
            <v>LESTE</v>
          </cell>
          <cell r="N13">
            <v>24</v>
          </cell>
        </row>
        <row r="14">
          <cell r="E14" t="str">
            <v>KEY INTERIOR</v>
          </cell>
          <cell r="F14">
            <v>417003.0999999998</v>
          </cell>
          <cell r="K14" t="str">
            <v>LESTE MOOCA</v>
          </cell>
          <cell r="N14">
            <v>30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14</v>
          </cell>
        </row>
        <row r="16">
          <cell r="E16" t="str">
            <v>KEY SJC</v>
          </cell>
          <cell r="F16">
            <v>8041.5500000000011</v>
          </cell>
          <cell r="K16" t="str">
            <v>LESTE TATUAPE</v>
          </cell>
          <cell r="N16">
            <v>17</v>
          </cell>
        </row>
        <row r="17">
          <cell r="E17" t="str">
            <v>KEY SP</v>
          </cell>
          <cell r="F17">
            <v>164577.10000000006</v>
          </cell>
          <cell r="K17" t="str">
            <v>MOGI</v>
          </cell>
          <cell r="N17">
            <v>14</v>
          </cell>
        </row>
        <row r="18">
          <cell r="E18" t="str">
            <v>KEY ZL</v>
          </cell>
          <cell r="F18">
            <v>102906.07</v>
          </cell>
          <cell r="K18" t="str">
            <v>NORTE</v>
          </cell>
          <cell r="N18">
            <v>23</v>
          </cell>
        </row>
        <row r="19">
          <cell r="E19" t="str">
            <v>LESTE</v>
          </cell>
          <cell r="F19">
            <v>48944.290000000037</v>
          </cell>
          <cell r="K19" t="str">
            <v>OSASCO</v>
          </cell>
          <cell r="N19">
            <v>39</v>
          </cell>
        </row>
        <row r="20">
          <cell r="E20" t="str">
            <v>LESTE MOOCA</v>
          </cell>
          <cell r="F20">
            <v>79588.559999999983</v>
          </cell>
          <cell r="K20" t="str">
            <v>PIRITUBA</v>
          </cell>
          <cell r="N20">
            <v>19</v>
          </cell>
        </row>
        <row r="21">
          <cell r="E21" t="str">
            <v>LESTE PENHA</v>
          </cell>
          <cell r="F21">
            <v>47221.440000000024</v>
          </cell>
          <cell r="K21" t="str">
            <v>SANTO ANDRE</v>
          </cell>
          <cell r="N21">
            <v>18</v>
          </cell>
        </row>
        <row r="22">
          <cell r="E22" t="str">
            <v>LESTE TATUAPE</v>
          </cell>
          <cell r="F22">
            <v>35509.650000000052</v>
          </cell>
          <cell r="K22" t="str">
            <v>SBC</v>
          </cell>
          <cell r="N22">
            <v>23</v>
          </cell>
        </row>
        <row r="23">
          <cell r="E23" t="str">
            <v>MOGI</v>
          </cell>
          <cell r="F23">
            <v>15522.319999999989</v>
          </cell>
          <cell r="K23" t="str">
            <v>SJC</v>
          </cell>
          <cell r="N23">
            <v>20</v>
          </cell>
        </row>
        <row r="24">
          <cell r="E24" t="str">
            <v>NORTE</v>
          </cell>
          <cell r="F24">
            <v>89287.129999999946</v>
          </cell>
          <cell r="K24" t="str">
            <v>SJC/VALE</v>
          </cell>
          <cell r="N24">
            <v>19</v>
          </cell>
        </row>
        <row r="25">
          <cell r="E25" t="str">
            <v>OSASCO</v>
          </cell>
          <cell r="F25">
            <v>132305.33499999993</v>
          </cell>
          <cell r="K25" t="str">
            <v>Total Geral</v>
          </cell>
          <cell r="N25">
            <v>381</v>
          </cell>
        </row>
        <row r="26">
          <cell r="E26" t="str">
            <v>PIRITUBA</v>
          </cell>
          <cell r="F26">
            <v>52785.510000000024</v>
          </cell>
        </row>
        <row r="27">
          <cell r="E27" t="str">
            <v>SANTO ANDRE</v>
          </cell>
          <cell r="F27">
            <v>67341.090000000011</v>
          </cell>
        </row>
        <row r="28">
          <cell r="E28" t="str">
            <v>SBC</v>
          </cell>
          <cell r="F28">
            <v>98350.859999999899</v>
          </cell>
        </row>
        <row r="29">
          <cell r="E29" t="str">
            <v>SJC</v>
          </cell>
          <cell r="F29">
            <v>31555.05000000001</v>
          </cell>
        </row>
        <row r="30">
          <cell r="E30" t="str">
            <v>SJC/VALE</v>
          </cell>
          <cell r="F30">
            <v>20290.769999999997</v>
          </cell>
        </row>
        <row r="31">
          <cell r="E31" t="str">
            <v>VENDEDOR INTERNO 1</v>
          </cell>
          <cell r="F31">
            <v>28299.450000000004</v>
          </cell>
        </row>
        <row r="32">
          <cell r="E32" t="str">
            <v>Total Geral</v>
          </cell>
          <cell r="F32">
            <v>2130585.5600000019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150230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2130585.5599999996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428950.79000000004</v>
      </c>
      <c r="P5" s="4"/>
      <c r="Q5" s="4"/>
      <c r="R5" s="4"/>
      <c r="S5" s="4"/>
      <c r="T5" s="4" t="s">
        <v>1</v>
      </c>
      <c r="U5" s="4">
        <f>SUM(V10:V26)</f>
        <v>381</v>
      </c>
      <c r="V5" s="4"/>
      <c r="W5" s="4"/>
    </row>
    <row r="6" spans="1:23" x14ac:dyDescent="0.25">
      <c r="A6" s="4"/>
      <c r="B6" s="4" t="s">
        <v>2</v>
      </c>
      <c r="C6" s="2">
        <f>C4-C5</f>
        <v>3653914.4400000004</v>
      </c>
      <c r="D6" s="2"/>
      <c r="E6" s="4"/>
      <c r="F6" s="4"/>
      <c r="G6" s="4"/>
      <c r="H6" s="4" t="s">
        <v>2</v>
      </c>
      <c r="I6" s="7">
        <f>I4-I5</f>
        <v>150230</v>
      </c>
      <c r="J6" s="4"/>
      <c r="K6" s="4"/>
      <c r="L6" s="4"/>
      <c r="M6" s="4"/>
      <c r="N6" s="4" t="s">
        <v>2</v>
      </c>
      <c r="O6" s="7">
        <f>O4-O5</f>
        <v>94049.209999999963</v>
      </c>
      <c r="P6" s="4"/>
      <c r="Q6" s="4"/>
      <c r="R6" s="4"/>
      <c r="S6" s="4"/>
      <c r="T6" s="4" t="s">
        <v>2</v>
      </c>
      <c r="U6" s="4">
        <f>U4-U5</f>
        <v>402</v>
      </c>
      <c r="V6" s="4"/>
      <c r="W6" s="4"/>
    </row>
    <row r="7" spans="1:23" x14ac:dyDescent="0.25">
      <c r="A7" s="4"/>
      <c r="B7" s="4" t="s">
        <v>3</v>
      </c>
      <c r="C7" s="3">
        <f>1-(C6/C4)</f>
        <v>0.36832665917538243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0.8201735946462716</v>
      </c>
      <c r="P7" s="4"/>
      <c r="Q7" s="4"/>
      <c r="R7" s="4"/>
      <c r="S7" s="4"/>
      <c r="T7" s="4" t="s">
        <v>3</v>
      </c>
      <c r="U7" s="3">
        <f>1-(U6/U4)</f>
        <v>0.48659003831417624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24787.820000000007</v>
      </c>
      <c r="E10" s="25">
        <f>Tabela13[[#This Row],[META A]]-Tabela13[[#This Row],[ATINGIDO]]</f>
        <v>39712.179999999993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16640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16640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19</v>
      </c>
      <c r="W10" s="18">
        <f>U10-V10</f>
        <v>19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167200.54999999993</v>
      </c>
      <c r="E11" s="23">
        <f>Tabela13[[#This Row],[META A]]-Tabela13[[#This Row],[ATINGIDO]]</f>
        <v>162799.45000000007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15820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15820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45978.9</v>
      </c>
      <c r="Q11" s="2">
        <f>Tabela8[[#This Row],[COMPROMISSO]]-Tabela8[[#This Row],[ATINGIDO]]</f>
        <v>23521.1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34</v>
      </c>
      <c r="W11" s="18">
        <f t="shared" ref="W11:W20" si="0">U11-V11</f>
        <v>20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10190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10190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21</v>
      </c>
      <c r="W12" s="18">
        <f t="shared" si="0"/>
        <v>22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37110.875000000022</v>
      </c>
      <c r="E13" s="23">
        <f>Tabela13[[#This Row],[META A]]-Tabela13[[#This Row],[ATINGIDO]]</f>
        <v>52889.124999999978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13800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13800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35011.659999999996</v>
      </c>
      <c r="Q13" s="2">
        <f>Tabela8[[#This Row],[COMPROMISSO]]-Tabela8[[#This Row],[ATINGIDO]]</f>
        <v>63988.340000000004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37</v>
      </c>
      <c r="W13" s="18">
        <f t="shared" si="0"/>
        <v>24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97243.709999999846</v>
      </c>
      <c r="E14" s="25">
        <f>Tabela13[[#This Row],[META A]]-Tabela13[[#This Row],[ATINGIDO]]</f>
        <v>175756.29000000015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6090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6090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183229</v>
      </c>
      <c r="Q14" s="2">
        <f>Tabela8[[#This Row],[COMPROMISSO]]-Tabela8[[#This Row],[ATINGIDO]]</f>
        <v>-23229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10</v>
      </c>
      <c r="W14" s="18">
        <f t="shared" si="0"/>
        <v>19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37837.590000000018</v>
      </c>
      <c r="E15" s="23">
        <f>Tabela13[[#This Row],[META A]]-Tabela13[[#This Row],[ATINGIDO]]</f>
        <v>40162.409999999982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17760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17760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63679.599999999977</v>
      </c>
      <c r="Q15" s="2">
        <f>Tabela8[[#This Row],[COMPROMISSO]]-Tabela8[[#This Row],[ATINGIDO]]</f>
        <v>68320.400000000023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24</v>
      </c>
      <c r="W15" s="18">
        <f>U15-V15</f>
        <v>24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105144.13999999998</v>
      </c>
      <c r="E16" s="25">
        <f>Tabela13[[#This Row],[META A]]-Tabela13[[#This Row],[ATINGIDO]]</f>
        <v>244855.86000000002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12320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12320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5816.2000000000007</v>
      </c>
      <c r="Q16" s="2">
        <f>Tabela8[[#This Row],[COMPROMISSO]]-Tabela8[[#This Row],[ATINGIDO]]</f>
        <v>-5816.2000000000007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14</v>
      </c>
      <c r="W16" s="18">
        <f t="shared" si="0"/>
        <v>27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220998.31999999977</v>
      </c>
      <c r="E17" s="23">
        <f>Tabela13[[#This Row],[META A]]-Tabela13[[#This Row],[ATINGIDO]]</f>
        <v>199001.68000000023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5400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5400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95235.430000000066</v>
      </c>
      <c r="Q17" s="2">
        <f>Tabela8[[#This Row],[COMPROMISSO]]-Tabela8[[#This Row],[ATINGIDO]]</f>
        <v>-32735.430000000066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30</v>
      </c>
      <c r="W17" s="18">
        <f t="shared" si="0"/>
        <v>21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417003.0999999998</v>
      </c>
      <c r="E18" s="25">
        <f>Tabela13[[#This Row],[META A]]-Tabela13[[#This Row],[ATINGIDO]]</f>
        <v>562996.90000000014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3900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3900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23</v>
      </c>
      <c r="W18" s="18">
        <f t="shared" si="0"/>
        <v>24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8041.5500000000011</v>
      </c>
      <c r="E19" s="23">
        <f>Tabela13[[#This Row],[META A]]-Tabela13[[#This Row],[ATINGIDO]]</f>
        <v>133958.45000000001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11580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11580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39</v>
      </c>
      <c r="W19" s="18">
        <f t="shared" si="0"/>
        <v>24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164577.10000000006</v>
      </c>
      <c r="E20" s="25">
        <f>Tabela13[[#This Row],[META A]]-Tabela13[[#This Row],[ATINGIDO]]</f>
        <v>395422.89999999991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11900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11900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14</v>
      </c>
      <c r="W20" s="18">
        <f t="shared" si="0"/>
        <v>27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102906.07</v>
      </c>
      <c r="E21" s="23">
        <f>Tabela13[[#This Row],[META A]]-Tabela13[[#This Row],[ATINGIDO]]</f>
        <v>322093.93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4230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4230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19</v>
      </c>
      <c r="W21" s="18">
        <f t="shared" ref="W21:W26" si="1">U21-V21</f>
        <v>25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48944.290000000037</v>
      </c>
      <c r="E22" s="25">
        <f>Tabela13[[#This Row],[META A]]-Tabela13[[#This Row],[ATINGIDO]]</f>
        <v>73055.709999999963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5810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5810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428950.78999999934</v>
      </c>
      <c r="Q22" s="7">
        <f>O22-P22</f>
        <v>256049.21000000066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18</v>
      </c>
      <c r="W22" s="18">
        <f t="shared" si="1"/>
        <v>22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79588.559999999983</v>
      </c>
      <c r="E23" s="23">
        <f>Tabela13[[#This Row],[META A]]-Tabela13[[#This Row],[ATINGIDO]]</f>
        <v>120411.44000000002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3350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3350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23</v>
      </c>
      <c r="W23" s="18">
        <f t="shared" si="1"/>
        <v>32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47221.440000000024</v>
      </c>
      <c r="E24" s="25">
        <f>Tabela13[[#This Row],[META A]]-Tabela13[[#This Row],[ATINGIDO]]</f>
        <v>97778.559999999969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2080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2080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20</v>
      </c>
      <c r="W24" s="18">
        <f t="shared" si="1"/>
        <v>17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35509.650000000052</v>
      </c>
      <c r="E25" s="23">
        <f>Tabela13[[#This Row],[META A]]-Tabela13[[#This Row],[ATINGIDO]]</f>
        <v>111490.34999999995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5310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5310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17</v>
      </c>
      <c r="W25" s="18">
        <f t="shared" si="1"/>
        <v>36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15522.319999999989</v>
      </c>
      <c r="E26" s="25">
        <f>Tabela13[[#This Row],[META A]]-Tabela13[[#This Row],[ATINGIDO]]</f>
        <v>74477.680000000008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1140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1140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19</v>
      </c>
      <c r="W26" s="18">
        <f t="shared" si="1"/>
        <v>19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89287.129999999946</v>
      </c>
      <c r="E27" s="23">
        <f>Tabela13[[#This Row],[META A]]-Tabela13[[#This Row],[ATINGIDO]]</f>
        <v>152712.87000000005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2910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2910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132305.33499999993</v>
      </c>
      <c r="E28" s="25">
        <f>Tabela13[[#This Row],[META A]]-Tabela13[[#This Row],[ATINGIDO]]</f>
        <v>191194.66500000007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52785.510000000024</v>
      </c>
      <c r="E30" s="25">
        <f>Tabela13[[#This Row],[META A]]-Tabela13[[#This Row],[ATINGIDO]]</f>
        <v>86714.489999999976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67341.090000000011</v>
      </c>
      <c r="E31" s="23">
        <f>Tabela13[[#This Row],[META A]]-Tabela13[[#This Row],[ATINGIDO]]</f>
        <v>99658.909999999989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576018.87000000454</v>
      </c>
      <c r="K31" s="7">
        <f>I31-J31</f>
        <v>116004.93952380493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191</v>
      </c>
      <c r="W31" s="6">
        <f t="shared" ref="W31:W33" si="2">U31-V31</f>
        <v>-4.5714285714285836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98350.859999999899</v>
      </c>
      <c r="E32" s="25">
        <f>Tabela13[[#This Row],[META A]]-Tabela13[[#This Row],[ATINGIDO]]</f>
        <v>166649.1400000001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455574.57000000152</v>
      </c>
      <c r="K32" s="7">
        <f t="shared" ref="K32:K34" si="3">I32-J32</f>
        <v>236449.23952380795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31555.05000000001</v>
      </c>
      <c r="E33" s="23">
        <f>Tabela13[[#This Row],[META A]]-Tabela13[[#This Row],[ATINGIDO]]</f>
        <v>68444.949999999983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20290.769999999997</v>
      </c>
      <c r="E34" s="25">
        <f>Tabela13[[#This Row],[META A]]-Tabela13[[#This Row],[ATINGIDO]]</f>
        <v>34709.230000000003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28299.450000000004</v>
      </c>
      <c r="E35" s="23">
        <f>Tabela13[[#This Row],[META A]]-Tabela13[[#This Row],[ATINGIDO]]</f>
        <v>46700.549999999996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1204184.709999999</v>
      </c>
      <c r="E40" s="7">
        <f>C40-D40</f>
        <v>173077.19476190582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926400.85000000172</v>
      </c>
      <c r="E41" s="7">
        <f t="shared" ref="E41:E43" si="4">C41-D41</f>
        <v>450861.05476190313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2026-08-12T17:07:18Z</dcterms:modified>
</cp:coreProperties>
</file>