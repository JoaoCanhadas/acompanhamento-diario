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D4BBA2E-FD4D-4F98-8D2B-4FAE4B67489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4" i="2"/>
  <c r="V30" i="2"/>
  <c r="V34" i="2"/>
  <c r="P12" i="2"/>
  <c r="V33" i="2"/>
  <c r="P24" i="2"/>
  <c r="P11" i="2"/>
  <c r="V32" i="2"/>
  <c r="P16" i="2"/>
  <c r="P15" i="2"/>
  <c r="P23" i="2"/>
  <c r="P22" i="2"/>
  <c r="V31" i="2"/>
  <c r="P25" i="2"/>
  <c r="P17" i="2"/>
  <c r="P21" i="2"/>
  <c r="P13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2" i="2"/>
  <c r="J35" i="2"/>
  <c r="D41" i="2"/>
  <c r="D43" i="2"/>
  <c r="D40" i="2"/>
  <c r="J33" i="2"/>
  <c r="D44" i="2"/>
  <c r="J31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3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<sst xmlns="http://schemas.openxmlformats.org/spreadsheetml/2006/main" count="215" uniqueCount="54">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</sst>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31/07/2026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58877.119999999988</v>
          </cell>
          <cell r="H5" t="str">
            <v>CAMPINAS</v>
          </cell>
          <cell r="I5">
            <v>1080.5</v>
          </cell>
        </row>
        <row r="6">
          <cell r="E6" t="str">
            <v>CENTRO</v>
          </cell>
          <cell r="F6">
            <v>340451.31000000017</v>
          </cell>
          <cell r="H6" t="str">
            <v>INDAIATUBA</v>
          </cell>
          <cell r="I6">
            <v>388.4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INTERLAGOS</v>
          </cell>
          <cell r="I7">
            <v>442.7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4799.619999999999</v>
          </cell>
          <cell r="H8" t="str">
            <v>JUNDIAI</v>
          </cell>
          <cell r="I8">
            <v>1749</v>
          </cell>
          <cell r="K8" t="str">
            <v>CAMPINAS</v>
          </cell>
          <cell r="N8">
            <v>33</v>
          </cell>
        </row>
        <row r="9">
          <cell r="E9" t="str">
            <v>INDAIATUBA</v>
          </cell>
          <cell r="F9">
            <v>75134.89999999998</v>
          </cell>
          <cell r="H9" t="str">
            <v>LESTE MOOCA</v>
          </cell>
          <cell r="I9">
            <v>150</v>
          </cell>
          <cell r="K9" t="str">
            <v>CENTRO</v>
          </cell>
          <cell r="N9">
            <v>52</v>
          </cell>
        </row>
        <row r="10">
          <cell r="E10" t="str">
            <v>INTERLAGOS</v>
          </cell>
          <cell r="F10">
            <v>246991.25999999983</v>
          </cell>
          <cell r="H10" t="str">
            <v>LESTE PENHA</v>
          </cell>
          <cell r="I10">
            <v>772.09999999999991</v>
          </cell>
          <cell r="K10" t="str">
            <v>INDAIATUBA</v>
          </cell>
          <cell r="N10">
            <v>42</v>
          </cell>
        </row>
        <row r="11">
          <cell r="E11" t="str">
            <v>JUNDIAI</v>
          </cell>
          <cell r="F11">
            <v>73039.34</v>
          </cell>
          <cell r="H11" t="str">
            <v>LESTE TATUAPE</v>
          </cell>
          <cell r="I11">
            <v>845.96999999999991</v>
          </cell>
          <cell r="K11" t="str">
            <v>INTERLAGOS</v>
          </cell>
          <cell r="N11">
            <v>62</v>
          </cell>
        </row>
        <row r="12">
          <cell r="E12" t="str">
            <v>KEY ABC</v>
          </cell>
          <cell r="F12">
            <v>340913.27</v>
          </cell>
          <cell r="H12" t="str">
            <v>MOGI</v>
          </cell>
          <cell r="I12">
            <v>954.4</v>
          </cell>
          <cell r="K12" t="str">
            <v>JUNDIAI</v>
          </cell>
          <cell r="N12">
            <v>28</v>
          </cell>
        </row>
        <row r="13">
          <cell r="E13" t="str">
            <v>KEY CASA</v>
          </cell>
          <cell r="F13">
            <v>300207.9200000001</v>
          </cell>
          <cell r="H13" t="str">
            <v>SJC</v>
          </cell>
          <cell r="I13">
            <v>302.89999999999998</v>
          </cell>
          <cell r="K13" t="str">
            <v>LESTE</v>
          </cell>
          <cell r="N13">
            <v>32</v>
          </cell>
        </row>
        <row r="14">
          <cell r="E14" t="str">
            <v>KEY INTERIOR</v>
          </cell>
          <cell r="F14">
            <v>1049569.3999999999</v>
          </cell>
          <cell r="H14" t="str">
            <v>SJC/VALE</v>
          </cell>
          <cell r="I14">
            <v>119.9</v>
          </cell>
          <cell r="K14" t="str">
            <v>LESTE MOOCA</v>
          </cell>
          <cell r="N14">
            <v>56</v>
          </cell>
        </row>
        <row r="15">
          <cell r="E15" t="str">
            <v>KEY PIRACICABA</v>
          </cell>
          <cell r="F15">
            <v>109098.67999999996</v>
          </cell>
          <cell r="H15" t="str">
            <v>Total Geral</v>
          </cell>
          <cell r="I15">
            <v>6805.8700000000008</v>
          </cell>
          <cell r="K15" t="str">
            <v>LESTE PENHA</v>
          </cell>
          <cell r="N15">
            <v>34</v>
          </cell>
        </row>
        <row r="16">
          <cell r="E16" t="str">
            <v>KEY SJC</v>
          </cell>
          <cell r="F16">
            <v>132577.90000000005</v>
          </cell>
          <cell r="K16" t="str">
            <v>LESTE TATUAPE</v>
          </cell>
          <cell r="N16">
            <v>57</v>
          </cell>
        </row>
        <row r="17">
          <cell r="E17" t="str">
            <v>KEY SP</v>
          </cell>
          <cell r="F17">
            <v>439462.47999999981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375491.24999999988</v>
          </cell>
          <cell r="K18" t="str">
            <v>NORTE</v>
          </cell>
          <cell r="N18">
            <v>49</v>
          </cell>
        </row>
        <row r="19">
          <cell r="E19" t="str">
            <v>LESTE</v>
          </cell>
          <cell r="F19">
            <v>94174.979999999909</v>
          </cell>
          <cell r="K19" t="str">
            <v>OSASCO</v>
          </cell>
          <cell r="N19">
            <v>70</v>
          </cell>
        </row>
        <row r="20">
          <cell r="E20" t="str">
            <v>LESTE MOOCA</v>
          </cell>
          <cell r="F20">
            <v>177616.22499999937</v>
          </cell>
          <cell r="K20" t="str">
            <v>PIRITUBA</v>
          </cell>
          <cell r="N20">
            <v>31</v>
          </cell>
        </row>
        <row r="21">
          <cell r="E21" t="str">
            <v>LESTE PENHA</v>
          </cell>
          <cell r="F21">
            <v>126883.38999999991</v>
          </cell>
          <cell r="K21" t="str">
            <v>SANTO ANDRE</v>
          </cell>
          <cell r="N21">
            <v>29</v>
          </cell>
        </row>
        <row r="22">
          <cell r="E22" t="str">
            <v>LESTE TATUAPE</v>
          </cell>
          <cell r="F22">
            <v>135986.52999999956</v>
          </cell>
          <cell r="K22" t="str">
            <v>SBC</v>
          </cell>
          <cell r="N22">
            <v>45</v>
          </cell>
        </row>
        <row r="23">
          <cell r="E23" t="str">
            <v>MOGI</v>
          </cell>
          <cell r="F23">
            <v>73014.530000000042</v>
          </cell>
          <cell r="K23" t="str">
            <v>SJC</v>
          </cell>
          <cell r="N23">
            <v>32</v>
          </cell>
        </row>
        <row r="24">
          <cell r="E24" t="str">
            <v>NORTE</v>
          </cell>
          <cell r="F24">
            <v>233922.96999999916</v>
          </cell>
          <cell r="K24" t="str">
            <v>SJC/VALE</v>
          </cell>
          <cell r="N24">
            <v>37</v>
          </cell>
        </row>
        <row r="25">
          <cell r="E25" t="str">
            <v>OSASCO</v>
          </cell>
          <cell r="F25">
            <v>318524.76499999943</v>
          </cell>
          <cell r="K25" t="str">
            <v>Total Geral</v>
          </cell>
          <cell r="N25">
            <v>728</v>
          </cell>
        </row>
        <row r="26">
          <cell r="E26" t="str">
            <v>PIRITUBA</v>
          </cell>
          <cell r="F26">
            <v>125620.2099999998</v>
          </cell>
        </row>
        <row r="27">
          <cell r="E27" t="str">
            <v>SANTO ANDRE</v>
          </cell>
          <cell r="F27">
            <v>154100.98000000004</v>
          </cell>
        </row>
        <row r="28">
          <cell r="E28" t="str">
            <v>SBC</v>
          </cell>
          <cell r="F28">
            <v>252895.93999999997</v>
          </cell>
        </row>
        <row r="29">
          <cell r="E29" t="str">
            <v>SJC</v>
          </cell>
          <cell r="F29">
            <v>79025.900000000111</v>
          </cell>
        </row>
        <row r="30">
          <cell r="E30" t="str">
            <v>SJC/VALE</v>
          </cell>
          <cell r="F30">
            <v>43217.71000000005</v>
          </cell>
        </row>
        <row r="31">
          <cell r="E31" t="str">
            <v>VENDEDOR INTERNO 1</v>
          </cell>
          <cell r="F31">
            <v>71253.299999999988</v>
          </cell>
        </row>
        <row r="32">
          <cell r="E32" t="str">
            <v>Total Geral</v>
          </cell>
          <cell r="F32">
            <v>5433934.7099999217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L30" sqref="L30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230680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5433934.7099999981</v>
      </c>
      <c r="D5" s="2"/>
      <c r="E5" s="4"/>
      <c r="F5" s="4"/>
      <c r="G5" s="4"/>
      <c r="H5" s="4" t="s">
        <v>1</v>
      </c>
      <c r="I5" s="7">
        <f>SUM(J10:J27)</f>
        <v>6805.869999999999</v>
      </c>
      <c r="J5" s="4"/>
      <c r="K5" s="4"/>
      <c r="L5" s="4"/>
      <c r="M5" s="4"/>
      <c r="N5" s="4" t="s">
        <v>1</v>
      </c>
      <c r="O5" s="7">
        <f>SUM(P11:P17)</f>
        <v>539300.37999999989</v>
      </c>
      <c r="P5" s="4"/>
      <c r="Q5" s="4"/>
      <c r="R5" s="4"/>
      <c r="S5" s="4"/>
      <c r="T5" s="4" t="s">
        <v>1</v>
      </c>
      <c r="U5" s="4">
        <f>SUM(V10:V26)</f>
        <v>728</v>
      </c>
      <c r="V5" s="4"/>
      <c r="W5" s="4"/>
    </row>
    <row r="6" spans="1:23" x14ac:dyDescent="0.25">
      <c r="A6" s="4"/>
      <c r="B6" s="4" t="s">
        <v>2</v>
      </c>
      <c r="C6" s="2">
        <f>C4-C5</f>
        <v>158565.2900000019</v>
      </c>
      <c r="D6" s="2"/>
      <c r="E6" s="4"/>
      <c r="F6" s="4"/>
      <c r="G6" s="4"/>
      <c r="H6" s="4" t="s">
        <v>2</v>
      </c>
      <c r="I6" s="7">
        <f>I4-I5</f>
        <v>223874.13</v>
      </c>
      <c r="J6" s="4"/>
      <c r="K6" s="4"/>
      <c r="L6" s="4"/>
      <c r="M6" s="4"/>
      <c r="N6" s="4" t="s">
        <v>2</v>
      </c>
      <c r="O6" s="7">
        <f>O4-O5</f>
        <v>104199.62000000011</v>
      </c>
      <c r="P6" s="4"/>
      <c r="Q6" s="4"/>
      <c r="R6" s="4"/>
      <c r="S6" s="4"/>
      <c r="T6" s="4" t="s">
        <v>2</v>
      </c>
      <c r="U6" s="4">
        <f>U4-U5</f>
        <v>30</v>
      </c>
      <c r="V6" s="4"/>
      <c r="W6" s="4"/>
    </row>
    <row r="7" spans="1:23" x14ac:dyDescent="0.25">
      <c r="A7" s="4"/>
      <c r="B7" s="4" t="s">
        <v>3</v>
      </c>
      <c r="C7" s="3">
        <f>1-(C6/C4)</f>
        <v>0.97164679660259246</v>
      </c>
      <c r="D7" s="2"/>
      <c r="E7" s="4"/>
      <c r="F7" s="4"/>
      <c r="G7" s="4"/>
      <c r="H7" s="4" t="s">
        <v>3</v>
      </c>
      <c r="I7" s="3">
        <f>1-(I6/I4)</f>
        <v>2.9503511357724999E-2</v>
      </c>
      <c r="J7" s="4"/>
      <c r="K7" s="4"/>
      <c r="L7" s="4"/>
      <c r="M7" s="4"/>
      <c r="N7" s="4" t="s">
        <v>3</v>
      </c>
      <c r="O7" s="3">
        <f>1-(O6/O4)</f>
        <v>0.83807362859362844</v>
      </c>
      <c r="P7" s="4"/>
      <c r="Q7" s="4"/>
      <c r="R7" s="4"/>
      <c r="S7" s="4"/>
      <c r="T7" s="4" t="s">
        <v>3</v>
      </c>
      <c r="U7" s="3">
        <f>1-(U6/U4)</f>
        <v>0.9604221635883905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58877.119999999988</v>
      </c>
      <c r="E10" s="27">
        <f>Tabela13[[#This Row],[META A]]-Tabela13[[#This Row],[ATINGIDO]]</f>
        <v>5622.8800000000119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13000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13000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33</v>
      </c>
      <c r="W10" s="19">
        <f>U10-V10</f>
        <v>3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340451.31000000017</v>
      </c>
      <c r="E11" s="24">
        <f>Tabela13[[#This Row],[META A]]-Tabela13[[#This Row],[ATINGIDO]]</f>
        <v>-15451.310000000172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3580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3580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80256.649999999994</v>
      </c>
      <c r="Q11" s="2">
        <f>Tabela8[[#This Row],[COMPROMISSO]]-Tabela8[[#This Row],[ATINGIDO]]</f>
        <v>-45256.649999999994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52</v>
      </c>
      <c r="W11" s="19">
        <f t="shared" ref="W11:W20" si="0">U11-V11</f>
        <v>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4799.619999999999</v>
      </c>
      <c r="E12" s="27">
        <f>Tabela13[[#This Row],[META A]]-Tabela13[[#This Row],[ATINGIDO]]</f>
        <v>-3799.619999999999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8880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8880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42</v>
      </c>
      <c r="W12" s="19">
        <f t="shared" si="0"/>
        <v>-1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75134.89999999998</v>
      </c>
      <c r="E13" s="24">
        <f>Tabela13[[#This Row],[META A]]-Tabela13[[#This Row],[ATINGIDO]]</f>
        <v>14865.10000000002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7105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7105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58482.950000000004</v>
      </c>
      <c r="Q13" s="2">
        <f>Tabela8[[#This Row],[COMPROMISSO]]-Tabela8[[#This Row],[ATINGIDO]]</f>
        <v>80017.049999999988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62</v>
      </c>
      <c r="W13" s="19">
        <f t="shared" si="0"/>
        <v>-3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246991.25999999983</v>
      </c>
      <c r="E14" s="27">
        <f>Tabela13[[#This Row],[META A]]-Tabela13[[#This Row],[ATINGIDO]]</f>
        <v>26008.740000000165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7360</v>
      </c>
      <c r="J14" s="22">
        <f>_xlfn.XLOOKUP(Tabela5[[#This Row],[VENDEDOR]],'[1]BASE PYTHON'!$H:$H,'[1]BASE PYTHON'!$I:$I,0)</f>
        <v>845.96999999999991</v>
      </c>
      <c r="K14" s="23">
        <f>Tabela5[[#This Row],[COMPROMISSO]]-Tabela5[[#This Row],[ATINGIDO]]</f>
        <v>6514.03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196965.59999999998</v>
      </c>
      <c r="Q14" s="2">
        <f>Tabela8[[#This Row],[COMPROMISSO]]-Tabela8[[#This Row],[ATINGIDO]]</f>
        <v>-11965.599999999977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28</v>
      </c>
      <c r="W14" s="19">
        <f t="shared" si="0"/>
        <v>-1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73039.34</v>
      </c>
      <c r="E15" s="24">
        <f>Tabela13[[#This Row],[META A]]-Tabela13[[#This Row],[ATINGIDO]]</f>
        <v>4960.6600000000035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10000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10000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159969.73999999993</v>
      </c>
      <c r="Q15" s="2">
        <f>Tabela8[[#This Row],[COMPROMISSO]]-Tabela8[[#This Row],[ATINGIDO]]</f>
        <v>-9969.7399999999325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32</v>
      </c>
      <c r="W15" s="19">
        <f>U15-V15</f>
        <v>16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340913.27</v>
      </c>
      <c r="E16" s="27">
        <f>Tabela13[[#This Row],[META A]]-Tabela13[[#This Row],[ATINGIDO]]</f>
        <v>-15913.270000000019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13105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13105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5437.8000000000011</v>
      </c>
      <c r="Q16" s="2">
        <f>Tabela8[[#This Row],[COMPROMISSO]]-Tabela8[[#This Row],[ATINGIDO]]</f>
        <v>60562.2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300207.9200000001</v>
      </c>
      <c r="E17" s="24">
        <f>Tabela13[[#This Row],[META A]]-Tabela13[[#This Row],[ATINGIDO]]</f>
        <v>-130207.9200000001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17940</v>
      </c>
      <c r="J17" s="22">
        <f>_xlfn.XLOOKUP(Tabela5[[#This Row],[VENDEDOR]],'[1]BASE PYTHON'!$H:$H,'[1]BASE PYTHON'!$I:$I,0)</f>
        <v>954.4</v>
      </c>
      <c r="K17" s="23">
        <f>Tabela5[[#This Row],[COMPROMISSO]]-Tabela5[[#This Row],[ATINGIDO]]</f>
        <v>16985.599999999999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56</v>
      </c>
      <c r="W17" s="19">
        <f t="shared" si="0"/>
        <v>-7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1049569.3999999999</v>
      </c>
      <c r="E18" s="27">
        <f>Tabela13[[#This Row],[META A]]-Tabela13[[#This Row],[ATINGIDO]]</f>
        <v>-99569.399999999907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27830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27830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49</v>
      </c>
      <c r="W18" s="19">
        <f t="shared" si="0"/>
        <v>-4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132577.90000000005</v>
      </c>
      <c r="E19" s="24">
        <f>Tabela13[[#This Row],[META A]]-Tabela13[[#This Row],[ATINGIDO]]</f>
        <v>-2577.9000000000524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12955</v>
      </c>
      <c r="J19" s="22">
        <f>_xlfn.XLOOKUP(Tabela5[[#This Row],[VENDEDOR]],'[1]BASE PYTHON'!$H:$H,'[1]BASE PYTHON'!$I:$I,0)</f>
        <v>150</v>
      </c>
      <c r="K19" s="23">
        <f>Tabela5[[#This Row],[COMPROMISSO]]-Tabela5[[#This Row],[ATINGIDO]]</f>
        <v>12805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70</v>
      </c>
      <c r="W19" s="19">
        <f t="shared" si="0"/>
        <v>-9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439462.47999999981</v>
      </c>
      <c r="E20" s="27">
        <f>Tabela13[[#This Row],[META A]]-Tabela13[[#This Row],[ATINGIDO]]</f>
        <v>120537.52000000019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30195</v>
      </c>
      <c r="J20" s="22">
        <f>_xlfn.XLOOKUP(Tabela5[[#This Row],[VENDEDOR]],'[1]BASE PYTHON'!$H:$H,'[1]BASE PYTHON'!$I:$I,0)</f>
        <v>442.7</v>
      </c>
      <c r="K20" s="23">
        <f>Tabela5[[#This Row],[COMPROMISSO]]-Tabela5[[#This Row],[ATINGIDO]]</f>
        <v>29752.3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34</v>
      </c>
      <c r="W20" s="19">
        <f t="shared" si="0"/>
        <v>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375491.24999999988</v>
      </c>
      <c r="E21" s="24">
        <f>Tabela13[[#This Row],[META A]]-Tabela13[[#This Row],[ATINGIDO]]</f>
        <v>39508.750000000116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6710</v>
      </c>
      <c r="J21" s="22">
        <f>_xlfn.XLOOKUP(Tabela5[[#This Row],[VENDEDOR]],'[1]BASE PYTHON'!$H:$H,'[1]BASE PYTHON'!$I:$I,0)</f>
        <v>1749</v>
      </c>
      <c r="K21" s="23">
        <f>Tabela5[[#This Row],[COMPROMISSO]]-Tabela5[[#This Row],[ATINGIDO]]</f>
        <v>4961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31</v>
      </c>
      <c r="W21" s="19">
        <f t="shared" ref="W21:W26" si="1">U21-V21</f>
        <v>13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94174.979999999909</v>
      </c>
      <c r="E22" s="27">
        <f>Tabela13[[#This Row],[META A]]-Tabela13[[#This Row],[ATINGIDO]]</f>
        <v>27825.020000000091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13890</v>
      </c>
      <c r="J22" s="22">
        <f>_xlfn.XLOOKUP(Tabela5[[#This Row],[VENDEDOR]],'[1]BASE PYTHON'!$H:$H,'[1]BASE PYTHON'!$I:$I,0)</f>
        <v>772.09999999999991</v>
      </c>
      <c r="K22" s="23">
        <f>Tabela5[[#This Row],[COMPROMISSO]]-Tabela5[[#This Row],[ATINGIDO]]</f>
        <v>13117.9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29</v>
      </c>
      <c r="W22" s="19">
        <f t="shared" si="1"/>
        <v>11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177616.22499999937</v>
      </c>
      <c r="E23" s="24">
        <f>Tabela13[[#This Row],[META A]]-Tabela13[[#This Row],[ATINGIDO]]</f>
        <v>17383.775000000634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15260</v>
      </c>
      <c r="J23" s="22">
        <f>_xlfn.XLOOKUP(Tabela5[[#This Row],[VENDEDOR]],'[1]BASE PYTHON'!$H:$H,'[1]BASE PYTHON'!$I:$I,0)</f>
        <v>388.4</v>
      </c>
      <c r="K23" s="23">
        <f>Tabela5[[#This Row],[COMPROMISSO]]-Tabela5[[#This Row],[ATINGIDO]]</f>
        <v>14871.6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45</v>
      </c>
      <c r="W23" s="19">
        <f t="shared" si="1"/>
        <v>10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126883.38999999991</v>
      </c>
      <c r="E24" s="27">
        <f>Tabela13[[#This Row],[META A]]-Tabela13[[#This Row],[ATINGIDO]]</f>
        <v>13116.610000000088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2975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2975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32</v>
      </c>
      <c r="W24" s="19">
        <f t="shared" si="1"/>
        <v>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135986.52999999956</v>
      </c>
      <c r="E25" s="24">
        <f>Tabela13[[#This Row],[META A]]-Tabela13[[#This Row],[ATINGIDO]]</f>
        <v>6513.4700000004377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21280</v>
      </c>
      <c r="J25" s="22">
        <f>_xlfn.XLOOKUP(Tabela5[[#This Row],[VENDEDOR]],'[1]BASE PYTHON'!$H:$H,'[1]BASE PYTHON'!$I:$I,0)</f>
        <v>302.89999999999998</v>
      </c>
      <c r="K25" s="23">
        <f>Tabela5[[#This Row],[COMPROMISSO]]-Tabela5[[#This Row],[ATINGIDO]]</f>
        <v>20977.1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539300.37999999966</v>
      </c>
      <c r="Q25" s="7">
        <f>O25-P25</f>
        <v>80017.801818182226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57</v>
      </c>
      <c r="W25" s="19">
        <f t="shared" si="1"/>
        <v>-6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73014.530000000042</v>
      </c>
      <c r="E26" s="27">
        <f>Tabela13[[#This Row],[META A]]-Tabela13[[#This Row],[ATINGIDO]]</f>
        <v>16985.469999999958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11905</v>
      </c>
      <c r="J26" s="22">
        <f>_xlfn.XLOOKUP(Tabela5[[#This Row],[VENDEDOR]],'[1]BASE PYTHON'!$H:$H,'[1]BASE PYTHON'!$I:$I,0)</f>
        <v>119.9</v>
      </c>
      <c r="K26" s="23">
        <f>Tabela5[[#This Row],[COMPROMISSO]]-Tabela5[[#This Row],[ATINGIDO]]</f>
        <v>11785.1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37</v>
      </c>
      <c r="W26" s="19">
        <f t="shared" si="1"/>
        <v>-2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233922.96999999916</v>
      </c>
      <c r="E27" s="24">
        <f>Tabela13[[#This Row],[META A]]-Tabela13[[#This Row],[ATINGIDO]]</f>
        <v>3577.0300000008428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6710</v>
      </c>
      <c r="J27" s="22">
        <f>_xlfn.XLOOKUP(Tabela5[[#This Row],[VENDEDOR]],'[1]BASE PYTHON'!$H:$H,'[1]BASE PYTHON'!$I:$I,0)</f>
        <v>1080.5</v>
      </c>
      <c r="K27" s="23">
        <f>Tabela5[[#This Row],[COMPROMISSO]]-Tabela5[[#This Row],[ATINGIDO]]</f>
        <v>5629.5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318524.76499999943</v>
      </c>
      <c r="E28" s="27">
        <f>Tabela13[[#This Row],[META A]]-Tabela13[[#This Row],[ATINGIDO]]</f>
        <v>-24.764999999431893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125620.2099999998</v>
      </c>
      <c r="E30" s="27">
        <f>Tabela13[[#This Row],[META A]]-Tabela13[[#This Row],[ATINGIDO]]</f>
        <v>8879.7900000001973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114</v>
      </c>
      <c r="W30" s="6">
        <f>U30-V30</f>
        <v>-10.63636363636364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154100.98000000004</v>
      </c>
      <c r="E31" s="24">
        <f>Tabela13[[#This Row],[META A]]-Tabela13[[#This Row],[ATINGIDO]]</f>
        <v>12899.01999999996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265751.90999999992</v>
      </c>
      <c r="K31" s="7">
        <f>I31-J31</f>
        <v>124998.09000000008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252895.93999999997</v>
      </c>
      <c r="E32" s="27">
        <f>Tabela13[[#This Row],[META A]]-Tabela13[[#This Row],[ATINGIDO]]</f>
        <v>7104.0600000000268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79025.900000000111</v>
      </c>
      <c r="E33" s="24">
        <f>Tabela13[[#This Row],[META A]]-Tabela13[[#This Row],[ATINGIDO]]</f>
        <v>20974.099999999889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698882.54000000225</v>
      </c>
      <c r="K33" s="7">
        <f t="shared" si="3"/>
        <v>-47632.540000002249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43217.71000000005</v>
      </c>
      <c r="E34" s="27">
        <f>Tabela13[[#This Row],[META A]]-Tabela13[[#This Row],[ATINGIDO]]</f>
        <v>11782.28999999995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581039.53500000481</v>
      </c>
      <c r="K34" s="7">
        <f t="shared" si="3"/>
        <v>70210.464999995194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268</v>
      </c>
      <c r="W34" s="6">
        <f>U34-V34</f>
        <v>-95.727272727272748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71253.299999999988</v>
      </c>
      <c r="E35" s="24">
        <f>Tabela13[[#This Row],[META A]]-Tabela13[[#This Row],[ATINGIDO]]</f>
        <v>1746.7000000000116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595094.78500000422</v>
      </c>
      <c r="K35" s="7">
        <f>I35-J35</f>
        <v>56155.214999995776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4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1266222.6249999946</v>
      </c>
      <c r="E43" s="7">
        <f t="shared" si="4"/>
        <v>4572.8295454599429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1134446.1649999979</v>
      </c>
      <c r="E44" s="7">
        <f t="shared" ref="E44" si="5">C44-D44</f>
        <v>136349.28954545665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2026-07-31T11:47:12Z</dcterms:modified>
</cp:coreProperties>
</file>