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74BF682-DC00-4365-B623-C03699C1FEC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1" i="2"/>
  <c r="V30" i="2"/>
  <c r="J34" i="2"/>
  <c r="V31" i="2"/>
  <c r="P24" i="2"/>
  <c r="J35" i="2"/>
  <c r="P13" i="2"/>
  <c r="D40" i="2"/>
  <c r="P21" i="2"/>
  <c r="V34" i="2"/>
  <c r="P15" i="2"/>
  <c r="D44" i="2"/>
  <c r="V33" i="2"/>
  <c r="D41" i="2"/>
  <c r="J31" i="2"/>
  <c r="P14" i="2"/>
  <c r="D43" i="2"/>
  <c r="P16" i="2"/>
  <c r="P22" i="2"/>
  <c r="P23" i="2"/>
  <c r="P17" i="2"/>
  <c r="P25" i="2"/>
  <c r="V32" i="2"/>
  <c r="J33" i="2"/>
  <c r="J32" i="2"/>
  <c r="D42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<sst xmlns="http://schemas.openxmlformats.org/spreadsheetml/2006/main" count="215" uniqueCount="54">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</sst>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28765.070000000007</v>
          </cell>
        </row>
        <row r="6">
          <cell r="E6" t="str">
            <v>CENTRO</v>
          </cell>
          <cell r="F6">
            <v>181997.80000000002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40827.235000000022</v>
          </cell>
          <cell r="K9" t="str">
            <v>CENTRO</v>
          </cell>
        </row>
        <row r="10">
          <cell r="E10" t="str">
            <v>INTERLAGOS</v>
          </cell>
          <cell r="F10">
            <v>114298.7099999998</v>
          </cell>
          <cell r="K10" t="str">
            <v>INDAIATUBA</v>
          </cell>
        </row>
        <row r="11">
          <cell r="E11" t="str">
            <v>JUNDIAI</v>
          </cell>
          <cell r="F11">
            <v>38261.190000000017</v>
          </cell>
          <cell r="K11" t="str">
            <v>INTERLAGOS</v>
          </cell>
        </row>
        <row r="12">
          <cell r="E12" t="str">
            <v>KEY ABC</v>
          </cell>
          <cell r="F12">
            <v>126444.13999999998</v>
          </cell>
          <cell r="K12" t="str">
            <v>JUNDIAI</v>
          </cell>
        </row>
        <row r="13">
          <cell r="E13" t="str">
            <v>KEY CASA</v>
          </cell>
          <cell r="F13">
            <v>220998.31999999977</v>
          </cell>
          <cell r="K13" t="str">
            <v>LESTE</v>
          </cell>
        </row>
        <row r="14">
          <cell r="E14" t="str">
            <v>KEY INTERIOR</v>
          </cell>
          <cell r="F14">
            <v>418724.09999999974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14881.550000000001</v>
          </cell>
          <cell r="K16" t="str">
            <v>LESTE TATUAPE</v>
          </cell>
        </row>
        <row r="17">
          <cell r="E17" t="str">
            <v>KEY SP</v>
          </cell>
          <cell r="F17">
            <v>179664.40000000008</v>
          </cell>
          <cell r="K17" t="str">
            <v>MOGI</v>
          </cell>
        </row>
        <row r="18">
          <cell r="E18" t="str">
            <v>KEY ZL</v>
          </cell>
          <cell r="F18">
            <v>121753.47000000002</v>
          </cell>
          <cell r="K18" t="str">
            <v>NORTE</v>
          </cell>
        </row>
        <row r="19">
          <cell r="E19" t="str">
            <v>LESTE</v>
          </cell>
          <cell r="F19">
            <v>49920.590000000047</v>
          </cell>
          <cell r="K19" t="str">
            <v>OSASCO</v>
          </cell>
        </row>
        <row r="20">
          <cell r="E20" t="str">
            <v>LESTE MOOCA</v>
          </cell>
          <cell r="F20">
            <v>82019.739999999962</v>
          </cell>
          <cell r="K20" t="str">
            <v>PIRITUBA</v>
          </cell>
        </row>
        <row r="21">
          <cell r="E21" t="str">
            <v>LESTE PENHA</v>
          </cell>
          <cell r="F21">
            <v>53271.600000000013</v>
          </cell>
          <cell r="K21" t="str">
            <v>SANTO ANDRE</v>
          </cell>
        </row>
        <row r="22">
          <cell r="E22" t="str">
            <v>LESTE TATUAPE</v>
          </cell>
          <cell r="F22">
            <v>35989.350000000057</v>
          </cell>
          <cell r="K22" t="str">
            <v>SBC</v>
          </cell>
        </row>
        <row r="23">
          <cell r="E23" t="str">
            <v>MOGI</v>
          </cell>
          <cell r="F23">
            <v>19684.420000000006</v>
          </cell>
          <cell r="K23" t="str">
            <v>SJC</v>
          </cell>
        </row>
        <row r="24">
          <cell r="E24" t="str">
            <v>NORTE</v>
          </cell>
          <cell r="F24">
            <v>95629.179999999949</v>
          </cell>
          <cell r="K24" t="str">
            <v>SJC/VALE</v>
          </cell>
        </row>
        <row r="25">
          <cell r="E25" t="str">
            <v>OSASCO</v>
          </cell>
          <cell r="F25">
            <v>138547.67499999987</v>
          </cell>
          <cell r="K25" t="str">
            <v>Total Geral</v>
          </cell>
        </row>
        <row r="26">
          <cell r="E26" t="str">
            <v>PIRITUBA</v>
          </cell>
          <cell r="F26">
            <v>56689.030000000035</v>
          </cell>
        </row>
        <row r="27">
          <cell r="E27" t="str">
            <v>SANTO ANDRE</v>
          </cell>
          <cell r="F27">
            <v>74884.439999999988</v>
          </cell>
        </row>
        <row r="28">
          <cell r="E28" t="str">
            <v>SBC</v>
          </cell>
          <cell r="F28">
            <v>108549.3299999999</v>
          </cell>
        </row>
        <row r="29">
          <cell r="E29" t="str">
            <v>SJC</v>
          </cell>
          <cell r="F29">
            <v>33706.330000000024</v>
          </cell>
        </row>
        <row r="30">
          <cell r="E30" t="str">
            <v>SJC/VALE</v>
          </cell>
          <cell r="F30">
            <v>22289.580000000009</v>
          </cell>
        </row>
        <row r="31">
          <cell r="E31" t="str">
            <v>VENDEDOR INTERNO 1</v>
          </cell>
          <cell r="F31">
            <v>32594.700000000004</v>
          </cell>
        </row>
        <row r="32">
          <cell r="E32" t="str">
            <v>Total Geral</v>
          </cell>
          <cell r="F32">
            <v>2291125.2300000032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120100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2291125.2299999995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492746.49000000005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3493374.7700000005</v>
      </c>
      <c r="D6" s="2"/>
      <c r="E6" s="4"/>
      <c r="F6" s="4"/>
      <c r="G6" s="4"/>
      <c r="H6" s="4" t="s">
        <v>2</v>
      </c>
      <c r="I6" s="7">
        <f>I4-I5</f>
        <v>120100</v>
      </c>
      <c r="J6" s="4"/>
      <c r="K6" s="4"/>
      <c r="L6" s="4"/>
      <c r="M6" s="4"/>
      <c r="N6" s="4" t="s">
        <v>2</v>
      </c>
      <c r="O6" s="7">
        <f>O4-O5</f>
        <v>30253.509999999951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0.39608008125162064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0.94215390057361381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28765.070000000007</v>
      </c>
      <c r="E10" s="25">
        <f>Tabela13[[#This Row],[META A]]-Tabela13[[#This Row],[ATINGIDO]]</f>
        <v>35734.929999999993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9910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9910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181997.80000000002</v>
      </c>
      <c r="E11" s="23">
        <f>Tabela13[[#This Row],[META A]]-Tabela13[[#This Row],[ATINGIDO]]</f>
        <v>148002.19999999998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5320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5320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67278.899999999994</v>
      </c>
      <c r="Q11" s="2">
        <f>Tabela8[[#This Row],[COMPROMISSO]]-Tabela8[[#This Row],[ATINGIDO]]</f>
        <v>2221.1000000000058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6730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6730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40827.235000000022</v>
      </c>
      <c r="E13" s="23">
        <f>Tabela13[[#This Row],[META A]]-Tabela13[[#This Row],[ATINGIDO]]</f>
        <v>49172.764999999978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9640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9640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53859.060000000012</v>
      </c>
      <c r="Q13" s="2">
        <f>Tabela8[[#This Row],[COMPROMISSO]]-Tabela8[[#This Row],[ATINGIDO]]</f>
        <v>45140.939999999988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114298.7099999998</v>
      </c>
      <c r="E14" s="25">
        <f>Tabela13[[#This Row],[META A]]-Tabela13[[#This Row],[ATINGIDO]]</f>
        <v>158701.29000000021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9770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9770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184950</v>
      </c>
      <c r="Q14" s="2">
        <f>Tabela8[[#This Row],[COMPROMISSO]]-Tabela8[[#This Row],[ATINGIDO]]</f>
        <v>-24950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38261.190000000017</v>
      </c>
      <c r="E15" s="23">
        <f>Tabela13[[#This Row],[META A]]-Tabela13[[#This Row],[ATINGIDO]]</f>
        <v>39738.809999999983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13240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13240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78766.899999999994</v>
      </c>
      <c r="Q15" s="2">
        <f>Tabela8[[#This Row],[COMPROMISSO]]-Tabela8[[#This Row],[ATINGIDO]]</f>
        <v>53233.100000000006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126444.13999999998</v>
      </c>
      <c r="E16" s="25">
        <f>Tabela13[[#This Row],[META A]]-Tabela13[[#This Row],[ATINGIDO]]</f>
        <v>223555.86000000002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4170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4170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12656.2</v>
      </c>
      <c r="Q16" s="2">
        <f>Tabela8[[#This Row],[COMPROMISSO]]-Tabela8[[#This Row],[ATINGIDO]]</f>
        <v>-12656.2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6150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6150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95235.430000000066</v>
      </c>
      <c r="Q17" s="2">
        <f>Tabela8[[#This Row],[COMPROMISSO]]-Tabela8[[#This Row],[ATINGIDO]]</f>
        <v>-32735.430000000066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418724.09999999974</v>
      </c>
      <c r="E18" s="25">
        <f>Tabela13[[#This Row],[META A]]-Tabela13[[#This Row],[ATINGIDO]]</f>
        <v>561275.90000000026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3860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3860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14881.550000000001</v>
      </c>
      <c r="E19" s="23">
        <f>Tabela13[[#This Row],[META A]]-Tabela13[[#This Row],[ATINGIDO]]</f>
        <v>127118.45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10980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10980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179664.40000000008</v>
      </c>
      <c r="E20" s="25">
        <f>Tabela13[[#This Row],[META A]]-Tabela13[[#This Row],[ATINGIDO]]</f>
        <v>380335.59999999992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14400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14400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121753.47000000002</v>
      </c>
      <c r="E21" s="23">
        <f>Tabela13[[#This Row],[META A]]-Tabela13[[#This Row],[ATINGIDO]]</f>
        <v>303246.52999999997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3700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3700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49920.590000000047</v>
      </c>
      <c r="E22" s="25">
        <f>Tabela13[[#This Row],[META A]]-Tabela13[[#This Row],[ATINGIDO]]</f>
        <v>72079.409999999945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7860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7860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492746.48999999941</v>
      </c>
      <c r="Q22" s="7">
        <f>O22-P22</f>
        <v>192253.51000000059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82019.739999999962</v>
      </c>
      <c r="E23" s="23">
        <f>Tabela13[[#This Row],[META A]]-Tabela13[[#This Row],[ATINGIDO]]</f>
        <v>117980.26000000004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3270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3270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53271.600000000013</v>
      </c>
      <c r="E24" s="25">
        <f>Tabela13[[#This Row],[META A]]-Tabela13[[#This Row],[ATINGIDO]]</f>
        <v>91728.4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3650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3650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35989.350000000057</v>
      </c>
      <c r="E25" s="23">
        <f>Tabela13[[#This Row],[META A]]-Tabela13[[#This Row],[ATINGIDO]]</f>
        <v>111010.64999999994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1530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19684.420000000006</v>
      </c>
      <c r="E26" s="25">
        <f>Tabela13[[#This Row],[META A]]-Tabela13[[#This Row],[ATINGIDO]]</f>
        <v>70315.579999999987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2290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2290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95629.179999999949</v>
      </c>
      <c r="E27" s="23">
        <f>Tabela13[[#This Row],[META A]]-Tabela13[[#This Row],[ATINGIDO]]</f>
        <v>146370.82000000007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3630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3630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138547.67499999987</v>
      </c>
      <c r="E28" s="25">
        <f>Tabela13[[#This Row],[META A]]-Tabela13[[#This Row],[ATINGIDO]]</f>
        <v>184952.32500000013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56689.030000000035</v>
      </c>
      <c r="E30" s="25">
        <f>Tabela13[[#This Row],[META A]]-Tabela13[[#This Row],[ATINGIDO]]</f>
        <v>82810.969999999972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74884.439999999988</v>
      </c>
      <c r="E31" s="23">
        <f>Tabela13[[#This Row],[META A]]-Tabela13[[#This Row],[ATINGIDO]]</f>
        <v>92115.560000000012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575694.77000000479</v>
      </c>
      <c r="K31" s="7">
        <f>I31-J31</f>
        <v>116329.03952380468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238</v>
      </c>
      <c r="W31" s="6">
        <f t="shared" ref="W31:W33" si="2">U31-V31</f>
        <v>-51.571428571428584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108549.3299999999</v>
      </c>
      <c r="E32" s="25">
        <f>Tabela13[[#This Row],[META A]]-Tabela13[[#This Row],[ATINGIDO]]</f>
        <v>156450.6700000001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550211.46000000217</v>
      </c>
      <c r="K32" s="7">
        <f t="shared" ref="K32:K34" si="3">I32-J32</f>
        <v>141812.34952380729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33706.330000000024</v>
      </c>
      <c r="E33" s="23">
        <f>Tabela13[[#This Row],[META A]]-Tabela13[[#This Row],[ATINGIDO]]</f>
        <v>66293.669999999984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22289.580000000009</v>
      </c>
      <c r="E34" s="25">
        <f>Tabela13[[#This Row],[META A]]-Tabela13[[#This Row],[ATINGIDO]]</f>
        <v>32710.419999999991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32594.700000000004</v>
      </c>
      <c r="E35" s="23">
        <f>Tabela13[[#This Row],[META A]]-Tabela13[[#This Row],[ATINGIDO]]</f>
        <v>42405.299999999996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1087264.6199999994</v>
      </c>
      <c r="E41" s="7">
        <f t="shared" ref="E41:E43" si="4">C41-D41</f>
        <v>289997.28476190544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2026-08-14T10:12:16Z</dcterms:modified>
</cp:coreProperties>
</file>