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E88B4DB-0F4F-464A-8DB8-CE7A878F491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5" i="2"/>
  <c r="V16" i="2"/>
  <c r="V18" i="2"/>
  <c r="V20" i="2"/>
  <c r="V25" i="2"/>
  <c r="V26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10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D42" i="2"/>
  <c r="V32" i="2"/>
  <c r="V33" i="2"/>
  <c r="P17" i="2"/>
  <c r="V34" i="2"/>
  <c r="P15" i="2"/>
  <c r="P25" i="2"/>
  <c r="P22" i="2"/>
  <c r="J35" i="2"/>
  <c r="V30" i="2"/>
  <c r="D44" i="2"/>
  <c r="D41" i="2"/>
  <c r="D40" i="2"/>
  <c r="V31" i="2"/>
  <c r="P13" i="2"/>
  <c r="J32" i="2"/>
  <c r="J33" i="2"/>
  <c r="P14" i="2"/>
  <c r="P24" i="2"/>
  <c r="P23" i="2"/>
  <c r="P21" i="2"/>
  <c r="J31" i="2"/>
  <c r="P12" i="2"/>
  <c r="P16" i="2"/>
  <c r="D43" i="2"/>
  <c r="J34" i="2"/>
  <c r="P11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J17" i="2" l="1"/>
  <c r="K17" i="2" s="1"/>
  <c r="J26" i="2"/>
  <c r="K26" i="2" s="1"/>
  <c r="J13" i="2"/>
  <c r="K13" i="2" s="1"/>
  <c r="J10" i="2"/>
  <c r="J22" i="2"/>
  <c r="K22" i="2" s="1"/>
  <c r="J20" i="2"/>
  <c r="K20" i="2" s="1"/>
  <c r="J21" i="2"/>
  <c r="K21" i="2" s="1"/>
  <c r="J25" i="2"/>
  <c r="K25" i="2" s="1"/>
  <c r="J19" i="2"/>
  <c r="K19" i="2" s="1"/>
  <c r="J16" i="2"/>
  <c r="K16" i="2" s="1"/>
  <c r="J14" i="2"/>
  <c r="K14" i="2" s="1"/>
  <c r="J15" i="2"/>
  <c r="K15" i="2" s="1"/>
  <c r="J12" i="2"/>
  <c r="K12" i="2" s="1"/>
  <c r="J11" i="2"/>
  <c r="K11" i="2" s="1"/>
  <c r="J27" i="2"/>
  <c r="K27" i="2" s="1"/>
  <c r="J23" i="2"/>
  <c r="K23" i="2" s="1"/>
  <c r="J24" i="2"/>
  <c r="K24" i="2" s="1"/>
  <c r="K10" i="2" l="1"/>
  <c r="W15" i="2" l="1"/>
  <c r="W18" i="2"/>
  <c r="W16" i="2"/>
  <c r="W10" i="2" l="1"/>
  <c r="V23" i="2" l="1"/>
  <c r="V13" i="2"/>
  <c r="V14" i="2"/>
  <c r="V17" i="2"/>
  <c r="V19" i="2"/>
  <c r="V22" i="2"/>
  <c r="W22" i="2" s="1"/>
  <c r="V21" i="2"/>
  <c r="W21" i="2" s="1"/>
  <c r="V24" i="2"/>
  <c r="W24" i="2" s="1"/>
  <c r="W14" i="2"/>
  <c r="W19" i="2"/>
  <c r="W20" i="2"/>
  <c r="W26" i="2"/>
  <c r="W12" i="2"/>
  <c r="W25" i="2"/>
  <c r="W13" i="2"/>
  <c r="W11" i="2"/>
  <c r="W17" i="2"/>
  <c r="W23" i="2"/>
  <c r="U5" i="2" l="1"/>
  <c r="U6" i="2" s="1"/>
  <c r="U7" i="2" s="1"/>
  <c r="J18" i="2" l="1"/>
  <c r="K18" i="2" l="1"/>
  <c r="I5" i="2"/>
  <c r="I6" i="2" s="1"/>
  <c r="I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ATA].&amp;[2026-10-05T00:00:00]}"/>
    <s v="{[Intervalo 2].[DES_TIPO_OPERACAO].&amp;[VENDA]}"/>
    <s v="{[Intervalo 2].[PRODUTO].&amp;[MIST PAO DA FAZENDA VIAPANE 10KG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<sst xmlns="http://schemas.openxmlformats.org/spreadsheetml/2006/main" count="273" uniqueCount="62">
  <si>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</si>
  <si>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</si>
  <si>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</si>
  <si>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</si>
  <si>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</si>
  <si>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</si>
  <si>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</si>
  <si>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</si>
  <si>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</si>
  <si>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</si>
  <si>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</si>
  <si>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</si>
  <si>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</si>
  <si>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</si>
  <si>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</si>
  <si>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</si>
  <si>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</si>
  <si>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</si>
  <si>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</si>
  <si>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</si>
  <si>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</si>
  <si>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</si>
  <si>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</si>
  <si>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</si>
  <si>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</si>
  <si>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</si>
  <si>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</si>
  <si>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</si>
  <si>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</si>
  <si>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</si>
  <si>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</si>
  <si>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</si>
  <si>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</si>
  <si>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</si>
  <si>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</si>
  <si>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</si>
  <si>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</si>
  <si>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</si>
  <si>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</si>
  <si>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</si>
  <si>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</si>
  <si>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</si>
  <si>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</si>
  <si>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</si>
  <si>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</si>
  <si>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</si>
  <si>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</si>
  <si>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</si>
  <si>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</si>
  <si>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</si>
  <si>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</si>
  <si>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</si>
  <si>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</si>
  <si>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</si>
  <si>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</si>
  <si>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</si>
  <si>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</si>
  <si>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</si>
  <si>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</si>
  <si>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</si>
  <si>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</si>
  <si>
    <t>POSITIVACAO PAO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</si>
</sst>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4</v>
          </cell>
          <cell r="M1">
            <v>118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05/10/2026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3">
            <v>VENDA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4">
            <v>MIST PAO DA FAZENDA VIAPANE 10KG</v>
          </cell>
          <cell r="P4" t="str">
            <v>Soma de TOTAL</v>
          </cell>
        </row>
        <row r="5">
          <cell r="E5" t="str">
            <v>CAMPINAS</v>
          </cell>
          <cell r="F5">
            <v>4765.8999999999996</v>
          </cell>
          <cell r="H5" t="str">
            <v>CAMPINAS</v>
          </cell>
          <cell r="I5">
            <v>3066.15</v>
          </cell>
        </row>
        <row r="6">
          <cell r="E6" t="str">
            <v>CENTRO</v>
          </cell>
          <cell r="F6">
            <v>59621.760000000031</v>
          </cell>
          <cell r="H6" t="str">
            <v>CENTRO</v>
          </cell>
          <cell r="I6">
            <v>33708.730000000003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IATAGAM JUNIOR</v>
          </cell>
          <cell r="F7">
            <v>0.1</v>
          </cell>
          <cell r="H7" t="str">
            <v>IATAGAM JUNIOR</v>
          </cell>
          <cell r="I7">
            <v>0.1</v>
          </cell>
          <cell r="K7" t="str">
            <v>Rótulos de Linha</v>
          </cell>
          <cell r="L7" t="str">
            <v>ACUMULADO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10293.6</v>
          </cell>
          <cell r="H8" t="str">
            <v>INDAIATUBA</v>
          </cell>
          <cell r="I8">
            <v>8426.4499999999989</v>
          </cell>
          <cell r="K8" t="str">
            <v>INTERLAGOS</v>
          </cell>
          <cell r="L8">
            <v>2</v>
          </cell>
          <cell r="M8">
            <v>3</v>
          </cell>
          <cell r="N8">
            <v>5</v>
          </cell>
        </row>
        <row r="9">
          <cell r="E9" t="str">
            <v>INTERLAGOS</v>
          </cell>
          <cell r="F9">
            <v>31839.209999999995</v>
          </cell>
          <cell r="H9" t="str">
            <v>INTERLAGOS</v>
          </cell>
          <cell r="I9">
            <v>18447.749999999985</v>
          </cell>
          <cell r="K9" t="str">
            <v>JUNDIAI</v>
          </cell>
          <cell r="L9">
            <v>1</v>
          </cell>
          <cell r="N9">
            <v>1</v>
          </cell>
        </row>
        <row r="10">
          <cell r="E10" t="str">
            <v>JUNDIAI</v>
          </cell>
          <cell r="F10">
            <v>11111.86</v>
          </cell>
          <cell r="H10" t="str">
            <v>JUNDIAI</v>
          </cell>
          <cell r="I10">
            <v>3433.25</v>
          </cell>
          <cell r="K10" t="str">
            <v>LESTE MOOCA</v>
          </cell>
          <cell r="L10">
            <v>2</v>
          </cell>
          <cell r="M10">
            <v>2</v>
          </cell>
          <cell r="N10">
            <v>4</v>
          </cell>
        </row>
        <row r="11">
          <cell r="E11" t="str">
            <v>KEY ABC</v>
          </cell>
          <cell r="F11">
            <v>2017.1999999999998</v>
          </cell>
          <cell r="H11" t="str">
            <v>KEY ABC</v>
          </cell>
          <cell r="I11">
            <v>0.6</v>
          </cell>
          <cell r="K11" t="str">
            <v>OSASCO</v>
          </cell>
          <cell r="L11">
            <v>5</v>
          </cell>
          <cell r="M11">
            <v>6</v>
          </cell>
          <cell r="N11">
            <v>11</v>
          </cell>
        </row>
        <row r="12">
          <cell r="E12" t="str">
            <v>KEY CASA</v>
          </cell>
          <cell r="F12">
            <v>12150</v>
          </cell>
          <cell r="H12" t="str">
            <v>KEY CASA</v>
          </cell>
          <cell r="I12">
            <v>8666.7999999999993</v>
          </cell>
          <cell r="K12" t="str">
            <v>PIRITUBA</v>
          </cell>
          <cell r="M12">
            <v>1</v>
          </cell>
          <cell r="N12">
            <v>1</v>
          </cell>
        </row>
        <row r="13">
          <cell r="E13" t="str">
            <v>KEY INTERIOR</v>
          </cell>
          <cell r="F13">
            <v>7672</v>
          </cell>
          <cell r="H13" t="str">
            <v>KEY INTERIOR</v>
          </cell>
          <cell r="I13">
            <v>0</v>
          </cell>
          <cell r="K13" t="str">
            <v>SANTO ANDRE</v>
          </cell>
          <cell r="M13">
            <v>2</v>
          </cell>
          <cell r="N13">
            <v>2</v>
          </cell>
        </row>
        <row r="14">
          <cell r="E14" t="str">
            <v>KEY SJC</v>
          </cell>
          <cell r="F14">
            <v>4315.6000000000004</v>
          </cell>
          <cell r="H14" t="str">
            <v>KEY SJC</v>
          </cell>
          <cell r="I14">
            <v>4315.6000000000004</v>
          </cell>
          <cell r="K14" t="str">
            <v>SBC</v>
          </cell>
          <cell r="L14">
            <v>2</v>
          </cell>
          <cell r="M14">
            <v>2</v>
          </cell>
          <cell r="N14">
            <v>4</v>
          </cell>
        </row>
        <row r="15">
          <cell r="E15" t="str">
            <v>KEY SP</v>
          </cell>
          <cell r="F15">
            <v>15188.2</v>
          </cell>
          <cell r="H15" t="str">
            <v>KEY SP</v>
          </cell>
          <cell r="I15">
            <v>13814.5</v>
          </cell>
          <cell r="K15" t="str">
            <v>SJC</v>
          </cell>
          <cell r="M15">
            <v>1</v>
          </cell>
          <cell r="N15">
            <v>1</v>
          </cell>
        </row>
        <row r="16">
          <cell r="E16" t="str">
            <v>KEY ZL</v>
          </cell>
          <cell r="F16">
            <v>40356.879999999961</v>
          </cell>
          <cell r="H16" t="str">
            <v>KEY ZL</v>
          </cell>
          <cell r="I16">
            <v>34294.479999999967</v>
          </cell>
          <cell r="K16" t="str">
            <v>Total Geral</v>
          </cell>
          <cell r="L16">
            <v>12</v>
          </cell>
          <cell r="M16">
            <v>17</v>
          </cell>
          <cell r="N16">
            <v>29</v>
          </cell>
        </row>
        <row r="17">
          <cell r="E17" t="str">
            <v>LESTE MOOCA</v>
          </cell>
          <cell r="F17">
            <v>20124.039999999997</v>
          </cell>
          <cell r="H17" t="str">
            <v>LESTE MOOCA</v>
          </cell>
          <cell r="I17">
            <v>13425.569999999992</v>
          </cell>
        </row>
        <row r="18">
          <cell r="E18" t="str">
            <v>LESTE PENHA</v>
          </cell>
          <cell r="F18">
            <v>24013.129999999997</v>
          </cell>
          <cell r="H18" t="str">
            <v>LESTE PENHA</v>
          </cell>
          <cell r="I18">
            <v>14168.78</v>
          </cell>
        </row>
        <row r="19">
          <cell r="E19" t="str">
            <v>LESTE TATUAPE</v>
          </cell>
          <cell r="F19">
            <v>12662.729999999998</v>
          </cell>
          <cell r="H19" t="str">
            <v>LESTE TATUAPE</v>
          </cell>
          <cell r="I19">
            <v>10169.540000000001</v>
          </cell>
        </row>
        <row r="20">
          <cell r="E20" t="str">
            <v>MOGI</v>
          </cell>
          <cell r="F20">
            <v>3489.02</v>
          </cell>
          <cell r="H20" t="str">
            <v>MOGI</v>
          </cell>
          <cell r="I20">
            <v>2463.46</v>
          </cell>
        </row>
        <row r="21">
          <cell r="E21" t="str">
            <v>NORTE</v>
          </cell>
          <cell r="F21">
            <v>37419.410000000025</v>
          </cell>
          <cell r="H21" t="str">
            <v>NORTE</v>
          </cell>
          <cell r="I21">
            <v>23647.030000000006</v>
          </cell>
        </row>
        <row r="22">
          <cell r="E22" t="str">
            <v>OSASCO</v>
          </cell>
          <cell r="F22">
            <v>52714.710000000036</v>
          </cell>
          <cell r="H22" t="str">
            <v>OSASCO</v>
          </cell>
          <cell r="I22">
            <v>28873.699999999993</v>
          </cell>
        </row>
        <row r="23">
          <cell r="E23" t="str">
            <v>PIRITUBA</v>
          </cell>
          <cell r="F23">
            <v>15519.85</v>
          </cell>
          <cell r="H23" t="str">
            <v>PIRITUBA</v>
          </cell>
          <cell r="I23">
            <v>9543.8000000000011</v>
          </cell>
        </row>
        <row r="24">
          <cell r="E24" t="str">
            <v>SANTO ANDRE</v>
          </cell>
          <cell r="F24">
            <v>20117.779999999992</v>
          </cell>
          <cell r="H24" t="str">
            <v>SANTO ANDRE</v>
          </cell>
          <cell r="I24">
            <v>16105.800000000005</v>
          </cell>
        </row>
        <row r="25">
          <cell r="E25" t="str">
            <v>SBC</v>
          </cell>
          <cell r="F25">
            <v>32294.459999999985</v>
          </cell>
          <cell r="H25" t="str">
            <v>SBC</v>
          </cell>
          <cell r="I25">
            <v>13145.130000000003</v>
          </cell>
        </row>
        <row r="26">
          <cell r="E26" t="str">
            <v>SJC</v>
          </cell>
          <cell r="F26">
            <v>12237.629999999997</v>
          </cell>
          <cell r="H26" t="str">
            <v>SJC</v>
          </cell>
          <cell r="I26">
            <v>9210.7599999999984</v>
          </cell>
        </row>
        <row r="27">
          <cell r="E27" t="str">
            <v>SJC/VALE</v>
          </cell>
          <cell r="F27">
            <v>6469.4299999999976</v>
          </cell>
          <cell r="H27" t="str">
            <v>SJC/VALE</v>
          </cell>
          <cell r="I27">
            <v>3624.6000000000004</v>
          </cell>
        </row>
        <row r="28">
          <cell r="E28" t="str">
            <v>VENDEDOR INTERNO 1</v>
          </cell>
          <cell r="F28">
            <v>8237.1200000000008</v>
          </cell>
          <cell r="H28" t="str">
            <v>VENDEDOR INTERNO 1</v>
          </cell>
          <cell r="I28">
            <v>7909.1</v>
          </cell>
          <cell r="K28" t="str">
            <v>POSITIVAÇÃO GERAL</v>
          </cell>
        </row>
        <row r="29">
          <cell r="E29" t="str">
            <v>Total Geral</v>
          </cell>
          <cell r="F29">
            <v>444631.62000000151</v>
          </cell>
          <cell r="H29" t="str">
            <v>Total Geral</v>
          </cell>
          <cell r="I29">
            <v>280461.68000000069</v>
          </cell>
          <cell r="K29" t="str">
            <v>DATA</v>
          </cell>
          <cell r="L29" t="str" vm="1">
            <v>All</v>
          </cell>
        </row>
        <row r="30">
          <cell r="K30" t="str">
            <v>DES_TIPO_OPERACAO</v>
          </cell>
          <cell r="L30" t="str" vm="3">
            <v>VENDA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L34">
            <v>3</v>
          </cell>
          <cell r="M34">
            <v>27</v>
          </cell>
          <cell r="N34">
            <v>30</v>
          </cell>
        </row>
        <row r="35">
          <cell r="K35" t="str">
            <v>Total Geral</v>
          </cell>
          <cell r="L35">
            <v>3</v>
          </cell>
          <cell r="M35">
            <v>27</v>
          </cell>
          <cell r="N35">
            <v>30</v>
          </cell>
        </row>
        <row r="39">
          <cell r="A39" t="str">
            <v>CAMPINAS</v>
          </cell>
          <cell r="B39">
            <v>6810</v>
          </cell>
        </row>
        <row r="40">
          <cell r="A40" t="str">
            <v>CENTRO</v>
          </cell>
          <cell r="B40">
            <v>32180</v>
          </cell>
        </row>
        <row r="41">
          <cell r="A41" t="str">
            <v>INDAIATUBA</v>
          </cell>
          <cell r="B41">
            <v>15240</v>
          </cell>
        </row>
        <row r="42">
          <cell r="A42" t="str">
            <v>INTERLAGOS</v>
          </cell>
          <cell r="B42">
            <v>25860</v>
          </cell>
        </row>
        <row r="43">
          <cell r="A43" t="str">
            <v>JUNDIAI</v>
          </cell>
          <cell r="B43">
            <v>4890</v>
          </cell>
        </row>
        <row r="44">
          <cell r="A44" t="str">
            <v>LESTE MOOCA</v>
          </cell>
          <cell r="B44">
            <v>18810</v>
          </cell>
        </row>
        <row r="45">
          <cell r="A45" t="str">
            <v>LESTE PENHA</v>
          </cell>
          <cell r="B45">
            <v>21810</v>
          </cell>
        </row>
        <row r="46">
          <cell r="A46" t="str">
            <v>LESTE TATUAPE</v>
          </cell>
          <cell r="B46">
            <v>19910</v>
          </cell>
        </row>
        <row r="47">
          <cell r="A47" t="str">
            <v>MOGI</v>
          </cell>
          <cell r="B47">
            <v>10200</v>
          </cell>
          <cell r="P47" t="str">
            <v>Soma de TOTAL</v>
          </cell>
        </row>
        <row r="48">
          <cell r="A48" t="str">
            <v>NORTE</v>
          </cell>
          <cell r="B48">
            <v>25040</v>
          </cell>
        </row>
        <row r="49">
          <cell r="A49" t="str">
            <v>OSASCO</v>
          </cell>
          <cell r="B49">
            <v>27520</v>
          </cell>
        </row>
        <row r="50">
          <cell r="A50" t="str">
            <v>PIRITUBA</v>
          </cell>
          <cell r="B50">
            <v>15210</v>
          </cell>
        </row>
        <row r="51">
          <cell r="A51" t="str">
            <v>SANTO ANDRE</v>
          </cell>
          <cell r="B51">
            <v>17760</v>
          </cell>
        </row>
        <row r="52">
          <cell r="A52" t="str">
            <v>SBC</v>
          </cell>
          <cell r="B52">
            <v>23160</v>
          </cell>
        </row>
        <row r="53">
          <cell r="A53" t="str">
            <v>SJC</v>
          </cell>
          <cell r="B53">
            <v>15120</v>
          </cell>
        </row>
        <row r="54">
          <cell r="A54" t="str">
            <v>SJC/VALE</v>
          </cell>
          <cell r="B54">
            <v>8690</v>
          </cell>
        </row>
        <row r="55">
          <cell r="A55" t="str">
            <v>VENDEDOR INTERNO 1</v>
          </cell>
          <cell r="B55">
            <v>12050</v>
          </cell>
        </row>
        <row r="63">
          <cell r="A63" t="str">
            <v>OSASCO</v>
          </cell>
          <cell r="B63">
            <v>35</v>
          </cell>
        </row>
        <row r="64">
          <cell r="A64" t="str">
            <v>NORTE</v>
          </cell>
          <cell r="B64">
            <v>35</v>
          </cell>
        </row>
        <row r="65">
          <cell r="A65" t="str">
            <v>PIRITUBA</v>
          </cell>
          <cell r="B65">
            <v>35</v>
          </cell>
        </row>
        <row r="66">
          <cell r="A66" t="str">
            <v>SBC</v>
          </cell>
          <cell r="B66">
            <v>35</v>
          </cell>
        </row>
        <row r="67">
          <cell r="A67" t="str">
            <v>LESTE TATUAPE</v>
          </cell>
          <cell r="B67">
            <v>35</v>
          </cell>
        </row>
        <row r="68">
          <cell r="A68" t="str">
            <v>CENTRO</v>
          </cell>
          <cell r="B68">
            <v>35</v>
          </cell>
        </row>
        <row r="69">
          <cell r="A69" t="str">
            <v>SANTO ANDRE</v>
          </cell>
          <cell r="B69">
            <v>35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0</v>
          </cell>
        </row>
        <row r="72">
          <cell r="A72" t="str">
            <v>LESTE MOOCA</v>
          </cell>
          <cell r="B72">
            <v>35</v>
          </cell>
        </row>
        <row r="73">
          <cell r="A73" t="str">
            <v>INTERLAGOS</v>
          </cell>
          <cell r="B73">
            <v>35</v>
          </cell>
        </row>
        <row r="74">
          <cell r="A74" t="str">
            <v>JUNDIAI</v>
          </cell>
          <cell r="B74">
            <v>35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35</v>
          </cell>
        </row>
        <row r="77">
          <cell r="A77" t="str">
            <v>SJC</v>
          </cell>
          <cell r="B77">
            <v>35</v>
          </cell>
        </row>
        <row r="78">
          <cell r="A78" t="str">
            <v>SJC/VALE</v>
          </cell>
          <cell r="B78">
            <v>35</v>
          </cell>
        </row>
        <row r="79">
          <cell r="A79" t="str">
            <v>CAMPINAS</v>
          </cell>
          <cell r="B79">
            <v>35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14</v>
          </cell>
          <cell r="F136">
            <v>1</v>
          </cell>
          <cell r="H136" t="str">
            <v>D</v>
          </cell>
          <cell r="I136">
            <v>13</v>
          </cell>
        </row>
        <row r="137">
          <cell r="E137">
            <v>36</v>
          </cell>
          <cell r="F137">
            <v>30</v>
          </cell>
          <cell r="H137" t="str">
            <v>D</v>
          </cell>
          <cell r="I137">
            <v>6</v>
          </cell>
        </row>
        <row r="138">
          <cell r="E138">
            <v>14</v>
          </cell>
          <cell r="F138" t="e">
            <v>#N/A</v>
          </cell>
          <cell r="H138" t="e">
            <v>#N/A</v>
          </cell>
          <cell r="I138" t="e">
            <v>#N/A</v>
          </cell>
        </row>
        <row r="139">
          <cell r="E139">
            <v>14</v>
          </cell>
          <cell r="F139">
            <v>11</v>
          </cell>
          <cell r="H139" t="str">
            <v>D</v>
          </cell>
          <cell r="I139">
            <v>3</v>
          </cell>
        </row>
        <row r="140">
          <cell r="E140">
            <v>14</v>
          </cell>
          <cell r="F140">
            <v>5</v>
          </cell>
          <cell r="H140" t="str">
            <v>D</v>
          </cell>
          <cell r="I140">
            <v>9</v>
          </cell>
        </row>
        <row r="141">
          <cell r="E141">
            <v>14</v>
          </cell>
          <cell r="F141">
            <v>4</v>
          </cell>
          <cell r="H141" t="str">
            <v>D</v>
          </cell>
          <cell r="I141">
            <v>10</v>
          </cell>
        </row>
        <row r="142">
          <cell r="E142">
            <v>14</v>
          </cell>
          <cell r="F142">
            <v>2</v>
          </cell>
          <cell r="H142" t="str">
            <v>D</v>
          </cell>
          <cell r="I142">
            <v>12</v>
          </cell>
        </row>
        <row r="143">
          <cell r="E143">
            <v>14</v>
          </cell>
          <cell r="F143" t="e">
            <v>#N/A</v>
          </cell>
          <cell r="H143" t="e">
            <v>#N/A</v>
          </cell>
          <cell r="I143" t="e">
            <v>#N/A</v>
          </cell>
        </row>
        <row r="144">
          <cell r="E144">
            <v>0</v>
          </cell>
          <cell r="F144" t="e">
            <v>#N/A</v>
          </cell>
          <cell r="H144" t="e">
            <v>#N/A</v>
          </cell>
          <cell r="I144" t="e">
            <v>#N/A</v>
          </cell>
        </row>
        <row r="145">
          <cell r="E145">
            <v>14</v>
          </cell>
          <cell r="F145" t="e">
            <v>#N/A</v>
          </cell>
          <cell r="H145" t="e">
            <v>#N/A</v>
          </cell>
          <cell r="I145" t="e">
            <v>#N/A</v>
          </cell>
        </row>
        <row r="146">
          <cell r="E146">
            <v>14</v>
          </cell>
          <cell r="F146" t="e">
            <v>#N/A</v>
          </cell>
          <cell r="H146" t="e">
            <v>#N/A</v>
          </cell>
          <cell r="I146" t="e">
            <v>#N/A</v>
          </cell>
        </row>
        <row r="147">
          <cell r="E147">
            <v>14</v>
          </cell>
          <cell r="F147" t="e">
            <v>#N/A</v>
          </cell>
          <cell r="H147" t="e">
            <v>#N/A</v>
          </cell>
          <cell r="I147" t="e">
            <v>#N/A</v>
          </cell>
        </row>
        <row r="148">
          <cell r="E148">
            <v>14</v>
          </cell>
          <cell r="F148">
            <v>1</v>
          </cell>
          <cell r="H148" t="str">
            <v>D</v>
          </cell>
          <cell r="I148">
            <v>13</v>
          </cell>
        </row>
        <row r="149">
          <cell r="E149">
            <v>14</v>
          </cell>
          <cell r="F149">
            <v>1</v>
          </cell>
          <cell r="H149" t="str">
            <v>D</v>
          </cell>
          <cell r="I149">
            <v>13</v>
          </cell>
        </row>
        <row r="150">
          <cell r="E150">
            <v>14</v>
          </cell>
          <cell r="F150" t="e">
            <v>#N/A</v>
          </cell>
          <cell r="H150" t="e">
            <v>#N/A</v>
          </cell>
          <cell r="I150" t="e">
            <v>#N/A</v>
          </cell>
        </row>
        <row r="151">
          <cell r="E151">
            <v>14</v>
          </cell>
          <cell r="F151">
            <v>4</v>
          </cell>
          <cell r="H151" t="str">
            <v>D</v>
          </cell>
          <cell r="I151">
            <v>10</v>
          </cell>
        </row>
        <row r="152">
          <cell r="E152">
            <v>14</v>
          </cell>
          <cell r="F152" t="e">
            <v>#N/A</v>
          </cell>
          <cell r="H152" t="e">
            <v>#N/A</v>
          </cell>
          <cell r="I152" t="e">
            <v>#N/A</v>
          </cell>
        </row>
        <row r="153">
          <cell r="E153">
            <v>14</v>
          </cell>
          <cell r="F153" t="e">
            <v>#N/A</v>
          </cell>
          <cell r="H153" t="e">
            <v>#N/A</v>
          </cell>
          <cell r="I153" t="e">
            <v>#N/A</v>
          </cell>
        </row>
        <row r="154">
          <cell r="E154">
            <v>260</v>
          </cell>
          <cell r="F154" t="e">
            <v>#N/A</v>
          </cell>
          <cell r="I154" t="e">
            <v>#N/A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39600</v>
          </cell>
          <cell r="F159">
            <v>12237.629999999997</v>
          </cell>
          <cell r="H159" t="str">
            <v>D</v>
          </cell>
          <cell r="I159">
            <v>27362.370000000003</v>
          </cell>
        </row>
        <row r="160">
          <cell r="E160">
            <v>35550</v>
          </cell>
          <cell r="F160">
            <v>8237.1200000000008</v>
          </cell>
          <cell r="H160" t="str">
            <v>D</v>
          </cell>
          <cell r="I160">
            <v>27312.879999999997</v>
          </cell>
        </row>
        <row r="161">
          <cell r="E161">
            <v>155250</v>
          </cell>
          <cell r="F161">
            <v>59621.760000000031</v>
          </cell>
          <cell r="H161" t="str">
            <v>D</v>
          </cell>
          <cell r="I161">
            <v>95628.239999999962</v>
          </cell>
        </row>
        <row r="162">
          <cell r="E162">
            <v>149175</v>
          </cell>
          <cell r="F162">
            <v>52714.710000000036</v>
          </cell>
          <cell r="H162" t="str">
            <v>D</v>
          </cell>
          <cell r="I162">
            <v>96460.289999999964</v>
          </cell>
        </row>
        <row r="163">
          <cell r="E163">
            <v>126450</v>
          </cell>
          <cell r="F163">
            <v>31839.209999999995</v>
          </cell>
          <cell r="H163" t="str">
            <v>D</v>
          </cell>
          <cell r="I163">
            <v>94610.790000000008</v>
          </cell>
        </row>
        <row r="164">
          <cell r="E164">
            <v>92700</v>
          </cell>
          <cell r="F164">
            <v>20124.039999999997</v>
          </cell>
          <cell r="H164" t="str">
            <v>D</v>
          </cell>
          <cell r="I164">
            <v>72575.960000000006</v>
          </cell>
        </row>
        <row r="165">
          <cell r="E165">
            <v>78750</v>
          </cell>
          <cell r="F165">
            <v>20117.779999999992</v>
          </cell>
          <cell r="H165" t="str">
            <v>D</v>
          </cell>
          <cell r="I165">
            <v>58632.220000000008</v>
          </cell>
        </row>
        <row r="166">
          <cell r="E166">
            <v>121131</v>
          </cell>
          <cell r="F166">
            <v>37419.410000000025</v>
          </cell>
          <cell r="H166" t="str">
            <v>D</v>
          </cell>
          <cell r="I166">
            <v>83711.589999999967</v>
          </cell>
        </row>
        <row r="167">
          <cell r="E167">
            <v>0</v>
          </cell>
          <cell r="F167">
            <v>0</v>
          </cell>
          <cell r="H167" t="str">
            <v>OBJETIVO ALCANÇADO</v>
          </cell>
          <cell r="I167">
            <v>0</v>
          </cell>
        </row>
        <row r="168">
          <cell r="E168">
            <v>26100</v>
          </cell>
          <cell r="F168">
            <v>6469.4299999999976</v>
          </cell>
          <cell r="H168" t="str">
            <v>D</v>
          </cell>
          <cell r="I168">
            <v>19630.570000000003</v>
          </cell>
        </row>
        <row r="169">
          <cell r="E169">
            <v>43200</v>
          </cell>
          <cell r="F169">
            <v>10293.6</v>
          </cell>
          <cell r="H169" t="str">
            <v>D</v>
          </cell>
          <cell r="I169">
            <v>32906.400000000001</v>
          </cell>
        </row>
        <row r="170">
          <cell r="E170">
            <v>31725</v>
          </cell>
          <cell r="F170">
            <v>4765.8999999999996</v>
          </cell>
          <cell r="H170" t="str">
            <v>D</v>
          </cell>
          <cell r="I170">
            <v>26959.1</v>
          </cell>
        </row>
        <row r="171">
          <cell r="E171">
            <v>37800</v>
          </cell>
          <cell r="F171">
            <v>11111.86</v>
          </cell>
          <cell r="H171" t="str">
            <v>D</v>
          </cell>
          <cell r="I171">
            <v>26688.14</v>
          </cell>
        </row>
        <row r="172">
          <cell r="E172">
            <v>63900</v>
          </cell>
          <cell r="F172">
            <v>15519.85</v>
          </cell>
          <cell r="H172" t="str">
            <v>D</v>
          </cell>
          <cell r="I172">
            <v>48380.15</v>
          </cell>
        </row>
        <row r="173">
          <cell r="E173">
            <v>74970</v>
          </cell>
          <cell r="F173">
            <v>24013.129999999997</v>
          </cell>
          <cell r="H173" t="str">
            <v>D</v>
          </cell>
          <cell r="I173">
            <v>50956.87</v>
          </cell>
        </row>
        <row r="174">
          <cell r="E174">
            <v>121500</v>
          </cell>
          <cell r="F174">
            <v>32294.459999999985</v>
          </cell>
          <cell r="H174" t="str">
            <v>D</v>
          </cell>
          <cell r="I174">
            <v>89205.540000000008</v>
          </cell>
        </row>
        <row r="175">
          <cell r="E175">
            <v>42975</v>
          </cell>
          <cell r="F175">
            <v>3489.02</v>
          </cell>
          <cell r="H175" t="str">
            <v>D</v>
          </cell>
          <cell r="I175">
            <v>39485.980000000003</v>
          </cell>
        </row>
        <row r="176">
          <cell r="E176">
            <v>97875</v>
          </cell>
          <cell r="F176">
            <v>12662.729999999998</v>
          </cell>
          <cell r="H176" t="str">
            <v>D</v>
          </cell>
          <cell r="I176">
            <v>85212.27</v>
          </cell>
        </row>
        <row r="177">
          <cell r="E177">
            <v>1338651</v>
          </cell>
          <cell r="F177">
            <v>362931.64000000007</v>
          </cell>
          <cell r="I177">
            <v>975719.36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0">
      <calculatedColumnFormula>IFERROR(VLOOKUP(Tabela2[[#This Row],[REFERENCIA]],'[1]BASE PYTHON'!$K:$N,'[1]BASE PYTHON'!L$1,0),0)</calculatedColumnFormula>
    </tableColumn>
    <tableColumn id="5" xr3:uid="{37E12533-09AB-4B65-AEC8-6BB07B5CC2B1}" name="FALTA" dataDxfId="59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8" dataDxfId="57" tableBorderDxfId="56">
  <autoFilter ref="G9:K27" xr:uid="{E3745920-1197-4A81-B558-958DBAB19EA3}"/>
  <tableColumns count="5">
    <tableColumn id="1" xr3:uid="{D324C7DB-F877-4A7E-BC26-EF8905C85433}" name="REFERENCIA" dataDxfId="55"/>
    <tableColumn id="2" xr3:uid="{A71A6478-3B31-4F54-A10C-E6EC00E95E0B}" name="VENDEDOR" dataDxfId="54"/>
    <tableColumn id="3" xr3:uid="{9F5EDCDD-D442-4FBE-9C74-26084F24EFCB}" name="COMPROMISSO" dataDxfId="53" dataCellStyle="Moeda">
      <calculatedColumnFormula>_xlfn.XLOOKUP(Tabela5[[#This Row],[REFERENCIA]],'[1]BASE PYTHON'!$A$39:$A$55,'[1]BASE PYTHON'!$B$39:$B$55,0)</calculatedColumnFormula>
    </tableColumn>
    <tableColumn id="4" xr3:uid="{2E4F9793-0E4B-42F0-B595-748F8481D0D0}" name="ATINGIDO" dataDxfId="52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1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50" dataDxfId="49" totalsRowDxfId="47" tableBorderDxfId="48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6" totalsRowDxfId="45"/>
    <tableColumn id="2" xr3:uid="{4F0BAF4D-D0FC-4B7C-8FF4-8DDD6505FDA1}" name="VENDEDOR" dataDxfId="44" totalsRowDxfId="43"/>
    <tableColumn id="3" xr3:uid="{CCB341E8-8BC2-4209-AEA0-D6F26BFCB356}" name="META A" dataDxfId="42" totalsRowDxfId="41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0" totalsRowDxfId="39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8" totalsRowDxfId="37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6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5" totalsRowDxfId="34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3" totalsRowDxfId="32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1" totalsRowDxfId="30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9" totalsRowDxfId="28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7" totalsRowDxfId="26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5" totalsRowDxfId="24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3" totalsRowDxfId="22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1" totalsRowDxfId="20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9" dataDxfId="18" tableBorderDxfId="17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6"/>
    <tableColumn id="2" xr3:uid="{8DACCDF0-1F48-4D1F-936B-1BD572540814}" name="META A" dataDxfId="15">
      <calculatedColumnFormula>_xlfn.XLOOKUP(Tabela17[[#This Row],[VENDEDOR]],[1]!Tabela4[VENDEDOR],[1]!Tabela4[META A])</calculatedColumnFormula>
    </tableColumn>
    <tableColumn id="3" xr3:uid="{283DD7D7-EAA0-41F2-A03E-A94402C351D8}" name="META B" dataDxfId="14">
      <calculatedColumnFormula>_xlfn.XLOOKUP(Tabela17[[#This Row],[VENDEDOR]],[1]!Tabela4[VENDEDOR],[1]!Tabela4[META B])</calculatedColumnFormula>
    </tableColumn>
    <tableColumn id="4" xr3:uid="{FA7094C0-E343-4D2F-A021-CE4770011F17}" name="META C" dataDxfId="13">
      <calculatedColumnFormula>_xlfn.XLOOKUP(Tabela17[[#This Row],[VENDEDOR]],[1]!Tabela4[VENDEDOR],[1]!Tabela4[META C])</calculatedColumnFormula>
    </tableColumn>
    <tableColumn id="5" xr3:uid="{B6D91B25-84F6-4BBF-AFFE-776A8AB5FD86}" name="META D" dataDxfId="12">
      <calculatedColumnFormula>_xlfn.XLOOKUP(Tabela17[[#This Row],[VENDEDOR]],[1]!Tabela4[VENDEDOR],[1]!Tabela4[META D])</calculatedColumnFormula>
    </tableColumn>
    <tableColumn id="6" xr3:uid="{DD3D2046-BE2C-43C9-8F6C-13D785756968}" name="ATINGIDO" dataDxfId="11">
      <calculatedColumnFormula>IFERROR(_xlfn.XLOOKUP(Y3,'[1]BASE PYTHON'!$K:$K,'[1]BASE PYTHON'!$N:$N,0),0)</calculatedColumnFormula>
    </tableColumn>
    <tableColumn id="7" xr3:uid="{FE9C4B8F-98E5-474D-B959-1D70DA5A76FE}" name="PREMIAÇÃO ATINGIDA" dataDxfId="10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9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8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" dataDxfId="6">
  <tableColumns count="2">
    <tableColumn id="1" xr3:uid="{3308613D-E7FC-469E-B078-C5AC910E183B}" name="Coluna1" dataDxfId="5"/>
    <tableColumn id="2" xr3:uid="{C994D666-6174-475E-AE71-1F12062A5225}" name="Coluna2" headerRowDxfId="4" dataDxfId="3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61</v>
      </c>
      <c r="U1" s="14"/>
      <c r="V1" s="4"/>
      <c r="W1" s="4"/>
      <c r="Y1" s="39" t="s">
        <v>53</v>
      </c>
      <c r="Z1" s="23"/>
      <c r="AA1" s="23"/>
      <c r="AB1" s="23"/>
      <c r="AC1" s="23"/>
      <c r="AD1" s="23"/>
      <c r="AE1" s="23"/>
      <c r="AF1" s="23"/>
      <c r="AG1" s="23"/>
      <c r="AI1" s="40" t="s">
        <v>56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57</v>
      </c>
      <c r="AB2" s="35" t="s">
        <v>58</v>
      </c>
      <c r="AC2" s="35" t="s">
        <v>59</v>
      </c>
      <c r="AD2" s="35" t="s">
        <v>1</v>
      </c>
      <c r="AE2" s="35" t="s">
        <v>54</v>
      </c>
      <c r="AF2" s="35" t="s">
        <v>55</v>
      </c>
      <c r="AG2" s="35" t="s">
        <v>2</v>
      </c>
      <c r="AI2" t="s">
        <v>5</v>
      </c>
      <c r="AJ2" t="s">
        <v>33</v>
      </c>
      <c r="AK2" t="s">
        <v>57</v>
      </c>
      <c r="AL2" t="s">
        <v>58</v>
      </c>
      <c r="AM2" t="s">
        <v>59</v>
      </c>
      <c r="AN2" t="s">
        <v>1</v>
      </c>
      <c r="AO2" t="s">
        <v>54</v>
      </c>
      <c r="AP2" t="s">
        <v>55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35</v>
      </c>
      <c r="AA3" s="28">
        <f>_xlfn.XLOOKUP(Tabela17[[#This Row],[VENDEDOR]],[1]!Tabela4[VENDEDOR],[1]!Tabela4[META B])</f>
        <v>30</v>
      </c>
      <c r="AB3" s="28">
        <f>_xlfn.XLOOKUP(Tabela17[[#This Row],[VENDEDOR]],[1]!Tabela4[VENDEDOR],[1]!Tabela4[META C])</f>
        <v>24.5</v>
      </c>
      <c r="AC3" s="28">
        <f>_xlfn.XLOOKUP(Tabela17[[#This Row],[VENDEDOR]],[1]!Tabela4[VENDEDOR],[1]!Tabela4[META D])</f>
        <v>14</v>
      </c>
      <c r="AD3" s="29">
        <f>IFERROR(_xlfn.XLOOKUP(Y3,'[1]BASE PYTHON'!$K:$K,'[1]BASE PYTHON'!$N:$N,0),0)</f>
        <v>1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13</v>
      </c>
      <c r="AI3" t="s">
        <v>22</v>
      </c>
      <c r="AJ3" s="24">
        <f>_xlfn.XLOOKUP(Tabela817[[#This Row],[VENDEDOR]],[1]!Tabela8[VENDEDOR],[1]!Tabela8[META A])</f>
        <v>88000</v>
      </c>
      <c r="AK3" s="24">
        <f>_xlfn.XLOOKUP(Tabela817[[#This Row],[VENDEDOR]],[1]!Tabela8[VENDEDOR],[1]!Tabela8[META B])</f>
        <v>74800</v>
      </c>
      <c r="AL3" s="24">
        <f>_xlfn.XLOOKUP(Tabela817[[#This Row],[VENDEDOR]],[1]!Tabela8[VENDEDOR],[1]!Tabela8[META C])</f>
        <v>61599.999999999993</v>
      </c>
      <c r="AM3" s="24">
        <f>_xlfn.XLOOKUP(Tabela817[[#This Row],[VENDEDOR]],[1]!Tabela8[VENDEDOR],[1]!Tabela8[META D])</f>
        <v>39600</v>
      </c>
      <c r="AN3" s="25">
        <f>IFERROR(_xlfn.XLOOKUP(AI3,'[1]BASE PYTHON'!$E:$E,'[1]BASE PYTHON'!$F:$F,0),0)</f>
        <v>12237.629999999997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27362.370000000003</v>
      </c>
    </row>
    <row r="4" spans="1:43" x14ac:dyDescent="0.25">
      <c r="A4" s="4"/>
      <c r="B4" s="4" t="s">
        <v>38</v>
      </c>
      <c r="C4" s="2">
        <f>SUM(C10:C36)</f>
        <v>6025777</v>
      </c>
      <c r="D4" s="2"/>
      <c r="E4" s="4"/>
      <c r="F4" s="4"/>
      <c r="G4" s="4"/>
      <c r="H4" s="4" t="s">
        <v>0</v>
      </c>
      <c r="I4" s="7">
        <f>SUM(I10:I27)</f>
        <v>300260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560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27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9</v>
      </c>
      <c r="AI4" t="s">
        <v>24</v>
      </c>
      <c r="AJ4" s="24">
        <f>_xlfn.XLOOKUP(Tabela817[[#This Row],[VENDEDOR]],[1]!Tabela8[VENDEDOR],[1]!Tabela8[META A])</f>
        <v>79000</v>
      </c>
      <c r="AK4" s="24">
        <f>_xlfn.XLOOKUP(Tabela817[[#This Row],[VENDEDOR]],[1]!Tabela8[VENDEDOR],[1]!Tabela8[META B])</f>
        <v>67150</v>
      </c>
      <c r="AL4" s="24">
        <f>_xlfn.XLOOKUP(Tabela817[[#This Row],[VENDEDOR]],[1]!Tabela8[VENDEDOR],[1]!Tabela8[META C])</f>
        <v>55300</v>
      </c>
      <c r="AM4" s="24">
        <f>_xlfn.XLOOKUP(Tabela817[[#This Row],[VENDEDOR]],[1]!Tabela8[VENDEDOR],[1]!Tabela8[META D])</f>
        <v>35550</v>
      </c>
      <c r="AN4" s="25">
        <f>IFERROR(_xlfn.XLOOKUP(AI4,'[1]BASE PYTHON'!$E:$E,'[1]BASE PYTHON'!$F:$F,0),0)</f>
        <v>8237.1200000000008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27312.879999999997</v>
      </c>
    </row>
    <row r="5" spans="1:43" x14ac:dyDescent="0.25">
      <c r="A5" s="4"/>
      <c r="B5" s="4" t="s">
        <v>1</v>
      </c>
      <c r="C5" s="2">
        <f>SUM(D10:D36)</f>
        <v>444631.61999999994</v>
      </c>
      <c r="D5" s="2"/>
      <c r="E5" s="4"/>
      <c r="F5" s="4"/>
      <c r="G5" s="4"/>
      <c r="H5" s="4" t="s">
        <v>1</v>
      </c>
      <c r="I5" s="7">
        <f ca="1">SUM(J10:J27)</f>
        <v>219369.60000000003</v>
      </c>
      <c r="J5" s="4"/>
      <c r="K5" s="4"/>
      <c r="L5" s="4"/>
      <c r="M5" s="4"/>
      <c r="N5" s="4" t="s">
        <v>1</v>
      </c>
      <c r="O5" s="7">
        <f>SUM(P11:P17)</f>
        <v>8666.7999999999993</v>
      </c>
      <c r="P5" s="4"/>
      <c r="Q5" s="4"/>
      <c r="R5" s="4"/>
      <c r="S5" s="4"/>
      <c r="T5" s="4" t="s">
        <v>1</v>
      </c>
      <c r="U5" s="4">
        <f ca="1">SUM(V10:V26)</f>
        <v>29</v>
      </c>
      <c r="V5" s="4"/>
      <c r="W5" s="4"/>
      <c r="Y5" s="32" t="s">
        <v>8</v>
      </c>
      <c r="Z5" s="30">
        <f>_xlfn.XLOOKUP(Tabela17[[#This Row],[VENDEDOR]],[1]!Tabela4[VENDEDOR],[1]!Tabela4[META A])</f>
        <v>35</v>
      </c>
      <c r="AA5" s="28">
        <f>_xlfn.XLOOKUP(Tabela17[[#This Row],[VENDEDOR]],[1]!Tabela4[VENDEDOR],[1]!Tabela4[META B])</f>
        <v>30</v>
      </c>
      <c r="AB5" s="28">
        <f>_xlfn.XLOOKUP(Tabela17[[#This Row],[VENDEDOR]],[1]!Tabela4[VENDEDOR],[1]!Tabela4[META C])</f>
        <v>24.5</v>
      </c>
      <c r="AC5" s="28">
        <f>_xlfn.XLOOKUP(Tabela17[[#This Row],[VENDEDOR]],[1]!Tabela4[VENDEDOR],[1]!Tabela4[META D])</f>
        <v>14</v>
      </c>
      <c r="AD5" s="29">
        <f>IFERROR(_xlfn.XLOOKUP(Y5,'[1]BASE PYTHON'!$K:$K,'[1]BASE PYTHON'!$N:$N,0),0)</f>
        <v>0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14</v>
      </c>
      <c r="AI5" t="s">
        <v>8</v>
      </c>
      <c r="AJ5" s="24">
        <f>_xlfn.XLOOKUP(Tabela817[[#This Row],[VENDEDOR]],[1]!Tabela8[VENDEDOR],[1]!Tabela8[META A])</f>
        <v>345000</v>
      </c>
      <c r="AK5" s="24">
        <f>_xlfn.XLOOKUP(Tabela817[[#This Row],[VENDEDOR]],[1]!Tabela8[VENDEDOR],[1]!Tabela8[META B])</f>
        <v>293250</v>
      </c>
      <c r="AL5" s="24">
        <f>_xlfn.XLOOKUP(Tabela817[[#This Row],[VENDEDOR]],[1]!Tabela8[VENDEDOR],[1]!Tabela8[META C])</f>
        <v>241499.99999999997</v>
      </c>
      <c r="AM5" s="24">
        <f>_xlfn.XLOOKUP(Tabela817[[#This Row],[VENDEDOR]],[1]!Tabela8[VENDEDOR],[1]!Tabela8[META D])</f>
        <v>155250</v>
      </c>
      <c r="AN5" s="25">
        <f>IFERROR(_xlfn.XLOOKUP(AI5,'[1]BASE PYTHON'!$E:$E,'[1]BASE PYTHON'!$F:$F,0),0)</f>
        <v>59621.760000000031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95628.239999999962</v>
      </c>
    </row>
    <row r="6" spans="1:43" x14ac:dyDescent="0.25">
      <c r="A6" s="4"/>
      <c r="B6" s="4" t="s">
        <v>2</v>
      </c>
      <c r="C6" s="2">
        <f>C4-C5</f>
        <v>5581145.3799999999</v>
      </c>
      <c r="D6" s="2"/>
      <c r="E6" s="4"/>
      <c r="F6" s="4"/>
      <c r="G6" s="4"/>
      <c r="H6" s="4" t="s">
        <v>2</v>
      </c>
      <c r="I6" s="7">
        <f ca="1">I4-I5</f>
        <v>80890.399999999965</v>
      </c>
      <c r="J6" s="4"/>
      <c r="K6" s="4"/>
      <c r="L6" s="4"/>
      <c r="M6" s="4"/>
      <c r="N6" s="4" t="s">
        <v>2</v>
      </c>
      <c r="O6" s="7">
        <f>O4-O5</f>
        <v>-8666.7999999999993</v>
      </c>
      <c r="P6" s="4"/>
      <c r="Q6" s="4"/>
      <c r="R6" s="4"/>
      <c r="S6" s="4"/>
      <c r="T6" s="4" t="s">
        <v>2</v>
      </c>
      <c r="U6" s="4">
        <f ca="1">U4-U5</f>
        <v>531</v>
      </c>
      <c r="V6" s="4"/>
      <c r="W6" s="4"/>
      <c r="Y6" s="33" t="s">
        <v>18</v>
      </c>
      <c r="Z6" s="30">
        <f>_xlfn.XLOOKUP(Tabela17[[#This Row],[VENDEDOR]],[1]!Tabela4[VENDEDOR],[1]!Tabela4[META A])</f>
        <v>35</v>
      </c>
      <c r="AA6" s="30">
        <f>_xlfn.XLOOKUP(Tabela17[[#This Row],[VENDEDOR]],[1]!Tabela4[VENDEDOR],[1]!Tabela4[META B])</f>
        <v>30</v>
      </c>
      <c r="AB6" s="30">
        <f>_xlfn.XLOOKUP(Tabela17[[#This Row],[VENDEDOR]],[1]!Tabela4[VENDEDOR],[1]!Tabela4[META C])</f>
        <v>24.5</v>
      </c>
      <c r="AC6" s="30">
        <f>_xlfn.XLOOKUP(Tabela17[[#This Row],[VENDEDOR]],[1]!Tabela4[VENDEDOR],[1]!Tabela4[META D])</f>
        <v>14</v>
      </c>
      <c r="AD6" s="31">
        <f>IFERROR(_xlfn.XLOOKUP(Y6,'[1]BASE PYTHON'!$K:$K,'[1]BASE PYTHON'!$N:$N,0),0)</f>
        <v>11</v>
      </c>
      <c r="AE6" s="31" t="str" cm="1">
        <f t="array" ref="AE6">_xlfn.IFS(AD6&gt;=Z6,"A",AD6&gt;=AA6,"B",AD6&gt;=AB6,"C",AD6&gt;=AC6,"D",TRUE,"NÃO ATINGIDO")</f>
        <v>NÃO ATINGIDO</v>
      </c>
      <c r="AF6" s="31" t="str" cm="1">
        <f t="array" ref="AF6">_xlfn.IFS(AE6="NÃO ATINGIDO","D",AE6="D","C",AE6="C","B",AE6="B","A",AE6="A","OBJETIVO ALCANÇADO")</f>
        <v>D</v>
      </c>
      <c r="AG6" s="31" cm="1">
        <f t="array" ref="AG6">_xlfn.IFS(AF6="D",MAX(AC6-AD6,0),AF6="C",MAX(AB6-AD6,0),AF6="B",MAX(AA6-AD6,0),AF6="A",MAX(Z6-AD6,0),AF6="OBJETIVO ALCANÇADO",0)</f>
        <v>3</v>
      </c>
      <c r="AI6" t="s">
        <v>18</v>
      </c>
      <c r="AJ6" s="24">
        <f>_xlfn.XLOOKUP(Tabela817[[#This Row],[VENDEDOR]],[1]!Tabela8[VENDEDOR],[1]!Tabela8[META A])</f>
        <v>331500</v>
      </c>
      <c r="AK6" s="24">
        <f>_xlfn.XLOOKUP(Tabela817[[#This Row],[VENDEDOR]],[1]!Tabela8[VENDEDOR],[1]!Tabela8[META B])</f>
        <v>281775</v>
      </c>
      <c r="AL6" s="24">
        <f>_xlfn.XLOOKUP(Tabela817[[#This Row],[VENDEDOR]],[1]!Tabela8[VENDEDOR],[1]!Tabela8[META C])</f>
        <v>232049.99999999997</v>
      </c>
      <c r="AM6" s="24">
        <f>_xlfn.XLOOKUP(Tabela817[[#This Row],[VENDEDOR]],[1]!Tabela8[VENDEDOR],[1]!Tabela8[META D])</f>
        <v>149175</v>
      </c>
      <c r="AN6" s="25">
        <f>IFERROR(_xlfn.XLOOKUP(AI6,'[1]BASE PYTHON'!$E:$E,'[1]BASE PYTHON'!$F:$F,0),0)</f>
        <v>52714.710000000036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96460.289999999964</v>
      </c>
    </row>
    <row r="7" spans="1:43" x14ac:dyDescent="0.25">
      <c r="A7" s="4"/>
      <c r="B7" s="4" t="s">
        <v>3</v>
      </c>
      <c r="C7" s="3">
        <f>1-(C6/C4)</f>
        <v>7.3788263322721703E-2</v>
      </c>
      <c r="D7" s="2"/>
      <c r="E7" s="4"/>
      <c r="F7" s="4"/>
      <c r="G7" s="4"/>
      <c r="H7" s="4" t="s">
        <v>3</v>
      </c>
      <c r="I7" s="3">
        <f ca="1">1-(I6/I4)</f>
        <v>0.73059881436088736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 ca="1">1-(U6/U4)</f>
        <v>5.1785714285714324E-2</v>
      </c>
      <c r="V7" s="4"/>
      <c r="W7" s="4"/>
      <c r="Y7" s="32" t="s">
        <v>10</v>
      </c>
      <c r="Z7" s="30">
        <f>_xlfn.XLOOKUP(Tabela17[[#This Row],[VENDEDOR]],[1]!Tabela4[VENDEDOR],[1]!Tabela4[META A])</f>
        <v>35</v>
      </c>
      <c r="AA7" s="28">
        <f>_xlfn.XLOOKUP(Tabela17[[#This Row],[VENDEDOR]],[1]!Tabela4[VENDEDOR],[1]!Tabela4[META B])</f>
        <v>30</v>
      </c>
      <c r="AB7" s="28">
        <f>_xlfn.XLOOKUP(Tabela17[[#This Row],[VENDEDOR]],[1]!Tabela4[VENDEDOR],[1]!Tabela4[META C])</f>
        <v>24.5</v>
      </c>
      <c r="AC7" s="28">
        <f>_xlfn.XLOOKUP(Tabela17[[#This Row],[VENDEDOR]],[1]!Tabela4[VENDEDOR],[1]!Tabela4[META D])</f>
        <v>14</v>
      </c>
      <c r="AD7" s="29">
        <f>IFERROR(_xlfn.XLOOKUP(Y7,'[1]BASE PYTHON'!$K:$K,'[1]BASE PYTHON'!$N:$N,0),0)</f>
        <v>5</v>
      </c>
      <c r="AE7" s="29" t="str" cm="1">
        <f t="array" ref="AE7">_xlfn.IFS(AD7&gt;=Z7,"A",AD7&gt;=AA7,"B",AD7&gt;=AB7,"C",AD7&gt;=AC7,"D",TRUE,"NÃO ATINGIDO")</f>
        <v>NÃO ATINGIDO</v>
      </c>
      <c r="AF7" s="29" t="str" cm="1">
        <f t="array" ref="AF7">_xlfn.IFS(AE7="NÃO ATINGIDO","D",AE7="D","C",AE7="C","B",AE7="B","A",AE7="A","OBJETIVO ALCANÇADO")</f>
        <v>D</v>
      </c>
      <c r="AG7" s="29" cm="1">
        <f t="array" ref="AG7">_xlfn.IFS(AF7="D",MAX(AC7-AD7,0),AF7="C",MAX(AB7-AD7,0),AF7="B",MAX(AA7-AD7,0),AF7="A",MAX(Z7-AD7,0),AF7="OBJETIVO ALCANÇADO",0)</f>
        <v>9</v>
      </c>
      <c r="AI7" t="s">
        <v>10</v>
      </c>
      <c r="AJ7" s="24">
        <f>_xlfn.XLOOKUP(Tabela817[[#This Row],[VENDEDOR]],[1]!Tabela8[VENDEDOR],[1]!Tabela8[META A])</f>
        <v>281000</v>
      </c>
      <c r="AK7" s="24">
        <f>_xlfn.XLOOKUP(Tabela817[[#This Row],[VENDEDOR]],[1]!Tabela8[VENDEDOR],[1]!Tabela8[META B])</f>
        <v>238850</v>
      </c>
      <c r="AL7" s="24">
        <f>_xlfn.XLOOKUP(Tabela817[[#This Row],[VENDEDOR]],[1]!Tabela8[VENDEDOR],[1]!Tabela8[META C])</f>
        <v>196700</v>
      </c>
      <c r="AM7" s="24">
        <f>_xlfn.XLOOKUP(Tabela817[[#This Row],[VENDEDOR]],[1]!Tabela8[VENDEDOR],[1]!Tabela8[META D])</f>
        <v>126450</v>
      </c>
      <c r="AN7" s="25">
        <f>IFERROR(_xlfn.XLOOKUP(AI7,'[1]BASE PYTHON'!$E:$E,'[1]BASE PYTHON'!$F:$F,0),0)</f>
        <v>31839.209999999995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94610.790000000008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35</v>
      </c>
      <c r="AA8" s="30">
        <f>_xlfn.XLOOKUP(Tabela17[[#This Row],[VENDEDOR]],[1]!Tabela4[VENDEDOR],[1]!Tabela4[META B])</f>
        <v>30</v>
      </c>
      <c r="AB8" s="30">
        <f>_xlfn.XLOOKUP(Tabela17[[#This Row],[VENDEDOR]],[1]!Tabela4[VENDEDOR],[1]!Tabela4[META C])</f>
        <v>24.5</v>
      </c>
      <c r="AC8" s="30">
        <f>_xlfn.XLOOKUP(Tabela17[[#This Row],[VENDEDOR]],[1]!Tabela4[VENDEDOR],[1]!Tabela4[META D])</f>
        <v>14</v>
      </c>
      <c r="AD8" s="31">
        <f>IFERROR(_xlfn.XLOOKUP(Y8,'[1]BASE PYTHON'!$K:$K,'[1]BASE PYTHON'!$N:$N,0),0)</f>
        <v>4</v>
      </c>
      <c r="AE8" s="31" t="str" cm="1">
        <f t="array" ref="AE8">_xlfn.IFS(AD8&gt;=Z8,"A",AD8&gt;=AA8,"B",AD8&gt;=AB8,"C",AD8&gt;=AC8,"D",TRUE,"NÃO ATINGIDO")</f>
        <v>NÃO ATINGIDO</v>
      </c>
      <c r="AF8" s="31" t="str" cm="1">
        <f t="array" ref="AF8">_xlfn.IFS(AE8="NÃO ATINGIDO","D",AE8="D","C",AE8="C","B",AE8="B","A",AE8="A","OBJETIVO ALCANÇADO")</f>
        <v>D</v>
      </c>
      <c r="AG8" s="31" cm="1">
        <f t="array" ref="AG8">_xlfn.IFS(AF8="D",MAX(AC8-AD8,0),AF8="C",MAX(AB8-AD8,0),AF8="B",MAX(AA8-AD8,0),AF8="A",MAX(Z8-AD8,0),AF8="OBJETIVO ALCANÇADO",0)</f>
        <v>10</v>
      </c>
      <c r="AI8" t="s">
        <v>13</v>
      </c>
      <c r="AJ8" s="24">
        <f>_xlfn.XLOOKUP(Tabela817[[#This Row],[VENDEDOR]],[1]!Tabela8[VENDEDOR],[1]!Tabela8[META A])</f>
        <v>206000</v>
      </c>
      <c r="AK8" s="24">
        <f>_xlfn.XLOOKUP(Tabela817[[#This Row],[VENDEDOR]],[1]!Tabela8[VENDEDOR],[1]!Tabela8[META B])</f>
        <v>175100</v>
      </c>
      <c r="AL8" s="24">
        <f>_xlfn.XLOOKUP(Tabela817[[#This Row],[VENDEDOR]],[1]!Tabela8[VENDEDOR],[1]!Tabela8[META C])</f>
        <v>144200</v>
      </c>
      <c r="AM8" s="24">
        <f>_xlfn.XLOOKUP(Tabela817[[#This Row],[VENDEDOR]],[1]!Tabela8[VENDEDOR],[1]!Tabela8[META D])</f>
        <v>92700</v>
      </c>
      <c r="AN8" s="25">
        <f>IFERROR(_xlfn.XLOOKUP(AI8,'[1]BASE PYTHON'!$E:$E,'[1]BASE PYTHON'!$F:$F,0),0)</f>
        <v>20124.039999999997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72575.960000000006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48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35</v>
      </c>
      <c r="AA9" s="28">
        <f>_xlfn.XLOOKUP(Tabela17[[#This Row],[VENDEDOR]],[1]!Tabela4[VENDEDOR],[1]!Tabela4[META B])</f>
        <v>30</v>
      </c>
      <c r="AB9" s="28">
        <f>_xlfn.XLOOKUP(Tabela17[[#This Row],[VENDEDOR]],[1]!Tabela4[VENDEDOR],[1]!Tabela4[META C])</f>
        <v>24.5</v>
      </c>
      <c r="AC9" s="28">
        <f>_xlfn.XLOOKUP(Tabela17[[#This Row],[VENDEDOR]],[1]!Tabela4[VENDEDOR],[1]!Tabela4[META D])</f>
        <v>14</v>
      </c>
      <c r="AD9" s="29">
        <f>IFERROR(_xlfn.XLOOKUP(Y9,'[1]BASE PYTHON'!$K:$K,'[1]BASE PYTHON'!$N:$N,0),0)</f>
        <v>2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12</v>
      </c>
      <c r="AI9" t="s">
        <v>20</v>
      </c>
      <c r="AJ9" s="24">
        <f>_xlfn.XLOOKUP(Tabela817[[#This Row],[VENDEDOR]],[1]!Tabela8[VENDEDOR],[1]!Tabela8[META A])</f>
        <v>175000</v>
      </c>
      <c r="AK9" s="24">
        <f>_xlfn.XLOOKUP(Tabela817[[#This Row],[VENDEDOR]],[1]!Tabela8[VENDEDOR],[1]!Tabela8[META B])</f>
        <v>148750</v>
      </c>
      <c r="AL9" s="24">
        <f>_xlfn.XLOOKUP(Tabela817[[#This Row],[VENDEDOR]],[1]!Tabela8[VENDEDOR],[1]!Tabela8[META C])</f>
        <v>122499.99999999999</v>
      </c>
      <c r="AM9" s="24">
        <f>_xlfn.XLOOKUP(Tabela817[[#This Row],[VENDEDOR]],[1]!Tabela8[VENDEDOR],[1]!Tabela8[META D])</f>
        <v>78750</v>
      </c>
      <c r="AN9" s="25">
        <f>IFERROR(_xlfn.XLOOKUP(AI9,'[1]BASE PYTHON'!$E:$E,'[1]BASE PYTHON'!$F:$F,0),0)</f>
        <v>20117.779999999992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58632.220000000008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70500</v>
      </c>
      <c r="D10" s="22">
        <f>_xlfn.XLOOKUP(Tabela13[[#This Row],[REFERENCIA]],'[1]BASE PYTHON'!$E:$E,'[1]BASE PYTHON'!$F:$F,0)</f>
        <v>4765.8999999999996</v>
      </c>
      <c r="E10" s="43">
        <f>Tabela13[[#This Row],[META A]]-Tabela13[[#This Row],[ATINGIDO]]</f>
        <v>65734.100000000006</v>
      </c>
      <c r="F10" s="4"/>
      <c r="G10" s="18" t="s">
        <v>18</v>
      </c>
      <c r="H10" s="18" t="s">
        <v>18</v>
      </c>
      <c r="I10" s="19">
        <f>_xlfn.XLOOKUP(Tabela5[[#This Row],[REFERENCIA]],'[1]BASE PYTHON'!$A$39:$A$55,'[1]BASE PYTHON'!$B$39:$B$55,0)</f>
        <v>27520</v>
      </c>
      <c r="J10" s="19">
        <f>_xlfn.XLOOKUP(Tabela5[[#This Row],[REFERENCIA]],'[1]BASE PYTHON'!$H:$H,'[1]BASE PYTHON'!$I:$I,0)</f>
        <v>28873.699999999993</v>
      </c>
      <c r="K10" s="20">
        <f>Tabela5[[#This Row],[COMPROMISSO]]-Tabela5[[#This Row],[ATINGIDO]]</f>
        <v>-1353.6999999999935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35</v>
      </c>
      <c r="V10" s="17">
        <f>IFERROR(VLOOKUP(Tabela2[[#This Row],[REFERENCIA]],'[1]BASE PYTHON'!$K:$N,'[1]BASE PYTHON'!L$1,0),0)</f>
        <v>0</v>
      </c>
      <c r="W10" s="17">
        <f>U10-V10</f>
        <v>35</v>
      </c>
      <c r="Y10" s="33" t="s">
        <v>17</v>
      </c>
      <c r="Z10" s="30">
        <f>_xlfn.XLOOKUP(Tabela17[[#This Row],[VENDEDOR]],[1]!Tabela4[VENDEDOR],[1]!Tabela4[META A])</f>
        <v>35</v>
      </c>
      <c r="AA10" s="30">
        <f>_xlfn.XLOOKUP(Tabela17[[#This Row],[VENDEDOR]],[1]!Tabela4[VENDEDOR],[1]!Tabela4[META B])</f>
        <v>30</v>
      </c>
      <c r="AB10" s="30">
        <f>_xlfn.XLOOKUP(Tabela17[[#This Row],[VENDEDOR]],[1]!Tabela4[VENDEDOR],[1]!Tabela4[META C])</f>
        <v>24.5</v>
      </c>
      <c r="AC10" s="30">
        <f>_xlfn.XLOOKUP(Tabela17[[#This Row],[VENDEDOR]],[1]!Tabela4[VENDEDOR],[1]!Tabela4[META D])</f>
        <v>14</v>
      </c>
      <c r="AD10" s="31">
        <f>IFERROR(_xlfn.XLOOKUP(Y10,'[1]BASE PYTHON'!$K:$K,'[1]BASE PYTHON'!$N:$N,0),0)</f>
        <v>0</v>
      </c>
      <c r="AE10" s="31" t="str" cm="1">
        <f t="array" ref="AE10">_xlfn.IFS(AD10&gt;=Z10,"A",AD10&gt;=AA10,"B",AD10&gt;=AB10,"C",AD10&gt;=AC10,"D",TRUE,"NÃO ATINGIDO")</f>
        <v>NÃO ATINGIDO</v>
      </c>
      <c r="AF10" s="31" t="str" cm="1">
        <f t="array" ref="AF10">_xlfn.IFS(AE10="NÃO ATINGIDO","D",AE10="D","C",AE10="C","B",AE10="B","A",AE10="A","OBJETIVO ALCANÇADO")</f>
        <v>D</v>
      </c>
      <c r="AG10" s="31" cm="1">
        <f t="array" ref="AG10">_xlfn.IFS(AF10="D",MAX(AC10-AD10,0),AF10="C",MAX(AB10-AD10,0),AF10="B",MAX(AA10-AD10,0),AF10="A",MAX(Z10-AD10,0),AF10="OBJETIVO ALCANÇADO",0)</f>
        <v>14</v>
      </c>
      <c r="AI10" t="s">
        <v>17</v>
      </c>
      <c r="AJ10" s="24">
        <f>_xlfn.XLOOKUP(Tabela817[[#This Row],[VENDEDOR]],[1]!Tabela8[VENDEDOR],[1]!Tabela8[META A])</f>
        <v>269179</v>
      </c>
      <c r="AK10" s="24">
        <f>_xlfn.XLOOKUP(Tabela817[[#This Row],[VENDEDOR]],[1]!Tabela8[VENDEDOR],[1]!Tabela8[META B])</f>
        <v>228803</v>
      </c>
      <c r="AL10" s="24">
        <f>_xlfn.XLOOKUP(Tabela817[[#This Row],[VENDEDOR]],[1]!Tabela8[VENDEDOR],[1]!Tabela8[META C])</f>
        <v>160163</v>
      </c>
      <c r="AM10" s="24">
        <f>_xlfn.XLOOKUP(Tabela817[[#This Row],[VENDEDOR]],[1]!Tabela8[VENDEDOR],[1]!Tabela8[META D])</f>
        <v>121131</v>
      </c>
      <c r="AN10" s="25">
        <f>IFERROR(_xlfn.XLOOKUP(AI10,'[1]BASE PYTHON'!$E:$E,'[1]BASE PYTHON'!$F:$F,0),0)</f>
        <v>37419.410000000025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83711.589999999967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345000</v>
      </c>
      <c r="D11" s="22">
        <f>_xlfn.XLOOKUP(Tabela13[[#This Row],[REFERENCIA]],'[1]BASE PYTHON'!$E:$E,'[1]BASE PYTHON'!$F:$F,0)</f>
        <v>59621.760000000031</v>
      </c>
      <c r="E11" s="43">
        <f>Tabela13[[#This Row],[META A]]-Tabela13[[#This Row],[ATINGIDO]]</f>
        <v>285378.24</v>
      </c>
      <c r="F11" s="4"/>
      <c r="G11" s="18" t="s">
        <v>17</v>
      </c>
      <c r="H11" s="18" t="s">
        <v>17</v>
      </c>
      <c r="I11" s="19">
        <f>_xlfn.XLOOKUP(Tabela5[[#This Row],[REFERENCIA]],'[1]BASE PYTHON'!$A$39:$A$55,'[1]BASE PYTHON'!$B$39:$B$55,0)</f>
        <v>25040</v>
      </c>
      <c r="J11" s="19">
        <f>_xlfn.XLOOKUP(Tabela5[[#This Row],[REFERENCIA]],'[1]BASE PYTHON'!$H:$H,'[1]BASE PYTHON'!$I:$I,0)</f>
        <v>23647.030000000006</v>
      </c>
      <c r="K11" s="20">
        <f>Tabela5[[#This Row],[COMPROMISSO]]-Tabela5[[#This Row],[ATINGIDO]]</f>
        <v>1392.9699999999939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0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35</v>
      </c>
      <c r="V11" s="17">
        <f>IFERROR(VLOOKUP(Tabela2[[#This Row],[REFERENCIA]],'[1]BASE PYTHON'!$K:$N,'[1]BASE PYTHON'!L$1,0),0)</f>
        <v>0</v>
      </c>
      <c r="W11" s="17">
        <f t="shared" ref="W11:W20" si="0">U11-V11</f>
        <v>35</v>
      </c>
      <c r="Y11" s="32" t="s">
        <v>12</v>
      </c>
      <c r="Z11" s="30">
        <f>_xlfn.XLOOKUP(Tabela17[[#This Row],[VENDEDOR]],[1]!Tabela4[VENDEDOR],[1]!Tabela4[META A])</f>
        <v>0</v>
      </c>
      <c r="AA11" s="28">
        <f>_xlfn.XLOOKUP(Tabela17[[#This Row],[VENDEDOR]],[1]!Tabela4[VENDEDOR],[1]!Tabela4[META B])</f>
        <v>0</v>
      </c>
      <c r="AB11" s="28">
        <f>_xlfn.XLOOKUP(Tabela17[[#This Row],[VENDEDOR]],[1]!Tabela4[VENDEDOR],[1]!Tabela4[META C])</f>
        <v>0</v>
      </c>
      <c r="AC11" s="28">
        <f>_xlfn.XLOOKUP(Tabela17[[#This Row],[VENDEDOR]],[1]!Tabela4[VENDEDOR],[1]!Tabela4[META D])</f>
        <v>0</v>
      </c>
      <c r="AD11" s="29">
        <f>IFERROR(_xlfn.XLOOKUP(Y11,'[1]BASE PYTHON'!$K:$K,'[1]BASE PYTHON'!$N:$N,0),0)</f>
        <v>0</v>
      </c>
      <c r="AE11" s="29" t="str" cm="1">
        <f t="array" ref="AE11">_xlfn.IFS(AD11&gt;=Z11,"A",AD11&gt;=AA11,"B",AD11&gt;=AB11,"C",AD11&gt;=AC11,"D",TRUE,"NÃO ATINGIDO")</f>
        <v>A</v>
      </c>
      <c r="AF11" s="29" t="str" cm="1">
        <f t="array" ref="AF11">_xlfn.IFS(AE11="NÃO ATINGIDO","D",AE11="D","C",AE11="C","B",AE11="B","A",AE11="A","OBJETIVO ALCANÇADO")</f>
        <v>OBJETIVO ALCANÇADO</v>
      </c>
      <c r="AG11" s="29" cm="1">
        <f t="array" ref="AG11">_xlfn.IFS(AF11="D",MAX(AC11-AD11,0),AF11="C",MAX(AB11-AD11,0),AF11="B",MAX(AA11-AD11,0),AF11="A",MAX(Z11-AD11,0),AF11="OBJETIVO ALCANÇADO",0)</f>
        <v>0</v>
      </c>
      <c r="AI11" t="s">
        <v>12</v>
      </c>
      <c r="AJ11" s="24">
        <f>_xlfn.XLOOKUP(Tabela817[[#This Row],[VENDEDOR]],[1]!Tabela8[VENDEDOR],[1]!Tabela8[META A])</f>
        <v>0</v>
      </c>
      <c r="AK11" s="24">
        <f>_xlfn.XLOOKUP(Tabela817[[#This Row],[VENDEDOR]],[1]!Tabela8[VENDEDOR],[1]!Tabela8[META B])</f>
        <v>0</v>
      </c>
      <c r="AL11" s="24">
        <f>_xlfn.XLOOKUP(Tabela817[[#This Row],[VENDEDOR]],[1]!Tabela8[VENDEDOR],[1]!Tabela8[META C])</f>
        <v>0</v>
      </c>
      <c r="AM11" s="24">
        <f>_xlfn.XLOOKUP(Tabela817[[#This Row],[VENDEDOR]],[1]!Tabela8[VENDEDOR],[1]!Tabela8[META D])</f>
        <v>0</v>
      </c>
      <c r="AN11" s="25">
        <f>IFERROR(_xlfn.XLOOKUP(AI11,'[1]BASE PYTHON'!$E:$E,'[1]BASE PYTHON'!$F:$F,0),0)</f>
        <v>0</v>
      </c>
      <c r="AO11" s="26" t="str" cm="1">
        <f t="array" ref="AO11">_xlfn.IFS(AN11&gt;=AJ11,"A",AN11&gt;=AK11,"B",AN11&gt;=AL11,"C",AN11&gt;=AM11,"D",TRUE,"NÃO ATINGIDO")</f>
        <v>A</v>
      </c>
      <c r="AP11" s="26" t="str" cm="1">
        <f t="array" ref="AP11">_xlfn.IFS(AO11="NÃO ATINGIDO","D",AO11="D","C",AO11="C","B",AO11="B","A",AO11="A","OBJETIVO ALCANÇADO")</f>
        <v>OBJETIVO ALCANÇADO</v>
      </c>
      <c r="AQ11" s="25" cm="1">
        <f t="array" ref="AQ11">_xlfn.IFS(AP11="D",MAX(AM11-AN11,0),AP11="C",MAX(AL11-AN11,0),AP11="B",MAX(AK11-AN11,0),AP11="A",MAX(AJ11-AN11,0),AP11="OBJETIVO ALCANÇADO",0)</f>
        <v>0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0.1</v>
      </c>
      <c r="E12" s="43">
        <f>Tabela13[[#This Row],[META A]]-Tabela13[[#This Row],[ATINGIDO]]</f>
        <v>-0.1</v>
      </c>
      <c r="F12" s="4"/>
      <c r="G12" s="18" t="s">
        <v>19</v>
      </c>
      <c r="H12" s="18" t="s">
        <v>19</v>
      </c>
      <c r="I12" s="19">
        <f>_xlfn.XLOOKUP(Tabela5[[#This Row],[REFERENCIA]],'[1]BASE PYTHON'!$A$39:$A$55,'[1]BASE PYTHON'!$B$39:$B$55,0)</f>
        <v>15210</v>
      </c>
      <c r="J12" s="19">
        <f>_xlfn.XLOOKUP(Tabela5[[#This Row],[REFERENCIA]],'[1]BASE PYTHON'!$H:$H,'[1]BASE PYTHON'!$I:$I,0)</f>
        <v>9543.8000000000011</v>
      </c>
      <c r="K12" s="20">
        <f>Tabela5[[#This Row],[COMPROMISSO]]-Tabela5[[#This Row],[ATINGIDO]]</f>
        <v>5666.1999999999989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35</v>
      </c>
      <c r="V12" s="17">
        <f>IFERROR(VLOOKUP(Tabela2[[#This Row],[REFERENCIA]],'[1]BASE PYTHON'!$K:$N,'[1]BASE PYTHON'!L$1,0),0)</f>
        <v>0</v>
      </c>
      <c r="W12" s="17">
        <f t="shared" si="0"/>
        <v>35</v>
      </c>
      <c r="Y12" s="33" t="s">
        <v>23</v>
      </c>
      <c r="Z12" s="30">
        <f>_xlfn.XLOOKUP(Tabela17[[#This Row],[VENDEDOR]],[1]!Tabela4[VENDEDOR],[1]!Tabela4[META A])</f>
        <v>35</v>
      </c>
      <c r="AA12" s="30">
        <f>_xlfn.XLOOKUP(Tabela17[[#This Row],[VENDEDOR]],[1]!Tabela4[VENDEDOR],[1]!Tabela4[META B])</f>
        <v>30</v>
      </c>
      <c r="AB12" s="30">
        <f>_xlfn.XLOOKUP(Tabela17[[#This Row],[VENDEDOR]],[1]!Tabela4[VENDEDOR],[1]!Tabela4[META C])</f>
        <v>24.5</v>
      </c>
      <c r="AC12" s="30">
        <f>_xlfn.XLOOKUP(Tabela17[[#This Row],[VENDEDOR]],[1]!Tabela4[VENDEDOR],[1]!Tabela4[META D])</f>
        <v>14</v>
      </c>
      <c r="AD12" s="31">
        <f>IFERROR(_xlfn.XLOOKUP(Y12,'[1]BASE PYTHON'!$K:$K,'[1]BASE PYTHON'!$N:$N,0),0)</f>
        <v>0</v>
      </c>
      <c r="AE12" s="31" t="str" cm="1">
        <f t="array" ref="AE12">_xlfn.IFS(AD12&gt;=Z12,"A",AD12&gt;=AA12,"B",AD12&gt;=AB12,"C",AD12&gt;=AC12,"D",TRUE,"NÃO ATINGIDO")</f>
        <v>NÃO ATINGIDO</v>
      </c>
      <c r="AF12" s="31" t="str" cm="1">
        <f t="array" ref="AF12">_xlfn.IFS(AE12="NÃO ATINGIDO","D",AE12="D","C",AE12="C","B",AE12="B","A",AE12="A","OBJETIVO ALCANÇADO")</f>
        <v>D</v>
      </c>
      <c r="AG12" s="31" cm="1">
        <f t="array" ref="AG12">_xlfn.IFS(AF12="D",MAX(AC12-AD12,0),AF12="C",MAX(AB12-AD12,0),AF12="B",MAX(AA12-AD12,0),AF12="A",MAX(Z12-AD12,0),AF12="OBJETIVO ALCANÇADO",0)</f>
        <v>14</v>
      </c>
      <c r="AI12" t="s">
        <v>23</v>
      </c>
      <c r="AJ12" s="24">
        <f>_xlfn.XLOOKUP(Tabela817[[#This Row],[VENDEDOR]],[1]!Tabela8[VENDEDOR],[1]!Tabela8[META A])</f>
        <v>58000</v>
      </c>
      <c r="AK12" s="24">
        <f>_xlfn.XLOOKUP(Tabela817[[#This Row],[VENDEDOR]],[1]!Tabela8[VENDEDOR],[1]!Tabela8[META B])</f>
        <v>49300</v>
      </c>
      <c r="AL12" s="24">
        <f>_xlfn.XLOOKUP(Tabela817[[#This Row],[VENDEDOR]],[1]!Tabela8[VENDEDOR],[1]!Tabela8[META C])</f>
        <v>40600</v>
      </c>
      <c r="AM12" s="24">
        <f>_xlfn.XLOOKUP(Tabela817[[#This Row],[VENDEDOR]],[1]!Tabela8[VENDEDOR],[1]!Tabela8[META D])</f>
        <v>26100</v>
      </c>
      <c r="AN12" s="25">
        <f>IFERROR(_xlfn.XLOOKUP(AI12,'[1]BASE PYTHON'!$E:$E,'[1]BASE PYTHON'!$F:$F,0),0)</f>
        <v>6469.4299999999976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19630.570000000003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96000</v>
      </c>
      <c r="D13" s="22">
        <f>_xlfn.XLOOKUP(Tabela13[[#This Row],[REFERENCIA]],'[1]BASE PYTHON'!$E:$E,'[1]BASE PYTHON'!$F:$F,0)</f>
        <v>10293.6</v>
      </c>
      <c r="E13" s="43">
        <f>Tabela13[[#This Row],[META A]]-Tabela13[[#This Row],[ATINGIDO]]</f>
        <v>85706.4</v>
      </c>
      <c r="F13" s="4"/>
      <c r="G13" s="18" t="s">
        <v>21</v>
      </c>
      <c r="H13" s="18" t="s">
        <v>21</v>
      </c>
      <c r="I13" s="19">
        <f>_xlfn.XLOOKUP(Tabela5[[#This Row],[REFERENCIA]],'[1]BASE PYTHON'!$A$39:$A$55,'[1]BASE PYTHON'!$B$39:$B$55,0)</f>
        <v>23160</v>
      </c>
      <c r="J13" s="19">
        <f>_xlfn.XLOOKUP(Tabela5[[#This Row],[REFERENCIA]],'[1]BASE PYTHON'!$H:$H,'[1]BASE PYTHON'!$I:$I,0)</f>
        <v>13145.130000000003</v>
      </c>
      <c r="K13" s="20">
        <f>Tabela5[[#This Row],[COMPROMISSO]]-Tabela5[[#This Row],[ATINGIDO]]</f>
        <v>10014.869999999997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0</v>
      </c>
      <c r="Q13" s="2">
        <f>Tabela8[[#This Row],[COMPROMISSO]]-Tabela8[[#This Row],[ATINGIDO]]</f>
        <v>0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35</v>
      </c>
      <c r="V13" s="17">
        <f ca="1">IFERROR(VLOOKUP(Tabela2[[#This Row],[REFERENCIA]],'[1]BASE PYTHON'!$K:$N,'[1]BASE PYTHON'!L$1,0),0)</f>
        <v>5</v>
      </c>
      <c r="W13" s="17">
        <f t="shared" ca="1" si="0"/>
        <v>30</v>
      </c>
      <c r="Y13" s="32" t="s">
        <v>9</v>
      </c>
      <c r="Z13" s="30">
        <f>_xlfn.XLOOKUP(Tabela17[[#This Row],[VENDEDOR]],[1]!Tabela4[VENDEDOR],[1]!Tabela4[META A])</f>
        <v>35</v>
      </c>
      <c r="AA13" s="28">
        <f>_xlfn.XLOOKUP(Tabela17[[#This Row],[VENDEDOR]],[1]!Tabela4[VENDEDOR],[1]!Tabela4[META B])</f>
        <v>30</v>
      </c>
      <c r="AB13" s="28">
        <f>_xlfn.XLOOKUP(Tabela17[[#This Row],[VENDEDOR]],[1]!Tabela4[VENDEDOR],[1]!Tabela4[META C])</f>
        <v>24.5</v>
      </c>
      <c r="AC13" s="28">
        <f>_xlfn.XLOOKUP(Tabela17[[#This Row],[VENDEDOR]],[1]!Tabela4[VENDEDOR],[1]!Tabela4[META D])</f>
        <v>14</v>
      </c>
      <c r="AD13" s="29">
        <f>IFERROR(_xlfn.XLOOKUP(Y13,'[1]BASE PYTHON'!$K:$K,'[1]BASE PYTHON'!$N:$N,0),0)</f>
        <v>0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14</v>
      </c>
      <c r="AI13" t="s">
        <v>9</v>
      </c>
      <c r="AJ13" s="24">
        <f>_xlfn.XLOOKUP(Tabela817[[#This Row],[VENDEDOR]],[1]!Tabela8[VENDEDOR],[1]!Tabela8[META A])</f>
        <v>96000</v>
      </c>
      <c r="AK13" s="24">
        <f>_xlfn.XLOOKUP(Tabela817[[#This Row],[VENDEDOR]],[1]!Tabela8[VENDEDOR],[1]!Tabela8[META B])</f>
        <v>81600</v>
      </c>
      <c r="AL13" s="24">
        <f>_xlfn.XLOOKUP(Tabela817[[#This Row],[VENDEDOR]],[1]!Tabela8[VENDEDOR],[1]!Tabela8[META C])</f>
        <v>67200</v>
      </c>
      <c r="AM13" s="24">
        <f>_xlfn.XLOOKUP(Tabela817[[#This Row],[VENDEDOR]],[1]!Tabela8[VENDEDOR],[1]!Tabela8[META D])</f>
        <v>43200</v>
      </c>
      <c r="AN13" s="25">
        <f>IFERROR(_xlfn.XLOOKUP(AI13,'[1]BASE PYTHON'!$E:$E,'[1]BASE PYTHON'!$F:$F,0),0)</f>
        <v>10293.6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32906.400000000001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281000</v>
      </c>
      <c r="D14" s="22">
        <f>_xlfn.XLOOKUP(Tabela13[[#This Row],[REFERENCIA]],'[1]BASE PYTHON'!$E:$E,'[1]BASE PYTHON'!$F:$F,0)</f>
        <v>31839.209999999995</v>
      </c>
      <c r="E14" s="43">
        <f>Tabela13[[#This Row],[META A]]-Tabela13[[#This Row],[ATINGIDO]]</f>
        <v>249160.79</v>
      </c>
      <c r="F14" s="4"/>
      <c r="G14" s="18" t="s">
        <v>15</v>
      </c>
      <c r="H14" s="18" t="s">
        <v>43</v>
      </c>
      <c r="I14" s="19">
        <f>_xlfn.XLOOKUP(Tabela5[[#This Row],[REFERENCIA]],'[1]BASE PYTHON'!$A$39:$A$55,'[1]BASE PYTHON'!$B$39:$B$55,0)</f>
        <v>19910</v>
      </c>
      <c r="J14" s="19">
        <f>_xlfn.XLOOKUP(Tabela5[[#This Row],[REFERENCIA]],'[1]BASE PYTHON'!$H:$H,'[1]BASE PYTHON'!$I:$I,0)</f>
        <v>10169.540000000001</v>
      </c>
      <c r="K14" s="20">
        <f>Tabela5[[#This Row],[COMPROMISSO]]-Tabela5[[#This Row],[ATINGIDO]]</f>
        <v>9740.4599999999991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35</v>
      </c>
      <c r="V14" s="17">
        <f ca="1">IFERROR(VLOOKUP(Tabela2[[#This Row],[REFERENCIA]],'[1]BASE PYTHON'!$K:$N,'[1]BASE PYTHON'!L$1,0),0)</f>
        <v>1</v>
      </c>
      <c r="W14" s="17">
        <f t="shared" ca="1" si="0"/>
        <v>34</v>
      </c>
      <c r="Y14" s="33" t="s">
        <v>7</v>
      </c>
      <c r="Z14" s="30">
        <f>_xlfn.XLOOKUP(Tabela17[[#This Row],[VENDEDOR]],[1]!Tabela4[VENDEDOR],[1]!Tabela4[META A])</f>
        <v>35</v>
      </c>
      <c r="AA14" s="30">
        <f>_xlfn.XLOOKUP(Tabela17[[#This Row],[VENDEDOR]],[1]!Tabela4[VENDEDOR],[1]!Tabela4[META B])</f>
        <v>30</v>
      </c>
      <c r="AB14" s="30">
        <f>_xlfn.XLOOKUP(Tabela17[[#This Row],[VENDEDOR]],[1]!Tabela4[VENDEDOR],[1]!Tabela4[META C])</f>
        <v>24.5</v>
      </c>
      <c r="AC14" s="30">
        <f>_xlfn.XLOOKUP(Tabela17[[#This Row],[VENDEDOR]],[1]!Tabela4[VENDEDOR],[1]!Tabela4[META D])</f>
        <v>14</v>
      </c>
      <c r="AD14" s="31">
        <f>IFERROR(_xlfn.XLOOKUP(Y14,'[1]BASE PYTHON'!$K:$K,'[1]BASE PYTHON'!$N:$N,0),0)</f>
        <v>0</v>
      </c>
      <c r="AE14" s="31" t="str" cm="1">
        <f t="array" ref="AE14">_xlfn.IFS(AD14&gt;=Z14,"A",AD14&gt;=AA14,"B",AD14&gt;=AB14,"C",AD14&gt;=AC14,"D",TRUE,"NÃO ATINGIDO")</f>
        <v>NÃO ATINGIDO</v>
      </c>
      <c r="AF14" s="31" t="str" cm="1">
        <f t="array" ref="AF14">_xlfn.IFS(AE14="NÃO ATINGIDO","D",AE14="D","C",AE14="C","B",AE14="B","A",AE14="A","OBJETIVO ALCANÇADO")</f>
        <v>D</v>
      </c>
      <c r="AG14" s="31" cm="1">
        <f t="array" ref="AG14">_xlfn.IFS(AF14="D",MAX(AC14-AD14,0),AF14="C",MAX(AB14-AD14,0),AF14="B",MAX(AA14-AD14,0),AF14="A",MAX(Z14-AD14,0),AF14="OBJETIVO ALCANÇADO",0)</f>
        <v>14</v>
      </c>
      <c r="AI14" t="s">
        <v>7</v>
      </c>
      <c r="AJ14" s="24">
        <f>_xlfn.XLOOKUP(Tabela817[[#This Row],[VENDEDOR]],[1]!Tabela8[VENDEDOR],[1]!Tabela8[META A])</f>
        <v>70500</v>
      </c>
      <c r="AK14" s="24">
        <f>_xlfn.XLOOKUP(Tabela817[[#This Row],[VENDEDOR]],[1]!Tabela8[VENDEDOR],[1]!Tabela8[META B])</f>
        <v>59925</v>
      </c>
      <c r="AL14" s="24">
        <f>_xlfn.XLOOKUP(Tabela817[[#This Row],[VENDEDOR]],[1]!Tabela8[VENDEDOR],[1]!Tabela8[META C])</f>
        <v>49350</v>
      </c>
      <c r="AM14" s="24">
        <f>_xlfn.XLOOKUP(Tabela817[[#This Row],[VENDEDOR]],[1]!Tabela8[VENDEDOR],[1]!Tabela8[META D])</f>
        <v>31725</v>
      </c>
      <c r="AN14" s="25">
        <f>IFERROR(_xlfn.XLOOKUP(AI14,'[1]BASE PYTHON'!$E:$E,'[1]BASE PYTHON'!$F:$F,0),0)</f>
        <v>4765.8999999999996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26959.1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84000</v>
      </c>
      <c r="D15" s="22">
        <f>_xlfn.XLOOKUP(Tabela13[[#This Row],[REFERENCIA]],'[1]BASE PYTHON'!$E:$E,'[1]BASE PYTHON'!$F:$F,0)</f>
        <v>11111.86</v>
      </c>
      <c r="E15" s="43">
        <f>Tabela13[[#This Row],[META A]]-Tabela13[[#This Row],[ATINGIDO]]</f>
        <v>72888.14</v>
      </c>
      <c r="F15" s="4"/>
      <c r="G15" s="18" t="s">
        <v>8</v>
      </c>
      <c r="H15" s="18" t="s">
        <v>8</v>
      </c>
      <c r="I15" s="19">
        <f>_xlfn.XLOOKUP(Tabela5[[#This Row],[REFERENCIA]],'[1]BASE PYTHON'!$A$39:$A$55,'[1]BASE PYTHON'!$B$39:$B$55,0)</f>
        <v>32180</v>
      </c>
      <c r="J15" s="19">
        <f>_xlfn.XLOOKUP(Tabela5[[#This Row],[REFERENCIA]],'[1]BASE PYTHON'!$H:$H,'[1]BASE PYTHON'!$I:$I,0)</f>
        <v>33708.730000000003</v>
      </c>
      <c r="K15" s="20">
        <f>Tabela5[[#This Row],[COMPROMISSO]]-Tabela5[[#This Row],[ATINGIDO]]</f>
        <v>-1528.7300000000032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0</v>
      </c>
      <c r="V15" s="17">
        <f>IFERROR(VLOOKUP(Tabela2[[#This Row],[REFERENCIA]],'[1]BASE PYTHON'!$K:$N,'[1]BASE PYTHON'!L$1,0),0)</f>
        <v>0</v>
      </c>
      <c r="W15" s="17">
        <f>U15-V15</f>
        <v>0</v>
      </c>
      <c r="Y15" s="32" t="s">
        <v>11</v>
      </c>
      <c r="Z15" s="30">
        <f>_xlfn.XLOOKUP(Tabela17[[#This Row],[VENDEDOR]],[1]!Tabela4[VENDEDOR],[1]!Tabela4[META A])</f>
        <v>35</v>
      </c>
      <c r="AA15" s="28">
        <f>_xlfn.XLOOKUP(Tabela17[[#This Row],[VENDEDOR]],[1]!Tabela4[VENDEDOR],[1]!Tabela4[META B])</f>
        <v>30</v>
      </c>
      <c r="AB15" s="28">
        <f>_xlfn.XLOOKUP(Tabela17[[#This Row],[VENDEDOR]],[1]!Tabela4[VENDEDOR],[1]!Tabela4[META C])</f>
        <v>24.5</v>
      </c>
      <c r="AC15" s="28">
        <f>_xlfn.XLOOKUP(Tabela17[[#This Row],[VENDEDOR]],[1]!Tabela4[VENDEDOR],[1]!Tabela4[META D])</f>
        <v>14</v>
      </c>
      <c r="AD15" s="29">
        <f>IFERROR(_xlfn.XLOOKUP(Y15,'[1]BASE PYTHON'!$K:$K,'[1]BASE PYTHON'!$N:$N,0),0)</f>
        <v>1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13</v>
      </c>
      <c r="AI15" t="s">
        <v>11</v>
      </c>
      <c r="AJ15" s="24">
        <f>_xlfn.XLOOKUP(Tabela817[[#This Row],[VENDEDOR]],[1]!Tabela8[VENDEDOR],[1]!Tabela8[META A])</f>
        <v>84000</v>
      </c>
      <c r="AK15" s="24">
        <f>_xlfn.XLOOKUP(Tabela817[[#This Row],[VENDEDOR]],[1]!Tabela8[VENDEDOR],[1]!Tabela8[META B])</f>
        <v>71400</v>
      </c>
      <c r="AL15" s="24">
        <f>_xlfn.XLOOKUP(Tabela817[[#This Row],[VENDEDOR]],[1]!Tabela8[VENDEDOR],[1]!Tabela8[META C])</f>
        <v>58799.999999999993</v>
      </c>
      <c r="AM15" s="24">
        <f>_xlfn.XLOOKUP(Tabela817[[#This Row],[VENDEDOR]],[1]!Tabela8[VENDEDOR],[1]!Tabela8[META D])</f>
        <v>37800</v>
      </c>
      <c r="AN15" s="25">
        <f>IFERROR(_xlfn.XLOOKUP(AI15,'[1]BASE PYTHON'!$E:$E,'[1]BASE PYTHON'!$F:$F,0),0)</f>
        <v>11111.86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26688.14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2017.1999999999998</v>
      </c>
      <c r="E16" s="43">
        <f>Tabela13[[#This Row],[META A]]-Tabela13[[#This Row],[ATINGIDO]]</f>
        <v>347982.8</v>
      </c>
      <c r="F16" s="4"/>
      <c r="G16" s="18" t="s">
        <v>20</v>
      </c>
      <c r="H16" s="18" t="s">
        <v>20</v>
      </c>
      <c r="I16" s="19">
        <f>_xlfn.XLOOKUP(Tabela5[[#This Row],[REFERENCIA]],'[1]BASE PYTHON'!$A$39:$A$55,'[1]BASE PYTHON'!$B$39:$B$55,0)</f>
        <v>17760</v>
      </c>
      <c r="J16" s="19">
        <f>_xlfn.XLOOKUP(Tabela5[[#This Row],[REFERENCIA]],'[1]BASE PYTHON'!$H:$H,'[1]BASE PYTHON'!$I:$I,0)</f>
        <v>16105.800000000005</v>
      </c>
      <c r="K16" s="20">
        <f>Tabela5[[#This Row],[COMPROMISSO]]-Tabela5[[#This Row],[ATINGIDO]]</f>
        <v>1654.1999999999953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35</v>
      </c>
      <c r="V16" s="17">
        <f>IFERROR(VLOOKUP(Tabela2[[#This Row],[REFERENCIA]],'[1]BASE PYTHON'!$K:$N,'[1]BASE PYTHON'!L$1,0),0)</f>
        <v>0</v>
      </c>
      <c r="W16" s="17">
        <f t="shared" si="0"/>
        <v>35</v>
      </c>
      <c r="Y16" s="33" t="s">
        <v>19</v>
      </c>
      <c r="Z16" s="30">
        <f>_xlfn.XLOOKUP(Tabela17[[#This Row],[VENDEDOR]],[1]!Tabela4[VENDEDOR],[1]!Tabela4[META A])</f>
        <v>35</v>
      </c>
      <c r="AA16" s="30">
        <f>_xlfn.XLOOKUP(Tabela17[[#This Row],[VENDEDOR]],[1]!Tabela4[VENDEDOR],[1]!Tabela4[META B])</f>
        <v>30</v>
      </c>
      <c r="AB16" s="30">
        <f>_xlfn.XLOOKUP(Tabela17[[#This Row],[VENDEDOR]],[1]!Tabela4[VENDEDOR],[1]!Tabela4[META C])</f>
        <v>24.5</v>
      </c>
      <c r="AC16" s="30">
        <f>_xlfn.XLOOKUP(Tabela17[[#This Row],[VENDEDOR]],[1]!Tabela4[VENDEDOR],[1]!Tabela4[META D])</f>
        <v>14</v>
      </c>
      <c r="AD16" s="31">
        <f>IFERROR(_xlfn.XLOOKUP(Y16,'[1]BASE PYTHON'!$K:$K,'[1]BASE PYTHON'!$N:$N,0),0)</f>
        <v>1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13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99400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15519.85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48380.15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500000</v>
      </c>
      <c r="D17" s="22">
        <f>_xlfn.XLOOKUP(Tabela13[[#This Row],[REFERENCIA]],'[1]BASE PYTHON'!$E:$E,'[1]BASE PYTHON'!$F:$F,0)</f>
        <v>12150</v>
      </c>
      <c r="E17" s="43">
        <f>Tabela13[[#This Row],[META A]]-Tabela13[[#This Row],[ATINGIDO]]</f>
        <v>487850</v>
      </c>
      <c r="F17" s="4"/>
      <c r="G17" s="18" t="s">
        <v>16</v>
      </c>
      <c r="H17" s="18" t="s">
        <v>16</v>
      </c>
      <c r="I17" s="19">
        <f>_xlfn.XLOOKUP(Tabela5[[#This Row],[REFERENCIA]],'[1]BASE PYTHON'!$A$39:$A$55,'[1]BASE PYTHON'!$B$39:$B$55,0)</f>
        <v>10200</v>
      </c>
      <c r="J17" s="19">
        <f>_xlfn.XLOOKUP(Tabela5[[#This Row],[REFERENCIA]],'[1]BASE PYTHON'!$H:$H,'[1]BASE PYTHON'!$I:$I,0)</f>
        <v>2463.46</v>
      </c>
      <c r="K17" s="20">
        <f>Tabela5[[#This Row],[COMPROMISSO]]-Tabela5[[#This Row],[ATINGIDO]]</f>
        <v>7736.54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8666.7999999999993</v>
      </c>
      <c r="Q17" s="2">
        <f>Tabela8[[#This Row],[COMPROMISSO]]-Tabela8[[#This Row],[ATINGIDO]]</f>
        <v>-8666.7999999999993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35</v>
      </c>
      <c r="V17" s="17">
        <f ca="1">IFERROR(VLOOKUP(Tabela2[[#This Row],[REFERENCIA]],'[1]BASE PYTHON'!$K:$N,'[1]BASE PYTHON'!L$1,0),0)</f>
        <v>4</v>
      </c>
      <c r="W17" s="17">
        <f t="shared" ca="1" si="0"/>
        <v>31</v>
      </c>
      <c r="Y17" s="32" t="s">
        <v>14</v>
      </c>
      <c r="Z17" s="30">
        <f>_xlfn.XLOOKUP(Tabela17[[#This Row],[VENDEDOR]],[1]!Tabela4[VENDEDOR],[1]!Tabela4[META A])</f>
        <v>35</v>
      </c>
      <c r="AA17" s="28">
        <f>_xlfn.XLOOKUP(Tabela17[[#This Row],[VENDEDOR]],[1]!Tabela4[VENDEDOR],[1]!Tabela4[META B])</f>
        <v>30</v>
      </c>
      <c r="AB17" s="28">
        <f>_xlfn.XLOOKUP(Tabela17[[#This Row],[VENDEDOR]],[1]!Tabela4[VENDEDOR],[1]!Tabela4[META C])</f>
        <v>24.5</v>
      </c>
      <c r="AC17" s="28">
        <f>_xlfn.XLOOKUP(Tabela17[[#This Row],[VENDEDOR]],[1]!Tabela4[VENDEDOR],[1]!Tabela4[META D])</f>
        <v>14</v>
      </c>
      <c r="AD17" s="29">
        <f>IFERROR(_xlfn.XLOOKUP(Y17,'[1]BASE PYTHON'!$K:$K,'[1]BASE PYTHON'!$N:$N,0),0)</f>
        <v>0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14</v>
      </c>
      <c r="AI17" t="s">
        <v>14</v>
      </c>
      <c r="AJ17" s="24">
        <f>_xlfn.XLOOKUP(Tabela817[[#This Row],[VENDEDOR]],[1]!Tabela8[VENDEDOR],[1]!Tabela8[META A])</f>
        <v>166598</v>
      </c>
      <c r="AK17" s="24">
        <f>_xlfn.XLOOKUP(Tabela817[[#This Row],[VENDEDOR]],[1]!Tabela8[VENDEDOR],[1]!Tabela8[META B])</f>
        <v>141609</v>
      </c>
      <c r="AL17" s="24">
        <f>_xlfn.XLOOKUP(Tabela817[[#This Row],[VENDEDOR]],[1]!Tabela8[VENDEDOR],[1]!Tabela8[META C])</f>
        <v>99127</v>
      </c>
      <c r="AM17" s="24">
        <f>_xlfn.XLOOKUP(Tabela817[[#This Row],[VENDEDOR]],[1]!Tabela8[VENDEDOR],[1]!Tabela8[META D])</f>
        <v>74970</v>
      </c>
      <c r="AN17" s="25">
        <f>IFERROR(_xlfn.XLOOKUP(AI17,'[1]BASE PYTHON'!$E:$E,'[1]BASE PYTHON'!$F:$F,0),0)</f>
        <v>24013.129999999997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50956.87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7672</v>
      </c>
      <c r="E18" s="43">
        <f>Tabela13[[#This Row],[META A]]-Tabela13[[#This Row],[ATINGIDO]]</f>
        <v>972328</v>
      </c>
      <c r="F18" s="4"/>
      <c r="G18" s="18" t="s">
        <v>12</v>
      </c>
      <c r="H18" s="18" t="s">
        <v>12</v>
      </c>
      <c r="I18" s="19">
        <f>_xlfn.XLOOKUP(Tabela5[[#This Row],[REFERENCIA]],'[1]BASE PYTHON'!$A$39:$A$55,'[1]BASE PYTHON'!$B$39:$B$55,0)</f>
        <v>0</v>
      </c>
      <c r="J18" s="19">
        <f ca="1">_xlfn.XLOOKUP(Tabela5[[#This Row],[REFERENCIA]],'[1]BASE PYTHON'!$H:$H,'[1]BASE PYTHON'!$I:$I,0)</f>
        <v>0</v>
      </c>
      <c r="K18" s="20">
        <f ca="1">Tabela5[[#This Row],[COMPROMISSO]]-Tabela5[[#This Row],[ATINGIDO]]</f>
        <v>0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35</v>
      </c>
      <c r="V18" s="17">
        <f>IFERROR(VLOOKUP(Tabela2[[#This Row],[REFERENCIA]],'[1]BASE PYTHON'!$K:$N,'[1]BASE PYTHON'!L$1,0),0)</f>
        <v>0</v>
      </c>
      <c r="W18" s="17">
        <f t="shared" si="0"/>
        <v>35</v>
      </c>
      <c r="Y18" s="33" t="s">
        <v>21</v>
      </c>
      <c r="Z18" s="30">
        <f>_xlfn.XLOOKUP(Tabela17[[#This Row],[VENDEDOR]],[1]!Tabela4[VENDEDOR],[1]!Tabela4[META A])</f>
        <v>35</v>
      </c>
      <c r="AA18" s="30">
        <f>_xlfn.XLOOKUP(Tabela17[[#This Row],[VENDEDOR]],[1]!Tabela4[VENDEDOR],[1]!Tabela4[META B])</f>
        <v>30</v>
      </c>
      <c r="AB18" s="30">
        <f>_xlfn.XLOOKUP(Tabela17[[#This Row],[VENDEDOR]],[1]!Tabela4[VENDEDOR],[1]!Tabela4[META C])</f>
        <v>24.5</v>
      </c>
      <c r="AC18" s="30">
        <f>_xlfn.XLOOKUP(Tabela17[[#This Row],[VENDEDOR]],[1]!Tabela4[VENDEDOR],[1]!Tabela4[META D])</f>
        <v>14</v>
      </c>
      <c r="AD18" s="31">
        <f>IFERROR(_xlfn.XLOOKUP(Y18,'[1]BASE PYTHON'!$K:$K,'[1]BASE PYTHON'!$N:$N,0),0)</f>
        <v>4</v>
      </c>
      <c r="AE18" s="31" t="str" cm="1">
        <f t="array" ref="AE18">_xlfn.IFS(AD18&gt;=Z18,"A",AD18&gt;=AA18,"B",AD18&gt;=AB18,"C",AD18&gt;=AC18,"D",TRUE,"NÃO ATINGIDO")</f>
        <v>NÃO ATINGIDO</v>
      </c>
      <c r="AF18" s="31" t="str" cm="1">
        <f t="array" ref="AF18">_xlfn.IFS(AE18="NÃO ATINGIDO","D",AE18="D","C",AE18="C","B",AE18="B","A",AE18="A","OBJETIVO ALCANÇADO")</f>
        <v>D</v>
      </c>
      <c r="AG18" s="31" cm="1">
        <f t="array" ref="AG18">_xlfn.IFS(AF18="D",MAX(AC18-AD18,0),AF18="C",MAX(AB18-AD18,0),AF18="B",MAX(AA18-AD18,0),AF18="A",MAX(Z18-AD18,0),AF18="OBJETIVO ALCANÇADO",0)</f>
        <v>10</v>
      </c>
      <c r="AI18" t="s">
        <v>21</v>
      </c>
      <c r="AJ18" s="24">
        <f>_xlfn.XLOOKUP(Tabela817[[#This Row],[VENDEDOR]],[1]!Tabela8[VENDEDOR],[1]!Tabela8[META A])</f>
        <v>270000</v>
      </c>
      <c r="AK18" s="24">
        <f>_xlfn.XLOOKUP(Tabela817[[#This Row],[VENDEDOR]],[1]!Tabela8[VENDEDOR],[1]!Tabela8[META B])</f>
        <v>229500</v>
      </c>
      <c r="AL18" s="24">
        <f>_xlfn.XLOOKUP(Tabela817[[#This Row],[VENDEDOR]],[1]!Tabela8[VENDEDOR],[1]!Tabela8[META C])</f>
        <v>189000</v>
      </c>
      <c r="AM18" s="24">
        <f>_xlfn.XLOOKUP(Tabela817[[#This Row],[VENDEDOR]],[1]!Tabela8[VENDEDOR],[1]!Tabela8[META D])</f>
        <v>121500</v>
      </c>
      <c r="AN18" s="25">
        <f>IFERROR(_xlfn.XLOOKUP(AI18,'[1]BASE PYTHON'!$E:$E,'[1]BASE PYTHON'!$F:$F,0),0)</f>
        <v>32294.459999999985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89205.540000000008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150000</v>
      </c>
      <c r="D19" s="22">
        <f>_xlfn.XLOOKUP(Tabela13[[#This Row],[REFERENCIA]],'[1]BASE PYTHON'!$E:$E,'[1]BASE PYTHON'!$F:$F,0)</f>
        <v>4315.6000000000004</v>
      </c>
      <c r="E19" s="43">
        <f>Tabela13[[#This Row],[META A]]-Tabela13[[#This Row],[ATINGIDO]]</f>
        <v>145684.4</v>
      </c>
      <c r="F19" s="4"/>
      <c r="G19" s="18" t="s">
        <v>13</v>
      </c>
      <c r="H19" s="18" t="s">
        <v>41</v>
      </c>
      <c r="I19" s="19">
        <f>_xlfn.XLOOKUP(Tabela5[[#This Row],[REFERENCIA]],'[1]BASE PYTHON'!$A$39:$A$55,'[1]BASE PYTHON'!$B$39:$B$55,0)</f>
        <v>18810</v>
      </c>
      <c r="J19" s="19">
        <f>_xlfn.XLOOKUP(Tabela5[[#This Row],[REFERENCIA]],'[1]BASE PYTHON'!$H:$H,'[1]BASE PYTHON'!$I:$I,0)</f>
        <v>13425.569999999992</v>
      </c>
      <c r="K19" s="20">
        <f>Tabela5[[#This Row],[COMPROMISSO]]-Tabela5[[#This Row],[ATINGIDO]]</f>
        <v>5384.4300000000076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35</v>
      </c>
      <c r="V19" s="17">
        <f ca="1">IFERROR(VLOOKUP(Tabela2[[#This Row],[REFERENCIA]],'[1]BASE PYTHON'!$K:$N,'[1]BASE PYTHON'!L$1,0),0)</f>
        <v>11</v>
      </c>
      <c r="W19" s="17">
        <f t="shared" ca="1" si="0"/>
        <v>24</v>
      </c>
      <c r="Y19" s="32" t="s">
        <v>16</v>
      </c>
      <c r="Z19" s="30">
        <f>_xlfn.XLOOKUP(Tabela17[[#This Row],[VENDEDOR]],[1]!Tabela4[VENDEDOR],[1]!Tabela4[META A])</f>
        <v>35</v>
      </c>
      <c r="AA19" s="28">
        <f>_xlfn.XLOOKUP(Tabela17[[#This Row],[VENDEDOR]],[1]!Tabela4[VENDEDOR],[1]!Tabela4[META B])</f>
        <v>30</v>
      </c>
      <c r="AB19" s="28">
        <f>_xlfn.XLOOKUP(Tabela17[[#This Row],[VENDEDOR]],[1]!Tabela4[VENDEDOR],[1]!Tabela4[META C])</f>
        <v>24.5</v>
      </c>
      <c r="AC19" s="28">
        <f>_xlfn.XLOOKUP(Tabela17[[#This Row],[VENDEDOR]],[1]!Tabela4[VENDEDOR],[1]!Tabela4[META D])</f>
        <v>14</v>
      </c>
      <c r="AD19" s="29">
        <f>IFERROR(_xlfn.XLOOKUP(Y19,'[1]BASE PYTHON'!$K:$K,'[1]BASE PYTHON'!$N:$N,0),0)</f>
        <v>0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14</v>
      </c>
      <c r="AI19" t="s">
        <v>16</v>
      </c>
      <c r="AJ19" s="24">
        <f>_xlfn.XLOOKUP(Tabela817[[#This Row],[VENDEDOR]],[1]!Tabela8[VENDEDOR],[1]!Tabela8[META A])</f>
        <v>95500</v>
      </c>
      <c r="AK19" s="24">
        <f>_xlfn.XLOOKUP(Tabela817[[#This Row],[VENDEDOR]],[1]!Tabela8[VENDEDOR],[1]!Tabela8[META B])</f>
        <v>81175</v>
      </c>
      <c r="AL19" s="24">
        <f>_xlfn.XLOOKUP(Tabela817[[#This Row],[VENDEDOR]],[1]!Tabela8[VENDEDOR],[1]!Tabela8[META C])</f>
        <v>66850</v>
      </c>
      <c r="AM19" s="24">
        <f>_xlfn.XLOOKUP(Tabela817[[#This Row],[VENDEDOR]],[1]!Tabela8[VENDEDOR],[1]!Tabela8[META D])</f>
        <v>42975</v>
      </c>
      <c r="AN19" s="25">
        <f>IFERROR(_xlfn.XLOOKUP(AI19,'[1]BASE PYTHON'!$E:$E,'[1]BASE PYTHON'!$F:$F,0),0)</f>
        <v>3489.02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39485.980000000003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590000</v>
      </c>
      <c r="D20" s="22">
        <f>_xlfn.XLOOKUP(Tabela13[[#This Row],[REFERENCIA]],'[1]BASE PYTHON'!$E:$E,'[1]BASE PYTHON'!$F:$F,0)</f>
        <v>15188.2</v>
      </c>
      <c r="E20" s="43">
        <f>Tabela13[[#This Row],[META A]]-Tabela13[[#This Row],[ATINGIDO]]</f>
        <v>574811.80000000005</v>
      </c>
      <c r="F20" s="4"/>
      <c r="G20" s="18" t="s">
        <v>10</v>
      </c>
      <c r="H20" s="18" t="s">
        <v>10</v>
      </c>
      <c r="I20" s="19">
        <f>_xlfn.XLOOKUP(Tabela5[[#This Row],[REFERENCIA]],'[1]BASE PYTHON'!$A$39:$A$55,'[1]BASE PYTHON'!$B$39:$B$55,0)</f>
        <v>25860</v>
      </c>
      <c r="J20" s="19">
        <f>_xlfn.XLOOKUP(Tabela5[[#This Row],[REFERENCIA]],'[1]BASE PYTHON'!$H:$H,'[1]BASE PYTHON'!$I:$I,0)</f>
        <v>18447.749999999985</v>
      </c>
      <c r="K20" s="20">
        <f>Tabela5[[#This Row],[COMPROMISSO]]-Tabela5[[#This Row],[ATINGIDO]]</f>
        <v>7412.2500000000146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35</v>
      </c>
      <c r="V20" s="17">
        <f>IFERROR(VLOOKUP(Tabela2[[#This Row],[REFERENCIA]],'[1]BASE PYTHON'!$K:$N,'[1]BASE PYTHON'!L$1,0),0)</f>
        <v>0</v>
      </c>
      <c r="W20" s="17">
        <f t="shared" si="0"/>
        <v>35</v>
      </c>
      <c r="Y20" s="33" t="s">
        <v>15</v>
      </c>
      <c r="Z20" s="30">
        <f>_xlfn.XLOOKUP(Tabela17[[#This Row],[VENDEDOR]],[1]!Tabela4[VENDEDOR],[1]!Tabela4[META A])</f>
        <v>35</v>
      </c>
      <c r="AA20" s="30">
        <f>_xlfn.XLOOKUP(Tabela17[[#This Row],[VENDEDOR]],[1]!Tabela4[VENDEDOR],[1]!Tabela4[META B])</f>
        <v>30</v>
      </c>
      <c r="AB20" s="30">
        <f>_xlfn.XLOOKUP(Tabela17[[#This Row],[VENDEDOR]],[1]!Tabela4[VENDEDOR],[1]!Tabela4[META C])</f>
        <v>24.5</v>
      </c>
      <c r="AC20" s="30">
        <f>_xlfn.XLOOKUP(Tabela17[[#This Row],[VENDEDOR]],[1]!Tabela4[VENDEDOR],[1]!Tabela4[META D])</f>
        <v>14</v>
      </c>
      <c r="AD20" s="31">
        <f>IFERROR(_xlfn.XLOOKUP(Y20,'[1]BASE PYTHON'!$K:$K,'[1]BASE PYTHON'!$N:$N,0),0)</f>
        <v>0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14</v>
      </c>
      <c r="AI20" t="s">
        <v>15</v>
      </c>
      <c r="AJ20" s="24">
        <f>_xlfn.XLOOKUP(Tabela817[[#This Row],[VENDEDOR]],[1]!Tabela8[VENDEDOR],[1]!Tabela8[META A])</f>
        <v>217500</v>
      </c>
      <c r="AK20" s="24">
        <f>_xlfn.XLOOKUP(Tabela817[[#This Row],[VENDEDOR]],[1]!Tabela8[VENDEDOR],[1]!Tabela8[META B])</f>
        <v>184875</v>
      </c>
      <c r="AL20" s="24">
        <f>_xlfn.XLOOKUP(Tabela817[[#This Row],[VENDEDOR]],[1]!Tabela8[VENDEDOR],[1]!Tabela8[META C])</f>
        <v>152250</v>
      </c>
      <c r="AM20" s="24">
        <f>_xlfn.XLOOKUP(Tabela817[[#This Row],[VENDEDOR]],[1]!Tabela8[VENDEDOR],[1]!Tabela8[META D])</f>
        <v>97875</v>
      </c>
      <c r="AN20" s="25">
        <f>IFERROR(_xlfn.XLOOKUP(AI20,'[1]BASE PYTHON'!$E:$E,'[1]BASE PYTHON'!$F:$F,0),0)</f>
        <v>12662.729999999998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85212.27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40356.879999999961</v>
      </c>
      <c r="E21" s="43">
        <f>Tabela13[[#This Row],[META A]]-Tabela13[[#This Row],[ATINGIDO]]</f>
        <v>439643.12000000005</v>
      </c>
      <c r="F21" s="4"/>
      <c r="G21" s="18" t="s">
        <v>11</v>
      </c>
      <c r="H21" s="18" t="s">
        <v>11</v>
      </c>
      <c r="I21" s="19">
        <f>_xlfn.XLOOKUP(Tabela5[[#This Row],[REFERENCIA]],'[1]BASE PYTHON'!$A$39:$A$55,'[1]BASE PYTHON'!$B$39:$B$55,0)</f>
        <v>4890</v>
      </c>
      <c r="J21" s="19">
        <f>_xlfn.XLOOKUP(Tabela5[[#This Row],[REFERENCIA]],'[1]BASE PYTHON'!$H:$H,'[1]BASE PYTHON'!$I:$I,0)</f>
        <v>3433.25</v>
      </c>
      <c r="K21" s="20">
        <f>Tabela5[[#This Row],[COMPROMISSO]]-Tabela5[[#This Row],[ATINGIDO]]</f>
        <v>1456.75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290476.19047619047</v>
      </c>
      <c r="P21" s="2">
        <f>IFERROR(GETPIVOTDATA("[Measures].[Soma de TOTAL 3]",'[1]BASE PYTHON'!$P$32,"[Intervalo 2].[SEMANA]","[Intervalo 2].[SEMANA].&amp;[1]"),0)</f>
        <v>3483.2</v>
      </c>
      <c r="Q21" s="7">
        <f>O21-P21</f>
        <v>286992.99047619046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35</v>
      </c>
      <c r="V21" s="17">
        <f ca="1">IFERROR(VLOOKUP(Tabela2[[#This Row],[REFERENCIA]],'[1]BASE PYTHON'!$K:$N,'[1]BASE PYTHON'!L$1,0),0)</f>
        <v>1</v>
      </c>
      <c r="W21" s="17">
        <f t="shared" ref="W21:W26" ca="1" si="1">U21-V21</f>
        <v>34</v>
      </c>
      <c r="Y21" s="36" t="s">
        <v>60</v>
      </c>
      <c r="Z21" s="37">
        <f>SUBTOTAL(109,Planilha1!$Z$3:$Z$20)</f>
        <v>639</v>
      </c>
      <c r="AA21" s="37">
        <f>SUBTOTAL(109,Planilha1!$AA$3:$AA$20)</f>
        <v>548</v>
      </c>
      <c r="AB21" s="37">
        <f>SUBTOTAL(109,Planilha1!$AB$3:$AB$20)</f>
        <v>448</v>
      </c>
      <c r="AC21" s="37">
        <f>SUBTOTAL(109,Planilha1!$AC$3:$AC$20)</f>
        <v>260</v>
      </c>
      <c r="AD21" s="37">
        <f>SUBTOTAL(109,Planilha1!$AD$3:$AD$20)</f>
        <v>56</v>
      </c>
      <c r="AE21" s="37"/>
      <c r="AF21" s="37"/>
      <c r="AG21" s="38">
        <f>SUBTOTAL(109,Planilha1!$AG$3:$AG$20)</f>
        <v>204</v>
      </c>
      <c r="AI21" t="s">
        <v>60</v>
      </c>
      <c r="AJ21" s="26">
        <f>SUBTOTAL(109,Tabela817[META A])</f>
        <v>2974777</v>
      </c>
      <c r="AK21" s="26">
        <f>SUBTOTAL(109,Tabela817[META B])</f>
        <v>2528562</v>
      </c>
      <c r="AL21" s="26">
        <f>SUBTOTAL(109,Tabela817[META C])</f>
        <v>2036590</v>
      </c>
      <c r="AM21" s="26">
        <f>SUBTOTAL(109,Tabela817[META D])</f>
        <v>1338651</v>
      </c>
      <c r="AN21" s="26">
        <f>SUBTOTAL(109,Tabela817[ATINGIDO])</f>
        <v>362931.64000000007</v>
      </c>
      <c r="AO21" s="4"/>
      <c r="AP21" s="4"/>
      <c r="AQ21" s="27">
        <f>SUBTOTAL(109,Tabela817[FALTA])</f>
        <v>975719.36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0</v>
      </c>
      <c r="D22" s="22">
        <f>_xlfn.XLOOKUP(Tabela13[[#This Row],[REFERENCIA]],'[1]BASE PYTHON'!$E:$E,'[1]BASE PYTHON'!$F:$F,0)</f>
        <v>0</v>
      </c>
      <c r="E22" s="43">
        <f>Tabela13[[#This Row],[META A]]-Tabela13[[#This Row],[ATINGIDO]]</f>
        <v>0</v>
      </c>
      <c r="F22" s="4"/>
      <c r="G22" s="18" t="s">
        <v>14</v>
      </c>
      <c r="H22" s="18" t="s">
        <v>42</v>
      </c>
      <c r="I22" s="19">
        <f>_xlfn.XLOOKUP(Tabela5[[#This Row],[REFERENCIA]],'[1]BASE PYTHON'!$A$39:$A$55,'[1]BASE PYTHON'!$B$39:$B$55,0)</f>
        <v>21810</v>
      </c>
      <c r="J22" s="19">
        <f>_xlfn.XLOOKUP(Tabela5[[#This Row],[REFERENCIA]],'[1]BASE PYTHON'!$H:$H,'[1]BASE PYTHON'!$I:$I,0)</f>
        <v>14168.78</v>
      </c>
      <c r="K22" s="20">
        <f>Tabela5[[#This Row],[COMPROMISSO]]-Tabela5[[#This Row],[ATINGIDO]]</f>
        <v>7641.2199999999993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726190.47619047621</v>
      </c>
      <c r="P22" s="7">
        <f>IFERROR(GETPIVOTDATA("[Measures].[Soma de TOTAL 3]",'[1]BASE PYTHON'!$P$32,"[Intervalo 2].[SEMANA]","[Intervalo 2].[SEMANA].&amp;[2]"),0)</f>
        <v>8666.7999999999993</v>
      </c>
      <c r="Q22" s="7">
        <f>O22-P22</f>
        <v>717523.67619047617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35</v>
      </c>
      <c r="V22" s="17">
        <f ca="1">IFERROR(VLOOKUP(Tabela2[[#This Row],[REFERENCIA]],'[1]BASE PYTHON'!$K:$N,'[1]BASE PYTHON'!L$1,0),0)</f>
        <v>2</v>
      </c>
      <c r="W22" s="17">
        <f t="shared" ca="1" si="1"/>
        <v>33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206000</v>
      </c>
      <c r="D23" s="22">
        <f>_xlfn.XLOOKUP(Tabela13[[#This Row],[REFERENCIA]],'[1]BASE PYTHON'!$E:$E,'[1]BASE PYTHON'!$F:$F,0)</f>
        <v>20124.039999999997</v>
      </c>
      <c r="E23" s="43">
        <f>Tabela13[[#This Row],[META A]]-Tabela13[[#This Row],[ATINGIDO]]</f>
        <v>185875.96</v>
      </c>
      <c r="F23" s="4"/>
      <c r="G23" s="18" t="s">
        <v>9</v>
      </c>
      <c r="H23" s="18" t="s">
        <v>9</v>
      </c>
      <c r="I23" s="19">
        <f>_xlfn.XLOOKUP(Tabela5[[#This Row],[REFERENCIA]],'[1]BASE PYTHON'!$A$39:$A$55,'[1]BASE PYTHON'!$B$39:$B$55,0)</f>
        <v>15240</v>
      </c>
      <c r="J23" s="19">
        <f>_xlfn.XLOOKUP(Tabela5[[#This Row],[REFERENCIA]],'[1]BASE PYTHON'!$H:$H,'[1]BASE PYTHON'!$I:$I,0)</f>
        <v>8426.4499999999989</v>
      </c>
      <c r="K23" s="20">
        <f>Tabela5[[#This Row],[COMPROMISSO]]-Tabela5[[#This Row],[ATINGIDO]]</f>
        <v>6813.5500000000011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580952.38095238095</v>
      </c>
      <c r="P23" s="7">
        <f>IFERROR(GETPIVOTDATA("[Measures].[Soma de TOTAL 3]",'[1]BASE PYTHON'!$P$32,"[Intervalo 2].[SEMANA]","[Intervalo 2].[SEMANA].&amp;[3]"),0)</f>
        <v>0</v>
      </c>
      <c r="Q23" s="7">
        <f>O23-P23</f>
        <v>580952.38095238095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35</v>
      </c>
      <c r="V23" s="17">
        <f ca="1">IFERROR(VLOOKUP(Tabela2[[#This Row],[REFERENCIA]],'[1]BASE PYTHON'!$K:$N,'[1]BASE PYTHON'!L$1,0),0)</f>
        <v>4</v>
      </c>
      <c r="W23" s="17">
        <f t="shared" ca="1" si="1"/>
        <v>31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166598</v>
      </c>
      <c r="D24" s="22">
        <f>_xlfn.XLOOKUP(Tabela13[[#This Row],[REFERENCIA]],'[1]BASE PYTHON'!$E:$E,'[1]BASE PYTHON'!$F:$F,0)</f>
        <v>24013.129999999997</v>
      </c>
      <c r="E24" s="43">
        <f>Tabela13[[#This Row],[META A]]-Tabela13[[#This Row],[ATINGIDO]]</f>
        <v>142584.87</v>
      </c>
      <c r="F24" s="4"/>
      <c r="G24" s="18" t="s">
        <v>24</v>
      </c>
      <c r="H24" s="18" t="s">
        <v>45</v>
      </c>
      <c r="I24" s="19">
        <f>_xlfn.XLOOKUP(Tabela5[[#This Row],[REFERENCIA]],'[1]BASE PYTHON'!$A$39:$A$55,'[1]BASE PYTHON'!$B$39:$B$55,0)</f>
        <v>12050</v>
      </c>
      <c r="J24" s="19">
        <f>_xlfn.XLOOKUP(Tabela5[[#This Row],[REFERENCIA]],'[1]BASE PYTHON'!$H:$H,'[1]BASE PYTHON'!$I:$I,0)</f>
        <v>7909.1</v>
      </c>
      <c r="K24" s="20">
        <f>Tabela5[[#This Row],[COMPROMISSO]]-Tabela5[[#This Row],[ATINGIDO]]</f>
        <v>4140.8999999999996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726190.47619047621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726190.47619047621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35</v>
      </c>
      <c r="V24" s="17">
        <f ca="1">IFERROR(VLOOKUP(Tabela2[[#This Row],[REFERENCIA]],'[1]BASE PYTHON'!$K:$N,'[1]BASE PYTHON'!L$1,0),0)</f>
        <v>1</v>
      </c>
      <c r="W24" s="17">
        <f t="shared" ca="1" si="1"/>
        <v>34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217500</v>
      </c>
      <c r="D25" s="22">
        <f>_xlfn.XLOOKUP(Tabela13[[#This Row],[REFERENCIA]],'[1]BASE PYTHON'!$E:$E,'[1]BASE PYTHON'!$F:$F,0)</f>
        <v>12662.729999999998</v>
      </c>
      <c r="E25" s="43">
        <f>Tabela13[[#This Row],[META A]]-Tabela13[[#This Row],[ATINGIDO]]</f>
        <v>204837.27</v>
      </c>
      <c r="F25" s="4"/>
      <c r="G25" s="18" t="s">
        <v>22</v>
      </c>
      <c r="H25" s="18" t="s">
        <v>22</v>
      </c>
      <c r="I25" s="19">
        <f>_xlfn.XLOOKUP(Tabela5[[#This Row],[REFERENCIA]],'[1]BASE PYTHON'!$A$39:$A$55,'[1]BASE PYTHON'!$B$39:$B$55,0)</f>
        <v>15120</v>
      </c>
      <c r="J25" s="19">
        <f>_xlfn.XLOOKUP(Tabela5[[#This Row],[REFERENCIA]],'[1]BASE PYTHON'!$H:$H,'[1]BASE PYTHON'!$I:$I,0)</f>
        <v>9210.7599999999984</v>
      </c>
      <c r="K25" s="20">
        <f>Tabela5[[#This Row],[COMPROMISSO]]-Tabela5[[#This Row],[ATINGIDO]]</f>
        <v>5909.2400000000016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726190.47619047621</v>
      </c>
      <c r="P25" s="7">
        <f>IFERROR(GETPIVOTDATA("[Measures].[Soma de TOTAL 3]",'[1]BASE PYTHON'!$P$32,"[Intervalo 2].[SEMANA]","[Intervalo 2].[SEMANA].&amp;[5]"),0)</f>
        <v>0</v>
      </c>
      <c r="Q25" s="7">
        <f>O25-P25</f>
        <v>726190.47619047621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35</v>
      </c>
      <c r="V25" s="17">
        <f>IFERROR(VLOOKUP(Tabela2[[#This Row],[REFERENCIA]],'[1]BASE PYTHON'!$K:$N,'[1]BASE PYTHON'!L$1,0),0)</f>
        <v>0</v>
      </c>
      <c r="W25" s="17">
        <f t="shared" si="1"/>
        <v>35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95500</v>
      </c>
      <c r="D26" s="22">
        <f>_xlfn.XLOOKUP(Tabela13[[#This Row],[REFERENCIA]],'[1]BASE PYTHON'!$E:$E,'[1]BASE PYTHON'!$F:$F,0)</f>
        <v>3489.02</v>
      </c>
      <c r="E26" s="43">
        <f>Tabela13[[#This Row],[META A]]-Tabela13[[#This Row],[ATINGIDO]]</f>
        <v>92010.98</v>
      </c>
      <c r="F26" s="4"/>
      <c r="G26" s="18" t="s">
        <v>23</v>
      </c>
      <c r="H26" s="18" t="s">
        <v>44</v>
      </c>
      <c r="I26" s="19">
        <f>_xlfn.XLOOKUP(Tabela5[[#This Row],[REFERENCIA]],'[1]BASE PYTHON'!$A$39:$A$55,'[1]BASE PYTHON'!$B$39:$B$55,0)</f>
        <v>8690</v>
      </c>
      <c r="J26" s="19">
        <f>_xlfn.XLOOKUP(Tabela5[[#This Row],[REFERENCIA]],'[1]BASE PYTHON'!$H:$H,'[1]BASE PYTHON'!$I:$I,0)</f>
        <v>3624.6000000000004</v>
      </c>
      <c r="K26" s="20">
        <f>Tabela5[[#This Row],[COMPROMISSO]]-Tabela5[[#This Row],[ATINGIDO]]</f>
        <v>5065.3999999999996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35</v>
      </c>
      <c r="V26" s="17">
        <f>IFERROR(VLOOKUP(Tabela2[[#This Row],[REFERENCIA]],'[1]BASE PYTHON'!$K:$N,'[1]BASE PYTHON'!L$1,0),0)</f>
        <v>0</v>
      </c>
      <c r="W26" s="17">
        <f t="shared" si="1"/>
        <v>35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269179</v>
      </c>
      <c r="D27" s="22">
        <f>_xlfn.XLOOKUP(Tabela13[[#This Row],[REFERENCIA]],'[1]BASE PYTHON'!$E:$E,'[1]BASE PYTHON'!$F:$F,0)</f>
        <v>37419.410000000025</v>
      </c>
      <c r="E27" s="43">
        <f>Tabela13[[#This Row],[META A]]-Tabela13[[#This Row],[ATINGIDO]]</f>
        <v>231759.58999999997</v>
      </c>
      <c r="F27" s="4"/>
      <c r="G27" s="18" t="s">
        <v>7</v>
      </c>
      <c r="H27" s="18" t="s">
        <v>7</v>
      </c>
      <c r="I27" s="19">
        <f>_xlfn.XLOOKUP(Tabela5[[#This Row],[REFERENCIA]],'[1]BASE PYTHON'!$A$39:$A$55,'[1]BASE PYTHON'!$B$39:$B$55,0)</f>
        <v>6810</v>
      </c>
      <c r="J27" s="19">
        <f>_xlfn.XLOOKUP(Tabela5[[#This Row],[REFERENCIA]],'[1]BASE PYTHON'!$H:$H,'[1]BASE PYTHON'!$I:$I,0)</f>
        <v>3066.15</v>
      </c>
      <c r="K27" s="20">
        <f>Tabela5[[#This Row],[COMPROMISSO]]-Tabela5[[#This Row],[ATINGIDO]]</f>
        <v>3743.85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331500</v>
      </c>
      <c r="D28" s="22">
        <f>_xlfn.XLOOKUP(Tabela13[[#This Row],[REFERENCIA]],'[1]BASE PYTHON'!$E:$E,'[1]BASE PYTHON'!$F:$F,0)</f>
        <v>52714.710000000036</v>
      </c>
      <c r="E28" s="43">
        <f>Tabela13[[#This Row],[META A]]-Tabela13[[#This Row],[ATINGIDO]]</f>
        <v>278785.28999999998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15519.85</v>
      </c>
      <c r="E30" s="43">
        <f>Tabela13[[#This Row],[META A]]-Tabela13[[#This Row],[ATINGIDO]]</f>
        <v>126480.15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53.333333333333336</v>
      </c>
      <c r="V30" s="5">
        <f>IFERROR(GETPIVOTDATA("[Measures].[Contagem Distinta de COD_CLIENTE 2]",'[1]BASE PYTHON'!$P$83,"[Intervalo 3].[SEMANAL]","[Intervalo 3].[SEMANAL].&amp;[1]"),0)</f>
        <v>14</v>
      </c>
      <c r="W30" s="6">
        <f>U30-V30</f>
        <v>39.333333333333336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175000</v>
      </c>
      <c r="D31" s="22">
        <f>_xlfn.XLOOKUP(Tabela13[[#This Row],[REFERENCIA]],'[1]BASE PYTHON'!$E:$E,'[1]BASE PYTHON'!$F:$F,0)</f>
        <v>20117.779999999992</v>
      </c>
      <c r="E31" s="43">
        <f>Tabela13[[#This Row],[META A]]-Tabela13[[#This Row],[ATINGIDO]]</f>
        <v>154882.22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283312.09523809527</v>
      </c>
      <c r="J31" s="2">
        <f>IFERROR(GETPIVOTDATA("[Measures].[Soma de TOTAL 3]",'[1]BASE PYTHON'!$P$4,"[Intervalo 2].[SEMANA]","[Intervalo 2].[SEMANA].&amp;[1]"),0)</f>
        <v>120365.8799999999</v>
      </c>
      <c r="K31" s="7">
        <f>I31-J31</f>
        <v>162946.21523809538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133.33333333333334</v>
      </c>
      <c r="V31" s="5">
        <f>IFERROR(GETPIVOTDATA("[Measures].[Contagem Distinta de COD_CLIENTE 2]",'[1]BASE PYTHON'!$P$83,"[Intervalo 3].[SEMANAL]","[Intervalo 3].[SEMANAL].&amp;[2]"),0)</f>
        <v>15</v>
      </c>
      <c r="W31" s="6">
        <f t="shared" ref="W31:W33" si="2">U31-V31</f>
        <v>118.33333333333334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270000</v>
      </c>
      <c r="D32" s="22">
        <f>_xlfn.XLOOKUP(Tabela13[[#This Row],[REFERENCIA]],'[1]BASE PYTHON'!$E:$E,'[1]BASE PYTHON'!$F:$F,0)</f>
        <v>32294.459999999985</v>
      </c>
      <c r="E32" s="43">
        <f>Tabela13[[#This Row],[META A]]-Tabela13[[#This Row],[ATINGIDO]]</f>
        <v>237705.54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708280.23809523811</v>
      </c>
      <c r="J32" s="7">
        <f>IFERROR(GETPIVOTDATA("[Measures].[Soma de TOTAL 3]",'[1]BASE PYTHON'!$P$4,"[Intervalo 2].[SEMANA]","[Intervalo 2].[SEMANA].&amp;[2]"),0)</f>
        <v>176767.39000000004</v>
      </c>
      <c r="K32" s="7">
        <f t="shared" ref="K32:K34" si="3">I32-J32</f>
        <v>531512.84809523809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106.66666666666667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106.66666666666667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88000</v>
      </c>
      <c r="D33" s="22">
        <f>_xlfn.XLOOKUP(Tabela13[[#This Row],[REFERENCIA]],'[1]BASE PYTHON'!$E:$E,'[1]BASE PYTHON'!$F:$F,0)</f>
        <v>12237.629999999997</v>
      </c>
      <c r="E33" s="43">
        <f>Tabela13[[#This Row],[META A]]-Tabela13[[#This Row],[ATINGIDO]]</f>
        <v>75762.37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566624.19047619053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566624.19047619053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133.33333333333334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133.33333333333334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58000</v>
      </c>
      <c r="D34" s="22">
        <f>_xlfn.XLOOKUP(Tabela13[[#This Row],[REFERENCIA]],'[1]BASE PYTHON'!$E:$E,'[1]BASE PYTHON'!$F:$F,0)</f>
        <v>6469.4299999999976</v>
      </c>
      <c r="E34" s="43">
        <f>Tabela13[[#This Row],[META A]]-Tabela13[[#This Row],[ATINGIDO]]</f>
        <v>51530.57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708280.23809523811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708280.23809523811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79000</v>
      </c>
      <c r="D35" s="22">
        <f>_xlfn.XLOOKUP(Tabela13[[#This Row],[REFERENCIA]],'[1]BASE PYTHON'!$E:$E,'[1]BASE PYTHON'!$F:$F,0)</f>
        <v>8237.1200000000008</v>
      </c>
      <c r="E35" s="43">
        <f>Tabela13[[#This Row],[META A]]-Tabela13[[#This Row],[ATINGIDO]]</f>
        <v>70762.880000000005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708280.23809523811</v>
      </c>
      <c r="J35" s="7">
        <f>IFERROR(GETPIVOTDATA("[Measures].[Soma de TOTAL 3]",'[1]BASE PYTHON'!$P$4,"[Intervalo 2].[SEMANA]","[Intervalo 2].[SEMANA].&amp;[5]"),0)</f>
        <v>0</v>
      </c>
      <c r="K35" s="7">
        <f>I35-J35</f>
        <v>708280.23809523811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573883.52380952379</v>
      </c>
      <c r="D40" s="2">
        <f>IFERROR(GETPIVOTDATA("[Measures].[Soma de TOTAL 3]",'[1]BASE PYTHON'!$P$47,"[Intervalo 2].[SEMANA]","[Intervalo 2].[SEMANA].&amp;[1]"),0)</f>
        <v>164169.93999999957</v>
      </c>
      <c r="E40" s="7">
        <f>C40-D40</f>
        <v>409713.58380952419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1434708.8095238095</v>
      </c>
      <c r="D41" s="2">
        <f>IFERROR(GETPIVOTDATA("[Measures].[Soma de TOTAL 3]",'[1]BASE PYTHON'!$P$47,"[Intervalo 2].[SEMANA]","[Intervalo 2].[SEMANA].&amp;[2]"),0)</f>
        <v>280461.68000000069</v>
      </c>
      <c r="E41" s="7">
        <f t="shared" ref="E41:E43" si="4">C41-D41</f>
        <v>1154247.1295238088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1147767.0476190476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1147767.0476190476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1434708.8095238095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1434708.8095238095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1434708.8095238095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1434708.8095238095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2" priority="2"/>
  </conditionalFormatting>
  <conditionalFormatting sqref="B12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2026-10-05T18:09:54Z</dcterms:modified>
</cp:coreProperties>
</file>