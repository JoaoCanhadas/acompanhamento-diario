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AF5CE83-BC8C-42DF-BD37-02977742C76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1" i="2"/>
  <c r="J34" i="2"/>
  <c r="P12" i="2"/>
  <c r="P25" i="2"/>
  <c r="P17" i="2"/>
  <c r="P14" i="2"/>
  <c r="P24" i="2"/>
  <c r="D43" i="2"/>
  <c r="P23" i="2"/>
  <c r="P13" i="2"/>
  <c r="D42" i="2"/>
  <c r="J31" i="2"/>
  <c r="P22" i="2"/>
  <c r="P21" i="2"/>
  <c r="P16" i="2"/>
  <c r="V34" i="2"/>
  <c r="J35" i="2"/>
  <c r="V32" i="2"/>
  <c r="J33" i="2"/>
  <c r="V33" i="2"/>
  <c r="D40" i="2"/>
  <c r="V31" i="2"/>
  <c r="D41" i="2"/>
  <c r="P15" i="2"/>
  <c r="J32" i="2"/>
  <c r="D44" i="2"/>
  <c r="V30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11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<sst xmlns="http://schemas.openxmlformats.org/spreadsheetml/2006/main" count="215" uniqueCount="54">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</sst>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11/08/2026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22124.100000000006</v>
          </cell>
          <cell r="H5" t="str">
            <v>CAMPINAS</v>
          </cell>
          <cell r="I5">
            <v>4240.7</v>
          </cell>
        </row>
        <row r="6">
          <cell r="E6" t="str">
            <v>CENTRO</v>
          </cell>
          <cell r="F6">
            <v>152957.19999999995</v>
          </cell>
          <cell r="H6" t="str">
            <v>CENTRO</v>
          </cell>
          <cell r="I6">
            <v>15958.300000000003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2481.8000000000002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H8" t="str">
            <v>INTERLAGOS</v>
          </cell>
          <cell r="I8">
            <v>9636.4699999999993</v>
          </cell>
          <cell r="K8" t="str">
            <v>CAMPINAS</v>
          </cell>
          <cell r="N8">
            <v>18</v>
          </cell>
        </row>
        <row r="9">
          <cell r="E9" t="str">
            <v>INDAIATUBA</v>
          </cell>
          <cell r="F9">
            <v>34002.525000000009</v>
          </cell>
          <cell r="H9" t="str">
            <v>JUNDIAI</v>
          </cell>
          <cell r="I9">
            <v>6358.6299999999983</v>
          </cell>
          <cell r="K9" t="str">
            <v>CENTRO</v>
          </cell>
          <cell r="N9">
            <v>33</v>
          </cell>
        </row>
        <row r="10">
          <cell r="E10" t="str">
            <v>INTERLAGOS</v>
          </cell>
          <cell r="F10">
            <v>89307.35999999987</v>
          </cell>
          <cell r="H10" t="str">
            <v>KEY ABC</v>
          </cell>
          <cell r="I10">
            <v>4369.3</v>
          </cell>
          <cell r="K10" t="str">
            <v>INDAIATUBA</v>
          </cell>
          <cell r="N10">
            <v>19</v>
          </cell>
        </row>
        <row r="11">
          <cell r="E11" t="str">
            <v>JUNDIAI</v>
          </cell>
          <cell r="F11">
            <v>34847.280000000006</v>
          </cell>
          <cell r="H11" t="str">
            <v>KEY CASA</v>
          </cell>
          <cell r="I11">
            <v>1818.9299999999998</v>
          </cell>
          <cell r="K11" t="str">
            <v>INTERLAGOS</v>
          </cell>
          <cell r="N11">
            <v>36</v>
          </cell>
        </row>
        <row r="12">
          <cell r="E12" t="str">
            <v>KEY ABC</v>
          </cell>
          <cell r="F12">
            <v>65215.040000000001</v>
          </cell>
          <cell r="H12" t="str">
            <v>KEY INTERIOR</v>
          </cell>
          <cell r="I12">
            <v>8730.6</v>
          </cell>
          <cell r="K12" t="str">
            <v>JUNDIAI</v>
          </cell>
          <cell r="N12">
            <v>9</v>
          </cell>
        </row>
        <row r="13">
          <cell r="E13" t="str">
            <v>KEY CASA</v>
          </cell>
          <cell r="F13">
            <v>160231.51999999993</v>
          </cell>
          <cell r="H13" t="str">
            <v>KEY SJC</v>
          </cell>
          <cell r="I13">
            <v>2031</v>
          </cell>
          <cell r="K13" t="str">
            <v>LESTE</v>
          </cell>
          <cell r="N13">
            <v>21</v>
          </cell>
        </row>
        <row r="14">
          <cell r="E14" t="str">
            <v>KEY INTERIOR</v>
          </cell>
          <cell r="F14">
            <v>415456.49999999983</v>
          </cell>
          <cell r="H14" t="str">
            <v>KEY SP</v>
          </cell>
          <cell r="I14">
            <v>5335.5</v>
          </cell>
          <cell r="K14" t="str">
            <v>LESTE MOOCA</v>
          </cell>
          <cell r="N14">
            <v>27</v>
          </cell>
        </row>
        <row r="15">
          <cell r="E15" t="str">
            <v>KEY PIRACICABA</v>
          </cell>
          <cell r="F15">
            <v>0</v>
          </cell>
          <cell r="H15" t="str">
            <v>KEY ZL</v>
          </cell>
          <cell r="I15">
            <v>2827.3599999999997</v>
          </cell>
          <cell r="K15" t="str">
            <v>LESTE PENHA</v>
          </cell>
          <cell r="N15">
            <v>13</v>
          </cell>
        </row>
        <row r="16">
          <cell r="E16" t="str">
            <v>KEY SJC</v>
          </cell>
          <cell r="F16">
            <v>4256.3499999999995</v>
          </cell>
          <cell r="H16" t="str">
            <v>LESTE</v>
          </cell>
          <cell r="I16">
            <v>5099.58</v>
          </cell>
          <cell r="K16" t="str">
            <v>LESTE TATUAPE</v>
          </cell>
          <cell r="N16">
            <v>14</v>
          </cell>
        </row>
        <row r="17">
          <cell r="E17" t="str">
            <v>KEY SP</v>
          </cell>
          <cell r="F17">
            <v>120006.71999999997</v>
          </cell>
          <cell r="H17" t="str">
            <v>LESTE MOOCA</v>
          </cell>
          <cell r="I17">
            <v>22029.44999999999</v>
          </cell>
          <cell r="K17" t="str">
            <v>MOGI</v>
          </cell>
          <cell r="N17">
            <v>12</v>
          </cell>
        </row>
        <row r="18">
          <cell r="E18" t="str">
            <v>KEY ZL</v>
          </cell>
          <cell r="F18">
            <v>102257.37000000001</v>
          </cell>
          <cell r="H18" t="str">
            <v>LESTE PENHA</v>
          </cell>
          <cell r="I18">
            <v>5952.2000000000007</v>
          </cell>
          <cell r="K18" t="str">
            <v>NORTE</v>
          </cell>
          <cell r="N18">
            <v>23</v>
          </cell>
        </row>
        <row r="19">
          <cell r="E19" t="str">
            <v>LESTE</v>
          </cell>
          <cell r="F19">
            <v>43906.260000000046</v>
          </cell>
          <cell r="H19" t="str">
            <v>LESTE TATUAPE</v>
          </cell>
          <cell r="I19">
            <v>2117.94</v>
          </cell>
          <cell r="K19" t="str">
            <v>OSASCO</v>
          </cell>
          <cell r="N19">
            <v>37</v>
          </cell>
        </row>
        <row r="20">
          <cell r="E20" t="str">
            <v>LESTE MOOCA</v>
          </cell>
          <cell r="F20">
            <v>70039.020000000033</v>
          </cell>
          <cell r="H20" t="str">
            <v>MOGI</v>
          </cell>
          <cell r="I20">
            <v>555.35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41347.950000000019</v>
          </cell>
          <cell r="H21" t="str">
            <v>NORTE</v>
          </cell>
          <cell r="I21">
            <v>13537.999999999998</v>
          </cell>
          <cell r="K21" t="str">
            <v>SANTO ANDRE</v>
          </cell>
          <cell r="N21">
            <v>17</v>
          </cell>
        </row>
        <row r="22">
          <cell r="E22" t="str">
            <v>LESTE TATUAPE</v>
          </cell>
          <cell r="F22">
            <v>29185.250000000051</v>
          </cell>
          <cell r="H22" t="str">
            <v>OSASCO</v>
          </cell>
          <cell r="I22">
            <v>15512.959999999994</v>
          </cell>
          <cell r="K22" t="str">
            <v>SBC</v>
          </cell>
          <cell r="N22">
            <v>20</v>
          </cell>
        </row>
        <row r="23">
          <cell r="E23" t="str">
            <v>MOGI</v>
          </cell>
          <cell r="F23">
            <v>12411.01999999999</v>
          </cell>
          <cell r="H23" t="str">
            <v>PIRITUBA</v>
          </cell>
          <cell r="I23">
            <v>4254.5499999999993</v>
          </cell>
          <cell r="K23" t="str">
            <v>SJC</v>
          </cell>
          <cell r="N23">
            <v>16</v>
          </cell>
        </row>
        <row r="24">
          <cell r="E24" t="str">
            <v>NORTE</v>
          </cell>
          <cell r="F24">
            <v>82490.659999999989</v>
          </cell>
          <cell r="H24" t="str">
            <v>SANTO ANDRE</v>
          </cell>
          <cell r="I24">
            <v>7852.9999999999991</v>
          </cell>
          <cell r="K24" t="str">
            <v>SJC/VALE</v>
          </cell>
          <cell r="N24">
            <v>18</v>
          </cell>
        </row>
        <row r="25">
          <cell r="E25" t="str">
            <v>OSASCO</v>
          </cell>
          <cell r="F25">
            <v>117480.54500000003</v>
          </cell>
          <cell r="H25" t="str">
            <v>SBC</v>
          </cell>
          <cell r="I25">
            <v>15472.83</v>
          </cell>
          <cell r="K25" t="str">
            <v>Total Geral</v>
          </cell>
          <cell r="N25">
            <v>348</v>
          </cell>
        </row>
        <row r="26">
          <cell r="E26" t="str">
            <v>PIRITUBA</v>
          </cell>
          <cell r="F26">
            <v>43735.680000000015</v>
          </cell>
          <cell r="H26" t="str">
            <v>SJC</v>
          </cell>
          <cell r="I26">
            <v>3771.7500000000005</v>
          </cell>
        </row>
        <row r="27">
          <cell r="E27" t="str">
            <v>SANTO ANDRE</v>
          </cell>
          <cell r="F27">
            <v>54308.640000000014</v>
          </cell>
          <cell r="H27" t="str">
            <v>SJC/VALE</v>
          </cell>
          <cell r="I27">
            <v>1399.25</v>
          </cell>
        </row>
        <row r="28">
          <cell r="E28" t="str">
            <v>SBC</v>
          </cell>
          <cell r="F28">
            <v>87703.629999999946</v>
          </cell>
          <cell r="H28" t="str">
            <v>VENDEDOR INTERNO 1</v>
          </cell>
          <cell r="I28">
            <v>1692</v>
          </cell>
        </row>
        <row r="29">
          <cell r="E29" t="str">
            <v>SJC</v>
          </cell>
          <cell r="F29">
            <v>29344.110000000011</v>
          </cell>
          <cell r="H29" t="str">
            <v>Total Geral</v>
          </cell>
          <cell r="I29">
            <v>163037.44999999987</v>
          </cell>
        </row>
        <row r="30">
          <cell r="E30" t="str">
            <v>SJC/VALE</v>
          </cell>
          <cell r="F30">
            <v>18190.23</v>
          </cell>
        </row>
        <row r="31">
          <cell r="E31" t="str">
            <v>VENDEDOR INTERNO 1</v>
          </cell>
          <cell r="F31">
            <v>27813</v>
          </cell>
        </row>
        <row r="32">
          <cell r="E32" t="str">
            <v>Total Geral</v>
          </cell>
          <cell r="F32">
            <v>1859351.2400000044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1859351.2399999998</v>
      </c>
      <c r="D5" s="2"/>
      <c r="E5" s="4"/>
      <c r="F5" s="4"/>
      <c r="G5" s="4"/>
      <c r="H5" s="4" t="s">
        <v>1</v>
      </c>
      <c r="I5" s="7">
        <f>SUM(J10:J27)</f>
        <v>137924.76</v>
      </c>
      <c r="J5" s="4"/>
      <c r="K5" s="4"/>
      <c r="L5" s="4"/>
      <c r="M5" s="4"/>
      <c r="N5" s="4" t="s">
        <v>1</v>
      </c>
      <c r="O5" s="7">
        <f>SUM(P11:P17)</f>
        <v>277704.01</v>
      </c>
      <c r="P5" s="4"/>
      <c r="Q5" s="4"/>
      <c r="R5" s="4"/>
      <c r="S5" s="4"/>
      <c r="T5" s="4" t="s">
        <v>1</v>
      </c>
      <c r="U5" s="4">
        <f>SUM(V10:V26)</f>
        <v>348</v>
      </c>
      <c r="V5" s="4"/>
      <c r="W5" s="4"/>
    </row>
    <row r="6" spans="1:23" x14ac:dyDescent="0.25">
      <c r="A6" s="4"/>
      <c r="B6" s="4" t="s">
        <v>2</v>
      </c>
      <c r="C6" s="2">
        <f>C4-C5</f>
        <v>3925148.7600000002</v>
      </c>
      <c r="D6" s="2"/>
      <c r="E6" s="4"/>
      <c r="F6" s="4"/>
      <c r="G6" s="4"/>
      <c r="H6" s="4" t="s">
        <v>2</v>
      </c>
      <c r="I6" s="7">
        <f>I4-I5</f>
        <v>62075.239999999991</v>
      </c>
      <c r="J6" s="4"/>
      <c r="K6" s="4"/>
      <c r="L6" s="4"/>
      <c r="M6" s="4"/>
      <c r="N6" s="4" t="s">
        <v>2</v>
      </c>
      <c r="O6" s="7">
        <f>O4-O5</f>
        <v>245295.99</v>
      </c>
      <c r="P6" s="4"/>
      <c r="Q6" s="4"/>
      <c r="R6" s="4"/>
      <c r="S6" s="4"/>
      <c r="T6" s="4" t="s">
        <v>2</v>
      </c>
      <c r="U6" s="4">
        <f>U4-U5</f>
        <v>435</v>
      </c>
      <c r="V6" s="4"/>
      <c r="W6" s="4"/>
    </row>
    <row r="7" spans="1:23" x14ac:dyDescent="0.25">
      <c r="A7" s="4"/>
      <c r="B7" s="4" t="s">
        <v>3</v>
      </c>
      <c r="C7" s="3">
        <f>1-(C6/C4)</f>
        <v>0.3214368121704555</v>
      </c>
      <c r="D7" s="2"/>
      <c r="E7" s="4"/>
      <c r="F7" s="4"/>
      <c r="G7" s="4"/>
      <c r="H7" s="4" t="s">
        <v>3</v>
      </c>
      <c r="I7" s="3">
        <f>1-(I6/I4)</f>
        <v>0.68962380000000012</v>
      </c>
      <c r="J7" s="4"/>
      <c r="K7" s="4"/>
      <c r="L7" s="4"/>
      <c r="M7" s="4"/>
      <c r="N7" s="4" t="s">
        <v>3</v>
      </c>
      <c r="O7" s="3">
        <f>1-(O6/O4)</f>
        <v>0.53098281070745701</v>
      </c>
      <c r="P7" s="4"/>
      <c r="Q7" s="4"/>
      <c r="R7" s="4"/>
      <c r="S7" s="4"/>
      <c r="T7" s="4" t="s">
        <v>3</v>
      </c>
      <c r="U7" s="3">
        <f>1-(U6/U4)</f>
        <v>0.44444444444444442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22124.100000000006</v>
      </c>
      <c r="E10" s="25">
        <f>Tabela13[[#This Row],[META A]]-Tabela13[[#This Row],[ATINGIDO]]</f>
        <v>42375.899999999994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22330</v>
      </c>
      <c r="J10" s="21">
        <f>_xlfn.XLOOKUP(Tabela5[[#This Row],[REFERENCIA]],'[1]BASE PYTHON'!$H:$H,'[1]BASE PYTHON'!$I:$I,0)</f>
        <v>15512.959999999994</v>
      </c>
      <c r="K10" s="22">
        <f>Tabela5[[#This Row],[COMPROMISSO]]-Tabela5[[#This Row],[ATINGIDO]]</f>
        <v>6817.0400000000063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18</v>
      </c>
      <c r="W10" s="18">
        <f>U10-V10</f>
        <v>20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152957.19999999995</v>
      </c>
      <c r="E11" s="23">
        <f>Tabela13[[#This Row],[META A]]-Tabela13[[#This Row],[ATINGIDO]]</f>
        <v>177042.80000000005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13640</v>
      </c>
      <c r="J11" s="21">
        <f>_xlfn.XLOOKUP(Tabela5[[#This Row],[REFERENCIA]],'[1]BASE PYTHON'!$H:$H,'[1]BASE PYTHON'!$I:$I,0)</f>
        <v>13537.999999999998</v>
      </c>
      <c r="K11" s="22">
        <f>Tabela5[[#This Row],[COMPROMISSO]]-Tabela5[[#This Row],[ATINGIDO]]</f>
        <v>102.00000000000182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6049.7999999999993</v>
      </c>
      <c r="Q11" s="2">
        <f>Tabela8[[#This Row],[COMPROMISSO]]-Tabela8[[#This Row],[ATINGIDO]]</f>
        <v>63450.2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33</v>
      </c>
      <c r="W11" s="18">
        <f t="shared" ref="W11:W20" si="0">U11-V11</f>
        <v>21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11040</v>
      </c>
      <c r="J12" s="21">
        <f>_xlfn.XLOOKUP(Tabela5[[#This Row],[REFERENCIA]],'[1]BASE PYTHON'!$H:$H,'[1]BASE PYTHON'!$I:$I,0)</f>
        <v>4254.5499999999993</v>
      </c>
      <c r="K12" s="22">
        <f>Tabela5[[#This Row],[COMPROMISSO]]-Tabela5[[#This Row],[ATINGIDO]]</f>
        <v>6785.4500000000007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19</v>
      </c>
      <c r="W12" s="18">
        <f t="shared" si="0"/>
        <v>24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34002.525000000009</v>
      </c>
      <c r="E13" s="23">
        <f>Tabela13[[#This Row],[META A]]-Tabela13[[#This Row],[ATINGIDO]]</f>
        <v>55997.474999999991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22280</v>
      </c>
      <c r="J13" s="21">
        <f>_xlfn.XLOOKUP(Tabela5[[#This Row],[REFERENCIA]],'[1]BASE PYTHON'!$H:$H,'[1]BASE PYTHON'!$I:$I,0)</f>
        <v>15472.83</v>
      </c>
      <c r="K13" s="22">
        <f>Tabela5[[#This Row],[COMPROMISSO]]-Tabela5[[#This Row],[ATINGIDO]]</f>
        <v>6807.17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34362.959999999999</v>
      </c>
      <c r="Q13" s="2">
        <f>Tabela8[[#This Row],[COMPROMISSO]]-Tabela8[[#This Row],[ATINGIDO]]</f>
        <v>64637.04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36</v>
      </c>
      <c r="W13" s="18">
        <f t="shared" si="0"/>
        <v>25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89307.35999999987</v>
      </c>
      <c r="E14" s="25">
        <f>Tabela13[[#This Row],[META A]]-Tabela13[[#This Row],[ATINGIDO]]</f>
        <v>183692.64000000013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14070</v>
      </c>
      <c r="J14" s="21">
        <f>_xlfn.XLOOKUP(Tabela5[[#This Row],[REFERENCIA]],'[1]BASE PYTHON'!$H:$H,'[1]BASE PYTHON'!$I:$I,0)</f>
        <v>2117.94</v>
      </c>
      <c r="K14" s="22">
        <f>Tabela5[[#This Row],[COMPROMISSO]]-Tabela5[[#This Row],[ATINGIDO]]</f>
        <v>11952.06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181682.4</v>
      </c>
      <c r="Q14" s="2">
        <f>Tabela8[[#This Row],[COMPROMISSO]]-Tabela8[[#This Row],[ATINGIDO]]</f>
        <v>-21682.399999999994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9</v>
      </c>
      <c r="W14" s="18">
        <f t="shared" si="0"/>
        <v>20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34847.280000000006</v>
      </c>
      <c r="E15" s="23">
        <f>Tabela13[[#This Row],[META A]]-Tabela13[[#This Row],[ATINGIDO]]</f>
        <v>43152.719999999994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20960</v>
      </c>
      <c r="J15" s="21">
        <f>_xlfn.XLOOKUP(Tabela5[[#This Row],[REFERENCIA]],'[1]BASE PYTHON'!$H:$H,'[1]BASE PYTHON'!$I:$I,0)</f>
        <v>15958.300000000003</v>
      </c>
      <c r="K15" s="22">
        <f>Tabela5[[#This Row],[COMPROMISSO]]-Tabela5[[#This Row],[ATINGIDO]]</f>
        <v>5001.6999999999971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19109.219999999998</v>
      </c>
      <c r="Q15" s="2">
        <f>Tabela8[[#This Row],[COMPROMISSO]]-Tabela8[[#This Row],[ATINGIDO]]</f>
        <v>112890.78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21</v>
      </c>
      <c r="W15" s="18">
        <f>U15-V15</f>
        <v>27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65215.040000000001</v>
      </c>
      <c r="E16" s="25">
        <f>Tabela13[[#This Row],[META A]]-Tabela13[[#This Row],[ATINGIDO]]</f>
        <v>284784.96000000002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11350</v>
      </c>
      <c r="J16" s="21">
        <f>_xlfn.XLOOKUP(Tabela5[[#This Row],[REFERENCIA]],'[1]BASE PYTHON'!$H:$H,'[1]BASE PYTHON'!$I:$I,0)</f>
        <v>7852.9999999999991</v>
      </c>
      <c r="K16" s="22">
        <f>Tabela5[[#This Row],[COMPROMISSO]]-Tabela5[[#This Row],[ATINGIDO]]</f>
        <v>3497.0000000000009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2031</v>
      </c>
      <c r="Q16" s="2">
        <f>Tabela8[[#This Row],[COMPROMISSO]]-Tabela8[[#This Row],[ATINGIDO]]</f>
        <v>-2031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12</v>
      </c>
      <c r="W16" s="18">
        <f t="shared" si="0"/>
        <v>29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160231.51999999993</v>
      </c>
      <c r="E17" s="23">
        <f>Tabela13[[#This Row],[META A]]-Tabela13[[#This Row],[ATINGIDO]]</f>
        <v>259768.48000000007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7100</v>
      </c>
      <c r="J17" s="21">
        <f>_xlfn.XLOOKUP(Tabela5[[#This Row],[REFERENCIA]],'[1]BASE PYTHON'!$H:$H,'[1]BASE PYTHON'!$I:$I,0)</f>
        <v>555.35</v>
      </c>
      <c r="K17" s="22">
        <f>Tabela5[[#This Row],[COMPROMISSO]]-Tabela5[[#This Row],[ATINGIDO]]</f>
        <v>6544.65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34468.630000000012</v>
      </c>
      <c r="Q17" s="2">
        <f>Tabela8[[#This Row],[COMPROMISSO]]-Tabela8[[#This Row],[ATINGIDO]]</f>
        <v>28031.369999999988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27</v>
      </c>
      <c r="W17" s="18">
        <f t="shared" si="0"/>
        <v>24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415456.49999999983</v>
      </c>
      <c r="E18" s="25">
        <f>Tabela13[[#This Row],[META A]]-Tabela13[[#This Row],[ATINGIDO]]</f>
        <v>564543.50000000023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6460</v>
      </c>
      <c r="J18" s="21">
        <f>_xlfn.XLOOKUP(Tabela5[[#This Row],[REFERENCIA]],'[1]BASE PYTHON'!$H:$H,'[1]BASE PYTHON'!$I:$I,0)</f>
        <v>5099.58</v>
      </c>
      <c r="K18" s="22">
        <f>Tabela5[[#This Row],[COMPROMISSO]]-Tabela5[[#This Row],[ATINGIDO]]</f>
        <v>1360.42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23</v>
      </c>
      <c r="W18" s="18">
        <f t="shared" si="0"/>
        <v>24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4256.3499999999995</v>
      </c>
      <c r="E19" s="23">
        <f>Tabela13[[#This Row],[META A]]-Tabela13[[#This Row],[ATINGIDO]]</f>
        <v>137743.65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13770</v>
      </c>
      <c r="J19" s="21">
        <f>_xlfn.XLOOKUP(Tabela5[[#This Row],[REFERENCIA]],'[1]BASE PYTHON'!$H:$H,'[1]BASE PYTHON'!$I:$I,0)</f>
        <v>22029.44999999999</v>
      </c>
      <c r="K19" s="22">
        <f>Tabela5[[#This Row],[COMPROMISSO]]-Tabela5[[#This Row],[ATINGIDO]]</f>
        <v>-8259.4499999999898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37</v>
      </c>
      <c r="W19" s="18">
        <f t="shared" si="0"/>
        <v>26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120006.71999999997</v>
      </c>
      <c r="E20" s="25">
        <f>Tabela13[[#This Row],[META A]]-Tabela13[[#This Row],[ATINGIDO]]</f>
        <v>439993.28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15810</v>
      </c>
      <c r="J20" s="21">
        <f>_xlfn.XLOOKUP(Tabela5[[#This Row],[REFERENCIA]],'[1]BASE PYTHON'!$H:$H,'[1]BASE PYTHON'!$I:$I,0)</f>
        <v>9636.4699999999993</v>
      </c>
      <c r="K20" s="22">
        <f>Tabela5[[#This Row],[COMPROMISSO]]-Tabela5[[#This Row],[ATINGIDO]]</f>
        <v>6173.5300000000007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13</v>
      </c>
      <c r="W20" s="18">
        <f t="shared" si="0"/>
        <v>28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102257.37000000001</v>
      </c>
      <c r="E21" s="23">
        <f>Tabela13[[#This Row],[META A]]-Tabela13[[#This Row],[ATINGIDO]]</f>
        <v>322742.63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5080</v>
      </c>
      <c r="J21" s="21">
        <f>_xlfn.XLOOKUP(Tabela5[[#This Row],[REFERENCIA]],'[1]BASE PYTHON'!$H:$H,'[1]BASE PYTHON'!$I:$I,0)</f>
        <v>6358.6299999999983</v>
      </c>
      <c r="K21" s="22">
        <f>Tabela5[[#This Row],[COMPROMISSO]]-Tabela5[[#This Row],[ATINGIDO]]</f>
        <v>-1278.6299999999983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43906.260000000046</v>
      </c>
      <c r="E22" s="25">
        <f>Tabela13[[#This Row],[META A]]-Tabela13[[#This Row],[ATINGIDO]]</f>
        <v>78093.739999999962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14040</v>
      </c>
      <c r="J22" s="21">
        <f>_xlfn.XLOOKUP(Tabela5[[#This Row],[REFERENCIA]],'[1]BASE PYTHON'!$H:$H,'[1]BASE PYTHON'!$I:$I,0)</f>
        <v>5952.2000000000007</v>
      </c>
      <c r="K22" s="22">
        <f>Tabela5[[#This Row],[COMPROMISSO]]-Tabela5[[#This Row],[ATINGIDO]]</f>
        <v>8087.7999999999993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277704.01000000013</v>
      </c>
      <c r="Q22" s="7">
        <f>O22-P22</f>
        <v>407295.98999999987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17</v>
      </c>
      <c r="W22" s="18">
        <f t="shared" si="1"/>
        <v>23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70039.020000000033</v>
      </c>
      <c r="E23" s="23">
        <f>Tabela13[[#This Row],[META A]]-Tabela13[[#This Row],[ATINGIDO]]</f>
        <v>129960.97999999997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4480</v>
      </c>
      <c r="J23" s="21">
        <f>_xlfn.XLOOKUP(Tabela5[[#This Row],[REFERENCIA]],'[1]BASE PYTHON'!$H:$H,'[1]BASE PYTHON'!$I:$I,0)</f>
        <v>2481.8000000000002</v>
      </c>
      <c r="K23" s="22">
        <f>Tabela5[[#This Row],[COMPROMISSO]]-Tabela5[[#This Row],[ATINGIDO]]</f>
        <v>1998.1999999999998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20</v>
      </c>
      <c r="W23" s="18">
        <f t="shared" si="1"/>
        <v>35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41347.950000000019</v>
      </c>
      <c r="E24" s="25">
        <f>Tabela13[[#This Row],[META A]]-Tabela13[[#This Row],[ATINGIDO]]</f>
        <v>103652.04999999999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2700</v>
      </c>
      <c r="J24" s="21">
        <f>_xlfn.XLOOKUP(Tabela5[[#This Row],[REFERENCIA]],'[1]BASE PYTHON'!$H:$H,'[1]BASE PYTHON'!$I:$I,0)</f>
        <v>1692</v>
      </c>
      <c r="K24" s="22">
        <f>Tabela5[[#This Row],[COMPROMISSO]]-Tabela5[[#This Row],[ATINGIDO]]</f>
        <v>1008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16</v>
      </c>
      <c r="W24" s="18">
        <f t="shared" si="1"/>
        <v>21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29185.250000000051</v>
      </c>
      <c r="E25" s="23">
        <f>Tabela13[[#This Row],[META A]]-Tabela13[[#This Row],[ATINGIDO]]</f>
        <v>117814.74999999994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5650</v>
      </c>
      <c r="J25" s="21">
        <f>_xlfn.XLOOKUP(Tabela5[[#This Row],[REFERENCIA]],'[1]BASE PYTHON'!$H:$H,'[1]BASE PYTHON'!$I:$I,0)</f>
        <v>3771.7500000000005</v>
      </c>
      <c r="K25" s="22">
        <f>Tabela5[[#This Row],[COMPROMISSO]]-Tabela5[[#This Row],[ATINGIDO]]</f>
        <v>1878.2499999999995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14</v>
      </c>
      <c r="W25" s="18">
        <f t="shared" si="1"/>
        <v>39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12411.01999999999</v>
      </c>
      <c r="E26" s="25">
        <f>Tabela13[[#This Row],[META A]]-Tabela13[[#This Row],[ATINGIDO]]</f>
        <v>77588.98000000001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3480</v>
      </c>
      <c r="J26" s="21">
        <f>_xlfn.XLOOKUP(Tabela5[[#This Row],[REFERENCIA]],'[1]BASE PYTHON'!$H:$H,'[1]BASE PYTHON'!$I:$I,0)</f>
        <v>1399.25</v>
      </c>
      <c r="K26" s="22">
        <f>Tabela5[[#This Row],[COMPROMISSO]]-Tabela5[[#This Row],[ATINGIDO]]</f>
        <v>2080.75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18</v>
      </c>
      <c r="W26" s="18">
        <f t="shared" si="1"/>
        <v>20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82490.659999999989</v>
      </c>
      <c r="E27" s="23">
        <f>Tabela13[[#This Row],[META A]]-Tabela13[[#This Row],[ATINGIDO]]</f>
        <v>159509.34000000003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5760</v>
      </c>
      <c r="J27" s="21">
        <f>_xlfn.XLOOKUP(Tabela5[[#This Row],[REFERENCIA]],'[1]BASE PYTHON'!$H:$H,'[1]BASE PYTHON'!$I:$I,0)</f>
        <v>4240.7</v>
      </c>
      <c r="K27" s="22">
        <f>Tabela5[[#This Row],[COMPROMISSO]]-Tabela5[[#This Row],[ATINGIDO]]</f>
        <v>1519.3000000000002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117480.54500000003</v>
      </c>
      <c r="E28" s="25">
        <f>Tabela13[[#This Row],[META A]]-Tabela13[[#This Row],[ATINGIDO]]</f>
        <v>206019.45499999996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43735.680000000015</v>
      </c>
      <c r="E30" s="25">
        <f>Tabela13[[#This Row],[META A]]-Tabela13[[#This Row],[ATINGIDO]]</f>
        <v>95764.319999999978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54308.640000000014</v>
      </c>
      <c r="E31" s="23">
        <f>Tabela13[[#This Row],[META A]]-Tabela13[[#This Row],[ATINGIDO]]</f>
        <v>112691.35999999999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575938.87000000454</v>
      </c>
      <c r="K31" s="7">
        <f>I31-J31</f>
        <v>116084.93952380493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142</v>
      </c>
      <c r="W31" s="6">
        <f t="shared" ref="W31:W33" si="2">U31-V31</f>
        <v>44.428571428571416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87703.629999999946</v>
      </c>
      <c r="E32" s="25">
        <f>Tabela13[[#This Row],[META A]]-Tabela13[[#This Row],[ATINGIDO]]</f>
        <v>177296.37000000005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345216.57000000053</v>
      </c>
      <c r="K32" s="7">
        <f t="shared" ref="K32:K34" si="3">I32-J32</f>
        <v>346807.23952380894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29344.110000000011</v>
      </c>
      <c r="E33" s="23">
        <f>Tabela13[[#This Row],[META A]]-Tabela13[[#This Row],[ATINGIDO]]</f>
        <v>70655.889999999985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18190.23</v>
      </c>
      <c r="E34" s="25">
        <f>Tabela13[[#This Row],[META A]]-Tabela13[[#This Row],[ATINGIDO]]</f>
        <v>36809.770000000004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27813</v>
      </c>
      <c r="E35" s="23">
        <f>Tabela13[[#This Row],[META A]]-Tabela13[[#This Row],[ATINGIDO]]</f>
        <v>47187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1204104.709999999</v>
      </c>
      <c r="E40" s="7">
        <f>C40-D40</f>
        <v>173157.19476190582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655246.53000000096</v>
      </c>
      <c r="E41" s="7">
        <f t="shared" ref="E41:E43" si="4">C41-D41</f>
        <v>722015.37476190389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2026-08-11T18:24:42Z</dcterms:modified>
</cp:coreProperties>
</file>