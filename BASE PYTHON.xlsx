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3BE6F87E-4138-4421-8FBE-76C94FD878A8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2" l="1"/>
  <c r="C5" i="2"/>
  <c r="C6" i="2"/>
  <c r="C7" i="2" s="1"/>
  <c r="AD4" i="2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12" i="2"/>
  <c r="P11" i="2"/>
  <c r="P15" i="2"/>
  <c r="P25" i="2"/>
  <c r="V30" i="2"/>
  <c r="J33" i="2"/>
  <c r="D41" i="2"/>
  <c r="P21" i="2"/>
  <c r="P22" i="2"/>
  <c r="D40" i="2"/>
  <c r="J32" i="2"/>
  <c r="V34" i="2"/>
  <c r="P16" i="2"/>
  <c r="P17" i="2"/>
  <c r="V31" i="2"/>
  <c r="V33" i="2"/>
  <c r="V32" i="2"/>
  <c r="P24" i="2"/>
  <c r="P13" i="2"/>
  <c r="D42" i="2"/>
  <c r="J34" i="2"/>
  <c r="J35" i="2"/>
  <c r="D43" i="2"/>
  <c r="P23" i="2"/>
  <c r="J31" i="2"/>
  <c r="D44" i="2"/>
  <c r="P14" i="2"/>
  <c r="Q11" i="2" l="1"/>
  <c r="Q17" i="2"/>
  <c r="Q16" i="2"/>
  <c r="Q15" i="2"/>
  <c r="Q14" i="2"/>
  <c r="Q13" i="2"/>
  <c r="Q12" i="2"/>
  <c r="E36" i="2"/>
  <c r="U5" i="2"/>
  <c r="E12" i="2"/>
  <c r="E31" i="2" l="1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J20" i="2" l="1"/>
  <c r="K20" i="2" s="1"/>
  <c r="J19" i="2"/>
  <c r="K19" i="2" s="1"/>
  <c r="J16" i="2"/>
  <c r="K16" i="2" s="1"/>
  <c r="J15" i="2"/>
  <c r="K15" i="2" s="1"/>
  <c r="J25" i="2"/>
  <c r="K25" i="2" s="1"/>
  <c r="J14" i="2"/>
  <c r="K14" i="2" s="1"/>
  <c r="J18" i="2"/>
  <c r="K18" i="2" s="1"/>
  <c r="J21" i="2"/>
  <c r="K21" i="2" s="1"/>
  <c r="J23" i="2"/>
  <c r="K23" i="2" s="1"/>
  <c r="J22" i="2"/>
  <c r="K22" i="2" s="1"/>
  <c r="J12" i="2"/>
  <c r="K12" i="2" s="1"/>
  <c r="J27" i="2"/>
  <c r="K27" i="2" s="1"/>
  <c r="J26" i="2"/>
  <c r="K26" i="2" s="1"/>
  <c r="J17" i="2"/>
  <c r="K17" i="2" s="1"/>
  <c r="J10" i="2"/>
  <c r="J11" i="2"/>
  <c r="K11" i="2" s="1"/>
  <c r="J13" i="2"/>
  <c r="K13" i="2" s="1"/>
  <c r="J24" i="2"/>
  <c r="K24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<sst xmlns="http://schemas.openxmlformats.org/spreadsheetml/2006/main" count="273" uniqueCount="62">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</sst>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47518.18</v>
          </cell>
        </row>
        <row r="6">
          <cell r="E6" t="str">
            <v>CENTRO</v>
          </cell>
          <cell r="F6">
            <v>285353.39000000007</v>
          </cell>
          <cell r="K6" t="str">
            <v>Contagem Distinta de COD_CLIENTE</v>
          </cell>
        </row>
        <row r="7">
          <cell r="E7" t="str">
            <v>ECOMMERCE</v>
          </cell>
          <cell r="F7">
            <v>891.3</v>
          </cell>
          <cell r="K7" t="str">
            <v>Rótulos de Linha</v>
          </cell>
          <cell r="M7" t="str">
            <v>Total Geral</v>
          </cell>
        </row>
        <row r="8">
          <cell r="E8" t="str">
            <v>IATAGAM JUNIOR</v>
          </cell>
          <cell r="F8">
            <v>277.87</v>
          </cell>
          <cell r="K8" t="str">
            <v>CAMPINAS</v>
          </cell>
          <cell r="M8">
            <v>29</v>
          </cell>
        </row>
        <row r="9">
          <cell r="E9" t="str">
            <v>INDAIATUBA</v>
          </cell>
          <cell r="F9">
            <v>71342.850000000049</v>
          </cell>
          <cell r="K9" t="str">
            <v>CENTRO</v>
          </cell>
          <cell r="M9">
            <v>43</v>
          </cell>
        </row>
        <row r="10">
          <cell r="E10" t="str">
            <v>INTERLAGOS</v>
          </cell>
          <cell r="F10">
            <v>204299.54999999949</v>
          </cell>
          <cell r="K10" t="str">
            <v>INDAIATUBA</v>
          </cell>
          <cell r="M10">
            <v>33</v>
          </cell>
        </row>
        <row r="11">
          <cell r="E11" t="str">
            <v>JUNDIAI</v>
          </cell>
          <cell r="F11">
            <v>61262.760000000031</v>
          </cell>
          <cell r="K11" t="str">
            <v>INTERLAGOS</v>
          </cell>
          <cell r="M11">
            <v>58</v>
          </cell>
        </row>
        <row r="12">
          <cell r="E12" t="str">
            <v>KEY ABC</v>
          </cell>
          <cell r="F12">
            <v>184214.43999999997</v>
          </cell>
          <cell r="K12" t="str">
            <v>JUNDIAI</v>
          </cell>
          <cell r="M12">
            <v>21</v>
          </cell>
        </row>
        <row r="13">
          <cell r="E13" t="str">
            <v>KEY CASA</v>
          </cell>
          <cell r="F13">
            <v>375440.95</v>
          </cell>
          <cell r="K13" t="str">
            <v>LESTE</v>
          </cell>
          <cell r="M13">
            <v>34</v>
          </cell>
        </row>
        <row r="14">
          <cell r="E14" t="str">
            <v>KEY INTERIOR</v>
          </cell>
          <cell r="F14">
            <v>569097.70000000019</v>
          </cell>
          <cell r="K14" t="str">
            <v>LESTE MOOCA</v>
          </cell>
          <cell r="M14">
            <v>41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M15">
            <v>27</v>
          </cell>
        </row>
        <row r="16">
          <cell r="E16" t="str">
            <v>KEY SJC</v>
          </cell>
          <cell r="F16">
            <v>54138.15</v>
          </cell>
          <cell r="K16" t="str">
            <v>LESTE TATUAPE</v>
          </cell>
          <cell r="M16">
            <v>27</v>
          </cell>
        </row>
        <row r="17">
          <cell r="E17" t="str">
            <v>KEY SP</v>
          </cell>
          <cell r="F17">
            <v>324710.07000000018</v>
          </cell>
          <cell r="K17" t="str">
            <v>MOGI</v>
          </cell>
          <cell r="M17">
            <v>23</v>
          </cell>
        </row>
        <row r="18">
          <cell r="E18" t="str">
            <v>KEY ZL</v>
          </cell>
          <cell r="F18">
            <v>275249.46999999991</v>
          </cell>
          <cell r="K18" t="str">
            <v>NORTE</v>
          </cell>
          <cell r="M18">
            <v>45</v>
          </cell>
        </row>
        <row r="19">
          <cell r="E19" t="str">
            <v>LESTE</v>
          </cell>
          <cell r="F19">
            <v>82638.189999999871</v>
          </cell>
          <cell r="K19" t="str">
            <v>OSASCO</v>
          </cell>
          <cell r="M19">
            <v>58</v>
          </cell>
        </row>
        <row r="20">
          <cell r="E20" t="str">
            <v>LESTE MOOCA</v>
          </cell>
          <cell r="F20">
            <v>157515.84999999957</v>
          </cell>
          <cell r="K20" t="str">
            <v>PIRITUBA</v>
          </cell>
          <cell r="M20">
            <v>33</v>
          </cell>
        </row>
        <row r="21">
          <cell r="E21" t="str">
            <v>LESTE PENHA</v>
          </cell>
          <cell r="F21">
            <v>102353.13000000005</v>
          </cell>
          <cell r="K21" t="str">
            <v>SANTO ANDRE</v>
          </cell>
          <cell r="M21">
            <v>29</v>
          </cell>
        </row>
        <row r="22">
          <cell r="E22" t="str">
            <v>LESTE TATUAPE</v>
          </cell>
          <cell r="F22">
            <v>94044.729999999749</v>
          </cell>
          <cell r="K22" t="str">
            <v>SBC</v>
          </cell>
          <cell r="M22">
            <v>35</v>
          </cell>
        </row>
        <row r="23">
          <cell r="E23" t="str">
            <v>MOGI</v>
          </cell>
          <cell r="F23">
            <v>32503.550000000014</v>
          </cell>
          <cell r="K23" t="str">
            <v>SJC</v>
          </cell>
          <cell r="M23">
            <v>33</v>
          </cell>
        </row>
        <row r="24">
          <cell r="E24" t="str">
            <v>NORTE</v>
          </cell>
          <cell r="F24">
            <v>179860.41999999961</v>
          </cell>
          <cell r="K24" t="str">
            <v>SJC/VALE</v>
          </cell>
          <cell r="M24">
            <v>29</v>
          </cell>
        </row>
        <row r="25">
          <cell r="E25" t="str">
            <v>OSASCO</v>
          </cell>
          <cell r="F25">
            <v>251826.3399999995</v>
          </cell>
          <cell r="K25" t="str">
            <v>Total Geral</v>
          </cell>
          <cell r="M25">
            <v>598</v>
          </cell>
        </row>
        <row r="26">
          <cell r="E26" t="str">
            <v>PIRITUBA</v>
          </cell>
          <cell r="F26">
            <v>96528.829999999856</v>
          </cell>
        </row>
        <row r="27">
          <cell r="E27" t="str">
            <v>SANTO ANDRE</v>
          </cell>
          <cell r="F27">
            <v>136484.83999999985</v>
          </cell>
        </row>
        <row r="28">
          <cell r="E28" t="str">
            <v>SBC</v>
          </cell>
          <cell r="F28">
            <v>198305.76999999955</v>
          </cell>
          <cell r="K28" t="str">
            <v>POSITIVAÇÃO GERAL</v>
          </cell>
        </row>
        <row r="29">
          <cell r="E29" t="str">
            <v>SJC</v>
          </cell>
          <cell r="F29">
            <v>59845.330000000082</v>
          </cell>
          <cell r="K29" t="str">
            <v>DATA</v>
          </cell>
        </row>
        <row r="30">
          <cell r="E30" t="str">
            <v>SJC/VALE</v>
          </cell>
          <cell r="F30">
            <v>39571.260000000053</v>
          </cell>
          <cell r="K30" t="str">
            <v>DES_TIPO_OPERACAO</v>
          </cell>
        </row>
        <row r="31">
          <cell r="E31" t="str">
            <v>VENDEDOR INTERNO 1</v>
          </cell>
          <cell r="F31">
            <v>57220.620000000017</v>
          </cell>
        </row>
        <row r="32">
          <cell r="E32" t="str">
            <v>Total Geral</v>
          </cell>
          <cell r="F32">
            <v>3942495.5399999758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Total Geral</v>
          </cell>
        </row>
        <row r="34">
          <cell r="K34" t="str">
            <v>VENDEDOR INTERNO 1</v>
          </cell>
          <cell r="M34">
            <v>73</v>
          </cell>
        </row>
        <row r="35">
          <cell r="K35" t="str">
            <v>Total Geral</v>
          </cell>
          <cell r="M35">
            <v>73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0</v>
          </cell>
          <cell r="H137" t="str">
            <v>D</v>
          </cell>
          <cell r="I137">
            <v>17</v>
          </cell>
        </row>
        <row r="138">
          <cell r="E138">
            <v>36</v>
          </cell>
          <cell r="F138">
            <v>0</v>
          </cell>
          <cell r="H138" t="str">
            <v>D</v>
          </cell>
          <cell r="I138">
            <v>36</v>
          </cell>
        </row>
        <row r="139">
          <cell r="E139">
            <v>25</v>
          </cell>
          <cell r="F139">
            <v>0</v>
          </cell>
          <cell r="H139" t="str">
            <v>D</v>
          </cell>
          <cell r="I139">
            <v>25</v>
          </cell>
        </row>
        <row r="140">
          <cell r="E140">
            <v>29</v>
          </cell>
          <cell r="F140">
            <v>0</v>
          </cell>
          <cell r="H140" t="str">
            <v>D</v>
          </cell>
          <cell r="I140">
            <v>29</v>
          </cell>
        </row>
        <row r="141">
          <cell r="E141">
            <v>28</v>
          </cell>
          <cell r="F141">
            <v>0</v>
          </cell>
          <cell r="H141" t="str">
            <v>D</v>
          </cell>
          <cell r="I141">
            <v>28</v>
          </cell>
        </row>
        <row r="142">
          <cell r="E142">
            <v>23</v>
          </cell>
          <cell r="F142">
            <v>0</v>
          </cell>
          <cell r="H142" t="str">
            <v>D</v>
          </cell>
          <cell r="I142">
            <v>23</v>
          </cell>
        </row>
        <row r="143">
          <cell r="E143">
            <v>18</v>
          </cell>
          <cell r="F143">
            <v>0</v>
          </cell>
          <cell r="H143" t="str">
            <v>D</v>
          </cell>
          <cell r="I143">
            <v>18</v>
          </cell>
        </row>
        <row r="144">
          <cell r="E144">
            <v>22</v>
          </cell>
          <cell r="F144">
            <v>0</v>
          </cell>
          <cell r="H144" t="str">
            <v>D</v>
          </cell>
          <cell r="I144">
            <v>22</v>
          </cell>
        </row>
        <row r="145">
          <cell r="E145">
            <v>22</v>
          </cell>
          <cell r="F145">
            <v>0</v>
          </cell>
          <cell r="H145" t="str">
            <v>D</v>
          </cell>
          <cell r="I145">
            <v>22</v>
          </cell>
        </row>
        <row r="146">
          <cell r="E146">
            <v>18</v>
          </cell>
          <cell r="F146">
            <v>0</v>
          </cell>
          <cell r="H146" t="str">
            <v>D</v>
          </cell>
          <cell r="I146">
            <v>18</v>
          </cell>
        </row>
        <row r="147">
          <cell r="E147">
            <v>20</v>
          </cell>
          <cell r="F147">
            <v>0</v>
          </cell>
          <cell r="H147" t="str">
            <v>D</v>
          </cell>
          <cell r="I147">
            <v>20</v>
          </cell>
        </row>
        <row r="148">
          <cell r="E148">
            <v>18</v>
          </cell>
          <cell r="F148">
            <v>0</v>
          </cell>
          <cell r="H148" t="str">
            <v>D</v>
          </cell>
          <cell r="I148">
            <v>18</v>
          </cell>
        </row>
        <row r="149">
          <cell r="E149">
            <v>14</v>
          </cell>
          <cell r="F149">
            <v>0</v>
          </cell>
          <cell r="H149" t="str">
            <v>D</v>
          </cell>
          <cell r="I149">
            <v>14</v>
          </cell>
        </row>
        <row r="150">
          <cell r="E150">
            <v>20</v>
          </cell>
          <cell r="F150">
            <v>0</v>
          </cell>
          <cell r="H150" t="str">
            <v>D</v>
          </cell>
          <cell r="I150">
            <v>20</v>
          </cell>
        </row>
        <row r="151">
          <cell r="E151">
            <v>19</v>
          </cell>
          <cell r="F151">
            <v>0</v>
          </cell>
          <cell r="H151" t="str">
            <v>D</v>
          </cell>
          <cell r="I151">
            <v>19</v>
          </cell>
        </row>
        <row r="152">
          <cell r="E152">
            <v>25</v>
          </cell>
          <cell r="F152">
            <v>0</v>
          </cell>
          <cell r="H152" t="str">
            <v>D</v>
          </cell>
          <cell r="I152">
            <v>25</v>
          </cell>
        </row>
        <row r="153">
          <cell r="E153">
            <v>19</v>
          </cell>
          <cell r="F153">
            <v>0</v>
          </cell>
          <cell r="H153" t="str">
            <v>D</v>
          </cell>
          <cell r="I153">
            <v>19</v>
          </cell>
        </row>
        <row r="154">
          <cell r="E154">
            <v>24</v>
          </cell>
          <cell r="F154">
            <v>0</v>
          </cell>
          <cell r="H154" t="str">
            <v>D</v>
          </cell>
          <cell r="I154">
            <v>24</v>
          </cell>
        </row>
        <row r="155">
          <cell r="E155">
            <v>397</v>
          </cell>
          <cell r="F155">
            <v>0</v>
          </cell>
          <cell r="I155">
            <v>397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59845.330000000082</v>
          </cell>
          <cell r="H160" t="str">
            <v>B</v>
          </cell>
          <cell r="I160">
            <v>25154.669999999918</v>
          </cell>
        </row>
        <row r="161">
          <cell r="E161">
            <v>33750</v>
          </cell>
          <cell r="F161">
            <v>57220.620000000017</v>
          </cell>
          <cell r="H161" t="str">
            <v>B</v>
          </cell>
          <cell r="I161">
            <v>6529.3799999999828</v>
          </cell>
        </row>
        <row r="162">
          <cell r="E162">
            <v>148500</v>
          </cell>
          <cell r="F162">
            <v>285353.39000000007</v>
          </cell>
          <cell r="H162" t="str">
            <v>A</v>
          </cell>
          <cell r="I162">
            <v>44646.609999999928</v>
          </cell>
        </row>
        <row r="163">
          <cell r="E163">
            <v>145575</v>
          </cell>
          <cell r="F163">
            <v>251826.3399999995</v>
          </cell>
          <cell r="H163" t="str">
            <v>B</v>
          </cell>
          <cell r="I163">
            <v>23148.660000000498</v>
          </cell>
        </row>
        <row r="164">
          <cell r="E164">
            <v>122850</v>
          </cell>
          <cell r="F164">
            <v>204299.54999999949</v>
          </cell>
          <cell r="H164" t="str">
            <v>B</v>
          </cell>
          <cell r="I164">
            <v>27750.450000000506</v>
          </cell>
        </row>
        <row r="165">
          <cell r="E165">
            <v>90000</v>
          </cell>
          <cell r="F165">
            <v>157515.84999999957</v>
          </cell>
          <cell r="H165" t="str">
            <v>B</v>
          </cell>
          <cell r="I165">
            <v>12484.150000000431</v>
          </cell>
        </row>
        <row r="166">
          <cell r="E166">
            <v>75150</v>
          </cell>
          <cell r="F166">
            <v>136484.83999999985</v>
          </cell>
          <cell r="H166" t="str">
            <v>B</v>
          </cell>
          <cell r="I166">
            <v>5465.160000000149</v>
          </cell>
        </row>
        <row r="167">
          <cell r="E167">
            <v>108900</v>
          </cell>
          <cell r="F167">
            <v>179860.41999999961</v>
          </cell>
          <cell r="H167" t="str">
            <v>B</v>
          </cell>
          <cell r="I167">
            <v>25839.580000000395</v>
          </cell>
        </row>
        <row r="168">
          <cell r="E168">
            <v>54900</v>
          </cell>
          <cell r="F168">
            <v>82638.189999999871</v>
          </cell>
          <cell r="H168" t="str">
            <v>B</v>
          </cell>
          <cell r="I168">
            <v>21061.810000000129</v>
          </cell>
        </row>
        <row r="169">
          <cell r="E169">
            <v>24750</v>
          </cell>
          <cell r="F169">
            <v>39571.260000000053</v>
          </cell>
          <cell r="H169" t="str">
            <v>B</v>
          </cell>
          <cell r="I169">
            <v>7178.739999999947</v>
          </cell>
        </row>
        <row r="170">
          <cell r="E170">
            <v>40500</v>
          </cell>
          <cell r="F170">
            <v>71342.850000000049</v>
          </cell>
          <cell r="H170" t="str">
            <v>B</v>
          </cell>
          <cell r="I170">
            <v>5157.1499999999505</v>
          </cell>
        </row>
        <row r="171">
          <cell r="E171">
            <v>29025</v>
          </cell>
          <cell r="F171">
            <v>47518.18</v>
          </cell>
          <cell r="H171" t="str">
            <v>B</v>
          </cell>
          <cell r="I171">
            <v>7306.82</v>
          </cell>
        </row>
        <row r="172">
          <cell r="E172">
            <v>35100</v>
          </cell>
          <cell r="F172">
            <v>61262.760000000031</v>
          </cell>
          <cell r="H172" t="str">
            <v>B</v>
          </cell>
          <cell r="I172">
            <v>5037.2399999999689</v>
          </cell>
        </row>
        <row r="173">
          <cell r="E173">
            <v>62775</v>
          </cell>
          <cell r="F173">
            <v>96528.829999999856</v>
          </cell>
          <cell r="H173" t="str">
            <v>B</v>
          </cell>
          <cell r="I173">
            <v>22046.170000000144</v>
          </cell>
        </row>
        <row r="174">
          <cell r="E174">
            <v>65250</v>
          </cell>
          <cell r="F174">
            <v>102353.13000000005</v>
          </cell>
          <cell r="H174" t="str">
            <v>B</v>
          </cell>
          <cell r="I174">
            <v>20896.869999999952</v>
          </cell>
        </row>
        <row r="175">
          <cell r="E175">
            <v>119250</v>
          </cell>
          <cell r="F175">
            <v>198305.76999999955</v>
          </cell>
          <cell r="H175" t="str">
            <v>B</v>
          </cell>
          <cell r="I175">
            <v>26944.230000000447</v>
          </cell>
        </row>
        <row r="176">
          <cell r="E176">
            <v>40500</v>
          </cell>
          <cell r="F176">
            <v>32503.550000000014</v>
          </cell>
          <cell r="H176" t="str">
            <v>D</v>
          </cell>
          <cell r="I176">
            <v>7996.4499999999862</v>
          </cell>
        </row>
        <row r="177">
          <cell r="E177">
            <v>66150</v>
          </cell>
          <cell r="F177">
            <v>94044.729999999749</v>
          </cell>
          <cell r="H177" t="str">
            <v>B</v>
          </cell>
          <cell r="I177">
            <v>30905.270000000251</v>
          </cell>
        </row>
        <row r="178">
          <cell r="E178">
            <v>1307925</v>
          </cell>
          <cell r="F178">
            <v>2158475.5899999975</v>
          </cell>
          <cell r="I178">
            <v>325549.41000000259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3" dataDxfId="10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1"/>
    <tableColumn id="2" xr3:uid="{06063E15-5C9E-4303-B5F6-B9D0B178DB82}" name="META" dataDxfId="10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99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98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97" dataDxfId="96">
  <tableColumns count="2">
    <tableColumn id="1" xr3:uid="{C661D03F-A79A-4D24-86FD-3574B6E5537D}" name="Coluna1" dataDxfId="95"/>
    <tableColumn id="2" xr3:uid="{7EF7A574-C8A3-4CB7-9C98-86948FE130EB}" name="Coluna2" headerRowDxfId="94" dataDxfId="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2" dataDxfId="9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0"/>
    <tableColumn id="2" xr3:uid="{67CE9FE2-AA11-4BD4-9F34-EDC9123EA89F}" name="META" dataDxfId="8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8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87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86" dataDxfId="85">
  <tableColumns count="2">
    <tableColumn id="1" xr3:uid="{0139F26F-4C9F-4E96-9F64-C5C5B271DCA9}" name="Coluna1" dataDxfId="84"/>
    <tableColumn id="2" xr3:uid="{1DA3E17F-38EB-4042-B2F0-3DFB7629A3F5}" name="Coluna2" headerRowDxfId="83" dataDxfId="82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1" dataDxfId="8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79"/>
    <tableColumn id="2" xr3:uid="{0B55D821-52F8-4CE2-9F16-C5BCDBCE53AC}" name="VENDEDOR" dataDxfId="78"/>
    <tableColumn id="3" xr3:uid="{B5D24BF0-392E-420D-BB1D-3FED1D3383B5}" name="COMPROMISSO" dataDxfId="7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7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7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4" dataDxfId="7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2"/>
    <tableColumn id="2" xr3:uid="{7B11DBA8-6FBD-4B67-BDA9-6624DF753EFD}" name="META" dataDxfId="7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0"/>
    <tableColumn id="4" xr3:uid="{84544AF4-5466-4CAC-A349-7B2C804BDA05}" name="FALTA" dataDxfId="69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68" dataDxfId="67">
  <tableColumns count="2">
    <tableColumn id="1" xr3:uid="{870B59CA-1EA4-4CA9-BDCF-4A342A313131}" name="Coluna1" dataDxfId="66"/>
    <tableColumn id="2" xr3:uid="{6FE31DF2-1DB4-4D4B-8783-48EA07B43B53}" name="Coluna2" dataDxfId="65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4" dataDxfId="6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2"/>
    <tableColumn id="2" xr3:uid="{B849FCBC-ED0F-47D9-B4E7-149FFE3500D9}" name="META" dataDxfId="6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59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58" dataDxfId="57" tableBorderDxfId="5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55"/>
    <tableColumn id="2" xr3:uid="{E2D85F5C-4525-4FA4-B813-A1322F5C254D}" name="VENDEDOR" dataDxfId="54"/>
    <tableColumn id="3" xr3:uid="{53C55BB3-DDD4-47EF-87D5-552E4D02B5BA}" name="META A" dataDxfId="53">
      <calculatedColumnFormula>_xlfn.XLOOKUP(Tabela2[[#This Row],[REFERENCIA]],'[2]BASE PYTHON'!$A$63:$A$79,#REF!)</calculatedColumnFormula>
    </tableColumn>
    <tableColumn id="4" xr3:uid="{018C7BF7-4C79-4668-95B2-CBF2E10B657D}" name="ATINGIDO" dataDxfId="52">
      <calculatedColumnFormula>_xlfn.XLOOKUP(Tabela2[[#This Row],[REFERENCIA]],'[1]BASE PYTHON'!$K:$K,'[1]BASE PYTHON'!$N:$N,0)</calculatedColumnFormula>
    </tableColumn>
    <tableColumn id="5" xr3:uid="{37E12533-09AB-4B65-AEC8-6BB07B5CC2B1}" name="FALTA" dataDxfId="51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0" dataDxfId="49" tableBorderDxfId="48">
  <autoFilter ref="G9:K27" xr:uid="{E3745920-1197-4A81-B558-958DBAB19EA3}"/>
  <tableColumns count="5">
    <tableColumn id="1" xr3:uid="{D324C7DB-F877-4A7E-BC26-EF8905C85433}" name="REFERENCIA" dataDxfId="47"/>
    <tableColumn id="2" xr3:uid="{A71A6478-3B31-4F54-A10C-E6EC00E95E0B}" name="VENDEDOR" dataDxfId="46"/>
    <tableColumn id="3" xr3:uid="{9F5EDCDD-D442-4FBE-9C74-26084F24EFCB}" name="COMPROMISSO" dataDxfId="4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2" tableBorderDxfId="4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0" totalsRowDxfId="39"/>
    <tableColumn id="2" xr3:uid="{4F0BAF4D-D0FC-4B7C-8FF4-8DDD6505FDA1}" name="VENDEDOR" dataDxfId="38" totalsRowDxfId="37"/>
    <tableColumn id="3" xr3:uid="{CCB341E8-8BC2-4209-AEA0-D6F26BFCB356}" name="META A" dataDxfId="36" totalsRowDxfId="35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4" totalsRowDxfId="3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2" totalsRowDxfId="3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0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29" totalsRowDxfId="28" dataCellStyle="Moeda"/>
    <tableColumn id="3" xr3:uid="{715CA431-D204-4F64-9916-9AE4C60EC6B9}" name="META B" totalsRowFunction="sum" dataDxfId="27" totalsRowDxfId="26" dataCellStyle="Moeda"/>
    <tableColumn id="4" xr3:uid="{499A8278-63E6-4339-A908-FB77667C4F8A}" name="META C" totalsRowFunction="sum" dataDxfId="25" totalsRowDxfId="24" dataCellStyle="Moeda"/>
    <tableColumn id="5" xr3:uid="{D02E4F6F-A83C-4A30-A474-49B37289EA09}" name="META D" totalsRowFunction="sum" dataDxfId="23" totalsRowDxfId="22" dataCellStyle="Moeda"/>
    <tableColumn id="6" xr3:uid="{A6275BB8-634B-41DE-9C0C-38DE46A74438}" name="ATINGIDO" totalsRowFunction="sum" dataDxfId="21" totalsRowDxfId="20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19" totalsRowDxfId="18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17" totalsRowDxfId="16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15" totalsRowDxfId="14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3" dataDxfId="12" tableBorderDxfId="11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0"/>
    <tableColumn id="2" xr3:uid="{8DACCDF0-1F48-4D1F-936B-1BD572540814}" name="META A" dataDxfId="9"/>
    <tableColumn id="3" xr3:uid="{283DD7D7-EAA0-41F2-A03E-A94402C351D8}" name="META B" dataDxfId="8"/>
    <tableColumn id="4" xr3:uid="{FA7094C0-E343-4D2F-A021-CE4770011F17}" name="META C" dataDxfId="7"/>
    <tableColumn id="5" xr3:uid="{B6D91B25-84F6-4BBF-AFFE-776A8AB5FD86}" name="META D" dataDxfId="6"/>
    <tableColumn id="6" xr3:uid="{DD3D2046-BE2C-43C9-8F6C-13D785756968}" name="ATINGIDO" dataDxfId="5">
      <calculatedColumnFormula>IFERROR(_xlfn.XLOOKUP(Y3,'[1]BASE PYTHON'!$K:$K,'[1]BASE PYTHON'!$N:$N,0),0)</calculatedColumnFormula>
    </tableColumn>
    <tableColumn id="7" xr3:uid="{FE9C4B8F-98E5-474D-B959-1D70DA5A76FE}" name="PREMIAÇÃO ATINGIDA" dataDxfId="4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3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2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108" dataDxfId="107">
  <tableColumns count="2">
    <tableColumn id="1" xr3:uid="{3308613D-E7FC-469E-B078-C5AC910E183B}" name="Coluna1" dataDxfId="106"/>
    <tableColumn id="2" xr3:uid="{C994D666-6174-475E-AE71-1F12062A5225}" name="Coluna2" headerRowDxfId="105" dataDxfId="104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0</v>
      </c>
      <c r="AE3" s="35" t="str" cm="1">
        <f t="array" ref="AE3">_xlfn.IFS(AD3&gt;=Z3,"A",AD3&gt;=AA3,"B",AD3&gt;=AB3,"C",AD3&gt;=AC3,"D",TRUE,"NÃO ATINGIDO")</f>
        <v>NÃO ATINGIDO</v>
      </c>
      <c r="AF3" s="35" t="str" cm="1">
        <f t="array" ref="AF3">_xlfn.IFS(AE3="NÃO ATINGIDO","D",AE3="D","C",AE3="C","B",AE3="B","A",AE3="A","OBJETIVO ALCANÇADO")</f>
        <v>D</v>
      </c>
      <c r="AG3" s="35" cm="1">
        <f t="array" ref="AG3">_xlfn.IFS(AF3="D",MAX(AC3-AD3,0),AF3="C",MAX(AB3-AD3,0),AF3="B",MAX(AA3-AD3,0),AF3="A",MAX(Z3-AD3,0),AF3="OBJETIVO ALCANÇADO",0)</f>
        <v>17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59845.330000000082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25154.669999999918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220030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73</v>
      </c>
      <c r="AE4" s="37" t="str" cm="1">
        <f t="array" ref="AE4">_xlfn.IFS(AD4&gt;=Z4,"A",AD4&gt;=AA4,"B",AD4&gt;=AB4,"C",AD4&gt;=AC4,"D",TRUE,"NÃO ATINGIDO")</f>
        <v>B</v>
      </c>
      <c r="AF4" s="37" t="str" cm="1">
        <f t="array" ref="AF4">_xlfn.IFS(AE4="NÃO ATINGIDO","D",AE4="D","C",AE4="C","B",AE4="B","A",AE4="A","OBJETIVO ALCANÇADO")</f>
        <v>A</v>
      </c>
      <c r="AG4" s="37" cm="1">
        <f t="array" ref="AG4">_xlfn.IFS(AF4="D",MAX(AC4-AD4,0),AF4="C",MAX(AB4-AD4,0),AF4="B",MAX(AA4-AD4,0),AF4="A",MAX(Z4-AD4,0),AF4="OBJETIVO ALCANÇADO",0)</f>
        <v>6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57220.620000000017</v>
      </c>
      <c r="AO4" s="32" t="str" cm="1">
        <f t="array" ref="AO4">_xlfn.IFS(AN4&gt;=AJ4,"A",AN4&gt;=AK4,"B",AN4&gt;=AL4,"C",AN4&gt;=AM4,"D",TRUE,"NÃO ATINGIDO")</f>
        <v>C</v>
      </c>
      <c r="AP4" s="32" t="str" cm="1">
        <f t="array" ref="AP4">_xlfn.IFS(AO4="NÃO ATINGIDO","D",AO4="D","C",AO4="C","B",AO4="B","A",AO4="A","OBJETIVO ALCANÇADO")</f>
        <v>B</v>
      </c>
      <c r="AQ4" s="31" cm="1">
        <f t="array" ref="AQ4">_xlfn.IFS(AP4="D",MAX(AM4-AN4,0),AP4="C",MAX(AL4-AN4,0),AP4="B",MAX(AK4-AN4,0),AP4="A",MAX(AJ4-AN4,0),AP4="OBJETIVO ALCANÇADO",0)</f>
        <v>6529.3799999999828</v>
      </c>
    </row>
    <row r="5" spans="1:43" x14ac:dyDescent="0.25">
      <c r="A5" s="4"/>
      <c r="B5" s="4" t="s">
        <v>1</v>
      </c>
      <c r="C5" s="2">
        <f>SUM(D10:D36)</f>
        <v>3942495.5399999968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117176.81999999998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0</v>
      </c>
      <c r="AE5" s="35" t="str" cm="1">
        <f t="array" ref="AE5">_xlfn.IFS(AD5&gt;=Z5,"A",AD5&gt;=AA5,"B",AD5&gt;=AB5,"C",AD5&gt;=AC5,"D",TRUE,"NÃO ATINGIDO")</f>
        <v>NÃO ATINGIDO</v>
      </c>
      <c r="AF5" s="35" t="str" cm="1">
        <f t="array" ref="AF5">_xlfn.IFS(AE5="NÃO ATINGIDO","D",AE5="D","C",AE5="C","B",AE5="B","A",AE5="A","OBJETIVO ALCANÇADO")</f>
        <v>D</v>
      </c>
      <c r="AG5" s="35" cm="1">
        <f t="array" ref="AG5">_xlfn.IFS(AF5="D",MAX(AC5-AD5,0),AF5="C",MAX(AB5-AD5,0),AF5="B",MAX(AA5-AD5,0),AF5="A",MAX(Z5-AD5,0),AF5="OBJETIVO ALCANÇADO",0)</f>
        <v>25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285353.39000000007</v>
      </c>
      <c r="AO5" s="32" t="str" cm="1">
        <f t="array" ref="AO5">_xlfn.IFS(AN5&gt;=AJ5,"A",AN5&gt;=AK5,"B",AN5&gt;=AL5,"C",AN5&gt;=AM5,"D",TRUE,"NÃO ATINGIDO")</f>
        <v>B</v>
      </c>
      <c r="AP5" s="32" t="str" cm="1">
        <f t="array" ref="AP5">_xlfn.IFS(AO5="NÃO ATINGIDO","D",AO5="D","C",AO5="C","B",AO5="B","A",AO5="A","OBJETIVO ALCANÇADO")</f>
        <v>A</v>
      </c>
      <c r="AQ5" s="31" cm="1">
        <f t="array" ref="AQ5">_xlfn.IFS(AP5="D",MAX(AM5-AN5,0),AP5="C",MAX(AL5-AN5,0),AP5="B",MAX(AK5-AN5,0),AP5="A",MAX(AJ5-AN5,0),AP5="OBJETIVO ALCANÇADO",0)</f>
        <v>44646.609999999928</v>
      </c>
    </row>
    <row r="6" spans="1:43" x14ac:dyDescent="0.25">
      <c r="A6" s="4"/>
      <c r="B6" s="4" t="s">
        <v>2</v>
      </c>
      <c r="C6" s="2">
        <f>C4-C5</f>
        <v>1842004.4600000032</v>
      </c>
      <c r="D6" s="2"/>
      <c r="E6" s="4"/>
      <c r="F6" s="4"/>
      <c r="G6" s="4"/>
      <c r="H6" s="4" t="s">
        <v>2</v>
      </c>
      <c r="I6" s="7">
        <f>I4-I5</f>
        <v>220030</v>
      </c>
      <c r="J6" s="4"/>
      <c r="K6" s="4"/>
      <c r="L6" s="4"/>
      <c r="M6" s="4"/>
      <c r="N6" s="4" t="s">
        <v>2</v>
      </c>
      <c r="O6" s="7">
        <f>O4-O5</f>
        <v>524823.18000000005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0</v>
      </c>
      <c r="AE6" s="37" t="str" cm="1">
        <f t="array" ref="AE6">_xlfn.IFS(AD6&gt;=Z6,"A",AD6&gt;=AA6,"B",AD6&gt;=AB6,"C",AD6&gt;=AC6,"D",TRUE,"NÃO ATINGIDO")</f>
        <v>NÃO ATINGIDO</v>
      </c>
      <c r="AF6" s="37" t="str" cm="1">
        <f t="array" ref="AF6">_xlfn.IFS(AE6="NÃO ATINGIDO","D",AE6="D","C",AE6="C","B",AE6="B","A",AE6="A","OBJETIVO ALCANÇADO")</f>
        <v>D</v>
      </c>
      <c r="AG6" s="37" cm="1">
        <f t="array" ref="AG6">_xlfn.IFS(AF6="D",MAX(AC6-AD6,0),AF6="C",MAX(AB6-AD6,0),AF6="B",MAX(AA6-AD6,0),AF6="A",MAX(Z6-AD6,0),AF6="OBJETIVO ALCANÇADO",0)</f>
        <v>29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251826.3399999995</v>
      </c>
      <c r="AO6" s="32" t="str" cm="1">
        <f t="array" ref="AO6">_xlfn.IFS(AN6&gt;=AJ6,"A",AN6&gt;=AK6,"B",AN6&gt;=AL6,"C",AN6&gt;=AM6,"D",TRUE,"NÃO ATINGIDO")</f>
        <v>C</v>
      </c>
      <c r="AP6" s="32" t="str" cm="1">
        <f t="array" ref="AP6">_xlfn.IFS(AO6="NÃO ATINGIDO","D",AO6="D","C",AO6="C","B",AO6="B","A",AO6="A","OBJETIVO ALCANÇADO")</f>
        <v>B</v>
      </c>
      <c r="AQ6" s="31" cm="1">
        <f t="array" ref="AQ6">_xlfn.IFS(AP6="D",MAX(AM6-AN6,0),AP6="C",MAX(AL6-AN6,0),AP6="B",MAX(AK6-AN6,0),AP6="A",MAX(AJ6-AN6,0),AP6="OBJETIVO ALCANÇADO",0)</f>
        <v>23148.660000000498</v>
      </c>
    </row>
    <row r="7" spans="1:43" x14ac:dyDescent="0.25">
      <c r="A7" s="4"/>
      <c r="B7" s="4" t="s">
        <v>3</v>
      </c>
      <c r="C7" s="3">
        <f>1-(C6/C4)</f>
        <v>0.68156202610424355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0.18251841121495316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0</v>
      </c>
      <c r="AE7" s="35" t="str" cm="1">
        <f t="array" ref="AE7">_xlfn.IFS(AD7&gt;=Z7,"A",AD7&gt;=AA7,"B",AD7&gt;=AB7,"C",AD7&gt;=AC7,"D",TRUE,"NÃO ATINGIDO")</f>
        <v>NÃO ATINGIDO</v>
      </c>
      <c r="AF7" s="35" t="str" cm="1">
        <f t="array" ref="AF7">_xlfn.IFS(AE7="NÃO ATINGIDO","D",AE7="D","C",AE7="C","B",AE7="B","A",AE7="A","OBJETIVO ALCANÇADO")</f>
        <v>D</v>
      </c>
      <c r="AG7" s="35" cm="1">
        <f t="array" ref="AG7">_xlfn.IFS(AF7="D",MAX(AC7-AD7,0),AF7="C",MAX(AB7-AD7,0),AF7="B",MAX(AA7-AD7,0),AF7="A",MAX(Z7-AD7,0),AF7="OBJETIVO ALCANÇADO",0)</f>
        <v>28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204299.54999999949</v>
      </c>
      <c r="AO7" s="32" t="str" cm="1">
        <f t="array" ref="AO7">_xlfn.IFS(AN7&gt;=AJ7,"A",AN7&gt;=AK7,"B",AN7&gt;=AL7,"C",AN7&gt;=AM7,"D",TRUE,"NÃO ATINGIDO")</f>
        <v>C</v>
      </c>
      <c r="AP7" s="32" t="str" cm="1">
        <f t="array" ref="AP7">_xlfn.IFS(AO7="NÃO ATINGIDO","D",AO7="D","C",AO7="C","B",AO7="B","A",AO7="A","OBJETIVO ALCANÇADO")</f>
        <v>B</v>
      </c>
      <c r="AQ7" s="31" cm="1">
        <f t="array" ref="AQ7">_xlfn.IFS(AP7="D",MAX(AM7-AN7,0),AP7="C",MAX(AL7-AN7,0),AP7="B",MAX(AK7-AN7,0),AP7="A",MAX(AJ7-AN7,0),AP7="OBJETIVO ALCANÇADO",0)</f>
        <v>27750.450000000506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0</v>
      </c>
      <c r="AE8" s="37" t="str" cm="1">
        <f t="array" ref="AE8">_xlfn.IFS(AD8&gt;=Z8,"A",AD8&gt;=AA8,"B",AD8&gt;=AB8,"C",AD8&gt;=AC8,"D",TRUE,"NÃO ATINGIDO")</f>
        <v>NÃO ATINGIDO</v>
      </c>
      <c r="AF8" s="37" t="str" cm="1">
        <f t="array" ref="AF8">_xlfn.IFS(AE8="NÃO ATINGIDO","D",AE8="D","C",AE8="C","B",AE8="B","A",AE8="A","OBJETIVO ALCANÇADO")</f>
        <v>D</v>
      </c>
      <c r="AG8" s="37" cm="1">
        <f t="array" ref="AG8">_xlfn.IFS(AF8="D",MAX(AC8-AD8,0),AF8="C",MAX(AB8-AD8,0),AF8="B",MAX(AA8-AD8,0),AF8="A",MAX(Z8-AD8,0),AF8="OBJETIVO ALCANÇADO",0)</f>
        <v>23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157515.84999999957</v>
      </c>
      <c r="AO8" s="32" t="str" cm="1">
        <f t="array" ref="AO8">_xlfn.IFS(AN8&gt;=AJ8,"A",AN8&gt;=AK8,"B",AN8&gt;=AL8,"C",AN8&gt;=AM8,"D",TRUE,"NÃO ATINGIDO")</f>
        <v>C</v>
      </c>
      <c r="AP8" s="32" t="str" cm="1">
        <f t="array" ref="AP8">_xlfn.IFS(AO8="NÃO ATINGIDO","D",AO8="D","C",AO8="C","B",AO8="B","A",AO8="A","OBJETIVO ALCANÇADO")</f>
        <v>B</v>
      </c>
      <c r="AQ8" s="31" cm="1">
        <f t="array" ref="AQ8">_xlfn.IFS(AP8="D",MAX(AM8-AN8,0),AP8="C",MAX(AL8-AN8,0),AP8="B",MAX(AK8-AN8,0),AP8="A",MAX(AJ8-AN8,0),AP8="OBJETIVO ALCANÇADO",0)</f>
        <v>12484.150000000431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0</v>
      </c>
      <c r="AE9" s="35" t="str" cm="1">
        <f t="array" ref="AE9">_xlfn.IFS(AD9&gt;=Z9,"A",AD9&gt;=AA9,"B",AD9&gt;=AB9,"C",AD9&gt;=AC9,"D",TRUE,"NÃO ATINGIDO")</f>
        <v>NÃO ATINGIDO</v>
      </c>
      <c r="AF9" s="35" t="str" cm="1">
        <f t="array" ref="AF9">_xlfn.IFS(AE9="NÃO ATINGIDO","D",AE9="D","C",AE9="C","B",AE9="B","A",AE9="A","OBJETIVO ALCANÇADO")</f>
        <v>D</v>
      </c>
      <c r="AG9" s="35" cm="1">
        <f t="array" ref="AG9">_xlfn.IFS(AF9="D",MAX(AC9-AD9,0),AF9="C",MAX(AB9-AD9,0),AF9="B",MAX(AA9-AD9,0),AF9="A",MAX(Z9-AD9,0),AF9="OBJETIVO ALCANÇADO",0)</f>
        <v>18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136484.83999999985</v>
      </c>
      <c r="AO9" s="32" t="str" cm="1">
        <f t="array" ref="AO9">_xlfn.IFS(AN9&gt;=AJ9,"A",AN9&gt;=AK9,"B",AN9&gt;=AL9,"C",AN9&gt;=AM9,"D",TRUE,"NÃO ATINGIDO")</f>
        <v>C</v>
      </c>
      <c r="AP9" s="32" t="str" cm="1">
        <f t="array" ref="AP9">_xlfn.IFS(AO9="NÃO ATINGIDO","D",AO9="D","C",AO9="C","B",AO9="B","A",AO9="A","OBJETIVO ALCANÇADO")</f>
        <v>B</v>
      </c>
      <c r="AQ9" s="31" cm="1">
        <f t="array" ref="AQ9">_xlfn.IFS(AP9="D",MAX(AM9-AN9,0),AP9="C",MAX(AL9-AN9,0),AP9="B",MAX(AK9-AN9,0),AP9="A",MAX(AJ9-AN9,0),AP9="OBJETIVO ALCANÇADO",0)</f>
        <v>5465.160000000149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47518.18</v>
      </c>
      <c r="E10" s="25">
        <f>Tabela13[[#This Row],[META A]]-Tabela13[[#This Row],[ATINGIDO]]</f>
        <v>16981.82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19630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19630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0</v>
      </c>
      <c r="AE10" s="37" t="str" cm="1">
        <f t="array" ref="AE10">_xlfn.IFS(AD10&gt;=Z10,"A",AD10&gt;=AA10,"B",AD10&gt;=AB10,"C",AD10&gt;=AC10,"D",TRUE,"NÃO ATINGIDO")</f>
        <v>NÃO ATINGIDO</v>
      </c>
      <c r="AF10" s="37" t="str" cm="1">
        <f t="array" ref="AF10">_xlfn.IFS(AE10="NÃO ATINGIDO","D",AE10="D","C",AE10="C","B",AE10="B","A",AE10="A","OBJETIVO ALCANÇADO")</f>
        <v>D</v>
      </c>
      <c r="AG10" s="37" cm="1">
        <f t="array" ref="AG10">_xlfn.IFS(AF10="D",MAX(AC10-AD10,0),AF10="C",MAX(AB10-AD10,0),AF10="B",MAX(AA10-AD10,0),AF10="A",MAX(Z10-AD10,0),AF10="OBJETIVO ALCANÇADO",0)</f>
        <v>22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179860.41999999961</v>
      </c>
      <c r="AO10" s="32" t="str" cm="1">
        <f t="array" ref="AO10">_xlfn.IFS(AN10&gt;=AJ10,"A",AN10&gt;=AK10,"B",AN10&gt;=AL10,"C",AN10&gt;=AM10,"D",TRUE,"NÃO ATINGIDO")</f>
        <v>C</v>
      </c>
      <c r="AP10" s="32" t="str" cm="1">
        <f t="array" ref="AP10">_xlfn.IFS(AO10="NÃO ATINGIDO","D",AO10="D","C",AO10="C","B",AO10="B","A",AO10="A","OBJETIVO ALCANÇADO")</f>
        <v>B</v>
      </c>
      <c r="AQ10" s="31" cm="1">
        <f t="array" ref="AQ10">_xlfn.IFS(AP10="D",MAX(AM10-AN10,0),AP10="C",MAX(AL10-AN10,0),AP10="B",MAX(AK10-AN10,0),AP10="A",MAX(AJ10-AN10,0),AP10="OBJETIVO ALCANÇADO",0)</f>
        <v>25839.580000000395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285353.39000000007</v>
      </c>
      <c r="E11" s="23">
        <f>Tabela13[[#This Row],[META A]]-Tabela13[[#This Row],[ATINGIDO]]</f>
        <v>44646.609999999928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16280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16280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96500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0</v>
      </c>
      <c r="AE11" s="35" t="str" cm="1">
        <f t="array" ref="AE11">_xlfn.IFS(AD11&gt;=Z11,"A",AD11&gt;=AA11,"B",AD11&gt;=AB11,"C",AD11&gt;=AC11,"D",TRUE,"NÃO ATINGIDO")</f>
        <v>NÃO ATINGIDO</v>
      </c>
      <c r="AF11" s="35" t="str" cm="1">
        <f t="array" ref="AF11">_xlfn.IFS(AE11="NÃO ATINGIDO","D",AE11="D","C",AE11="C","B",AE11="B","A",AE11="A","OBJETIVO ALCANÇADO")</f>
        <v>D</v>
      </c>
      <c r="AG11" s="35" cm="1">
        <f t="array" ref="AG11">_xlfn.IFS(AF11="D",MAX(AC11-AD11,0),AF11="C",MAX(AB11-AD11,0),AF11="B",MAX(AA11-AD11,0),AF11="A",MAX(Z11-AD11,0),AF11="OBJETIVO ALCANÇADO",0)</f>
        <v>22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82638.189999999871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21061.810000000129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277.87</v>
      </c>
      <c r="E12" s="25">
        <f>Tabela13[[#This Row],[META A]]-Tabela13[[#This Row],[ATINGIDO]]</f>
        <v>-277.87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12830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12830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0</v>
      </c>
      <c r="AE12" s="37" t="str" cm="1">
        <f t="array" ref="AE12">_xlfn.IFS(AD12&gt;=Z12,"A",AD12&gt;=AA12,"B",AD12&gt;=AB12,"C",AD12&gt;=AC12,"D",TRUE,"NÃO ATINGIDO")</f>
        <v>NÃO ATINGIDO</v>
      </c>
      <c r="AF12" s="37" t="str" cm="1">
        <f t="array" ref="AF12">_xlfn.IFS(AE12="NÃO ATINGIDO","D",AE12="D","C",AE12="C","B",AE12="B","A",AE12="A","OBJETIVO ALCANÇADO")</f>
        <v>D</v>
      </c>
      <c r="AG12" s="37" cm="1">
        <f t="array" ref="AG12">_xlfn.IFS(AF12="D",MAX(AC12-AD12,0),AF12="C",MAX(AB12-AD12,0),AF12="B",MAX(AA12-AD12,0),AF12="A",MAX(Z12-AD12,0),AF12="OBJETIVO ALCANÇADO",0)</f>
        <v>18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39571.260000000053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7178.739999999947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71342.850000000049</v>
      </c>
      <c r="E13" s="23">
        <f>Tabela13[[#This Row],[META A]]-Tabela13[[#This Row],[ATINGIDO]]</f>
        <v>18657.149999999951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25000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28616.939999999995</v>
      </c>
      <c r="Q13" s="2">
        <f>Tabela8[[#This Row],[COMPROMISSO]]-Tabela8[[#This Row],[ATINGIDO]]</f>
        <v>49383.060000000005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0</v>
      </c>
      <c r="AE13" s="35" t="str" cm="1">
        <f t="array" ref="AE13">_xlfn.IFS(AD13&gt;=Z13,"A",AD13&gt;=AA13,"B",AD13&gt;=AB13,"C",AD13&gt;=AC13,"D",TRUE,"NÃO ATINGIDO")</f>
        <v>NÃO ATINGIDO</v>
      </c>
      <c r="AF13" s="35" t="str" cm="1">
        <f t="array" ref="AF13">_xlfn.IFS(AE13="NÃO ATINGIDO","D",AE13="D","C",AE13="C","B",AE13="B","A",AE13="A","OBJETIVO ALCANÇADO")</f>
        <v>D</v>
      </c>
      <c r="AG13" s="35" cm="1">
        <f t="array" ref="AG13">_xlfn.IFS(AF13="D",MAX(AC13-AD13,0),AF13="C",MAX(AB13-AD13,0),AF13="B",MAX(AA13-AD13,0),AF13="A",MAX(Z13-AD13,0),AF13="OBJETIVO ALCANÇADO",0)</f>
        <v>20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71342.850000000049</v>
      </c>
      <c r="AO13" s="32" t="str" cm="1">
        <f t="array" ref="AO13">_xlfn.IFS(AN13&gt;=AJ13,"A",AN13&gt;=AK13,"B",AN13&gt;=AL13,"C",AN13&gt;=AM13,"D",TRUE,"NÃO ATINGIDO")</f>
        <v>C</v>
      </c>
      <c r="AP13" s="32" t="str" cm="1">
        <f t="array" ref="AP13">_xlfn.IFS(AO13="NÃO ATINGIDO","D",AO13="D","C",AO13="C","B",AO13="B","A",AO13="A","OBJETIVO ALCANÇADO")</f>
        <v>B</v>
      </c>
      <c r="AQ13" s="31" cm="1">
        <f t="array" ref="AQ13">_xlfn.IFS(AP13="D",MAX(AM13-AN13,0),AP13="C",MAX(AL13-AN13,0),AP13="B",MAX(AK13-AN13,0),AP13="A",MAX(AJ13-AN13,0),AP13="OBJETIVO ALCANÇADO",0)</f>
        <v>5157.1499999999505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204299.54999999949</v>
      </c>
      <c r="E14" s="25">
        <f>Tabela13[[#This Row],[META A]]-Tabela13[[#This Row],[ATINGIDO]]</f>
        <v>68700.450000000506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14700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14700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54272.999999999978</v>
      </c>
      <c r="Q14" s="2">
        <f>Tabela8[[#This Row],[COMPROMISSO]]-Tabela8[[#This Row],[ATINGIDO]]</f>
        <v>161727.00000000003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0</v>
      </c>
      <c r="AE14" s="37" t="str" cm="1">
        <f t="array" ref="AE14">_xlfn.IFS(AD14&gt;=Z14,"A",AD14&gt;=AA14,"B",AD14&gt;=AB14,"C",AD14&gt;=AC14,"D",TRUE,"NÃO ATINGIDO")</f>
        <v>NÃO ATINGIDO</v>
      </c>
      <c r="AF14" s="37" t="str" cm="1">
        <f t="array" ref="AF14">_xlfn.IFS(AE14="NÃO ATINGIDO","D",AE14="D","C",AE14="C","B",AE14="B","A",AE14="A","OBJETIVO ALCANÇADO")</f>
        <v>D</v>
      </c>
      <c r="AG14" s="37" cm="1">
        <f t="array" ref="AG14">_xlfn.IFS(AF14="D",MAX(AC14-AD14,0),AF14="C",MAX(AB14-AD14,0),AF14="B",MAX(AA14-AD14,0),AF14="A",MAX(Z14-AD14,0),AF14="OBJETIVO ALCANÇADO",0)</f>
        <v>18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47518.18</v>
      </c>
      <c r="AO14" s="32" t="str" cm="1">
        <f t="array" ref="AO14">_xlfn.IFS(AN14&gt;=AJ14,"A",AN14&gt;=AK14,"B",AN14&gt;=AL14,"C",AN14&gt;=AM14,"D",TRUE,"NÃO ATINGIDO")</f>
        <v>C</v>
      </c>
      <c r="AP14" s="32" t="str" cm="1">
        <f t="array" ref="AP14">_xlfn.IFS(AO14="NÃO ATINGIDO","D",AO14="D","C",AO14="C","B",AO14="B","A",AO14="A","OBJETIVO ALCANÇADO")</f>
        <v>B</v>
      </c>
      <c r="AQ14" s="31" cm="1">
        <f t="array" ref="AQ14">_xlfn.IFS(AP14="D",MAX(AM14-AN14,0),AP14="C",MAX(AL14-AN14,0),AP14="B",MAX(AK14-AN14,0),AP14="A",MAX(AJ14-AN14,0),AP14="OBJETIVO ALCANÇADO",0)</f>
        <v>7306.82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61262.760000000031</v>
      </c>
      <c r="E15" s="23">
        <f>Tabela13[[#This Row],[META A]]-Tabela13[[#This Row],[ATINGIDO]]</f>
        <v>16737.239999999969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21790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21790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16560.899999999998</v>
      </c>
      <c r="Q15" s="2">
        <f>Tabela8[[#This Row],[COMPROMISSO]]-Tabela8[[#This Row],[ATINGIDO]]</f>
        <v>69439.100000000006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0</v>
      </c>
      <c r="AE15" s="35" t="str" cm="1">
        <f t="array" ref="AE15">_xlfn.IFS(AD15&gt;=Z15,"A",AD15&gt;=AA15,"B",AD15&gt;=AB15,"C",AD15&gt;=AC15,"D",TRUE,"NÃO ATINGIDO")</f>
        <v>NÃO ATINGIDO</v>
      </c>
      <c r="AF15" s="35" t="str" cm="1">
        <f t="array" ref="AF15">_xlfn.IFS(AE15="NÃO ATINGIDO","D",AE15="D","C",AE15="C","B",AE15="B","A",AE15="A","OBJETIVO ALCANÇADO")</f>
        <v>D</v>
      </c>
      <c r="AG15" s="35" cm="1">
        <f t="array" ref="AG15">_xlfn.IFS(AF15="D",MAX(AC15-AD15,0),AF15="C",MAX(AB15-AD15,0),AF15="B",MAX(AA15-AD15,0),AF15="A",MAX(Z15-AD15,0),AF15="OBJETIVO ALCANÇADO",0)</f>
        <v>14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61262.760000000031</v>
      </c>
      <c r="AO15" s="32" t="str" cm="1">
        <f t="array" ref="AO15">_xlfn.IFS(AN15&gt;=AJ15,"A",AN15&gt;=AK15,"B",AN15&gt;=AL15,"C",AN15&gt;=AM15,"D",TRUE,"NÃO ATINGIDO")</f>
        <v>C</v>
      </c>
      <c r="AP15" s="32" t="str" cm="1">
        <f t="array" ref="AP15">_xlfn.IFS(AO15="NÃO ATINGIDO","D",AO15="D","C",AO15="C","B",AO15="B","A",AO15="A","OBJETIVO ALCANÇADO")</f>
        <v>B</v>
      </c>
      <c r="AQ15" s="31" cm="1">
        <f t="array" ref="AQ15">_xlfn.IFS(AP15="D",MAX(AM15-AN15,0),AP15="C",MAX(AL15-AN15,0),AP15="B",MAX(AK15-AN15,0),AP15="A",MAX(AJ15-AN15,0),AP15="OBJETIVO ALCANÇADO",0)</f>
        <v>5037.2399999999689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184214.43999999997</v>
      </c>
      <c r="E16" s="25">
        <f>Tabela13[[#This Row],[META A]]-Tabela13[[#This Row],[ATINGIDO]]</f>
        <v>165785.56000000003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11880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11880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0</v>
      </c>
      <c r="AE16" s="37" t="str" cm="1">
        <f t="array" ref="AE16">_xlfn.IFS(AD16&gt;=Z16,"A",AD16&gt;=AA16,"B",AD16&gt;=AB16,"C",AD16&gt;=AC16,"D",TRUE,"NÃO ATINGIDO")</f>
        <v>NÃO ATINGIDO</v>
      </c>
      <c r="AF16" s="37" t="str" cm="1">
        <f t="array" ref="AF16">_xlfn.IFS(AE16="NÃO ATINGIDO","D",AE16="D","C",AE16="C","B",AE16="B","A",AE16="A","OBJETIVO ALCANÇADO")</f>
        <v>D</v>
      </c>
      <c r="AG16" s="37" cm="1">
        <f t="array" ref="AG16">_xlfn.IFS(AF16="D",MAX(AC16-AD16,0),AF16="C",MAX(AB16-AD16,0),AF16="B",MAX(AA16-AD16,0),AF16="A",MAX(Z16-AD16,0),AF16="OBJETIVO ALCANÇADO",0)</f>
        <v>20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96528.829999999856</v>
      </c>
      <c r="AO16" s="32" t="str" cm="1">
        <f t="array" ref="AO16">_xlfn.IFS(AN16&gt;=AJ16,"A",AN16&gt;=AK16,"B",AN16&gt;=AL16,"C",AN16&gt;=AM16,"D",TRUE,"NÃO ATINGIDO")</f>
        <v>C</v>
      </c>
      <c r="AP16" s="32" t="str" cm="1">
        <f t="array" ref="AP16">_xlfn.IFS(AO16="NÃO ATINGIDO","D",AO16="D","C",AO16="C","B",AO16="B","A",AO16="A","OBJETIVO ALCANÇADO")</f>
        <v>B</v>
      </c>
      <c r="AQ16" s="31" cm="1">
        <f t="array" ref="AQ16">_xlfn.IFS(AP16="D",MAX(AM16-AN16,0),AP16="C",MAX(AL16-AN16,0),AP16="B",MAX(AK16-AN16,0),AP16="A",MAX(AJ16-AN16,0),AP16="OBJETIVO ALCANÇADO",0)</f>
        <v>22046.170000000144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375440.95</v>
      </c>
      <c r="E17" s="23">
        <f>Tabela13[[#This Row],[META A]]-Tabela13[[#This Row],[ATINGIDO]]</f>
        <v>44559.049999999988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8960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8960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17725.980000000007</v>
      </c>
      <c r="Q17" s="2">
        <f>Tabela8[[#This Row],[COMPROMISSO]]-Tabela8[[#This Row],[ATINGIDO]]</f>
        <v>147774.01999999999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0</v>
      </c>
      <c r="AE17" s="35" t="str" cm="1">
        <f t="array" ref="AE17">_xlfn.IFS(AD17&gt;=Z17,"A",AD17&gt;=AA17,"B",AD17&gt;=AB17,"C",AD17&gt;=AC17,"D",TRUE,"NÃO ATINGIDO")</f>
        <v>NÃO ATINGIDO</v>
      </c>
      <c r="AF17" s="35" t="str" cm="1">
        <f t="array" ref="AF17">_xlfn.IFS(AE17="NÃO ATINGIDO","D",AE17="D","C",AE17="C","B",AE17="B","A",AE17="A","OBJETIVO ALCANÇADO")</f>
        <v>D</v>
      </c>
      <c r="AG17" s="35" cm="1">
        <f t="array" ref="AG17">_xlfn.IFS(AF17="D",MAX(AC17-AD17,0),AF17="C",MAX(AB17-AD17,0),AF17="B",MAX(AA17-AD17,0),AF17="A",MAX(Z17-AD17,0),AF17="OBJETIVO ALCANÇADO",0)</f>
        <v>19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102353.13000000005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20896.869999999952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569097.70000000019</v>
      </c>
      <c r="E18" s="25">
        <f>Tabela13[[#This Row],[META A]]-Tabela13[[#This Row],[ATINGIDO]]</f>
        <v>410902.29999999981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9340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9340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0</v>
      </c>
      <c r="AE18" s="37" t="str" cm="1">
        <f t="array" ref="AE18">_xlfn.IFS(AD18&gt;=Z18,"A",AD18&gt;=AA18,"B",AD18&gt;=AB18,"C",AD18&gt;=AC18,"D",TRUE,"NÃO ATINGIDO")</f>
        <v>NÃO ATINGIDO</v>
      </c>
      <c r="AF18" s="37" t="str" cm="1">
        <f t="array" ref="AF18">_xlfn.IFS(AE18="NÃO ATINGIDO","D",AE18="D","C",AE18="C","B",AE18="B","A",AE18="A","OBJETIVO ALCANÇADO")</f>
        <v>D</v>
      </c>
      <c r="AG18" s="37" cm="1">
        <f t="array" ref="AG18">_xlfn.IFS(AF18="D",MAX(AC18-AD18,0),AF18="C",MAX(AB18-AD18,0),AF18="B",MAX(AA18-AD18,0),AF18="A",MAX(Z18-AD18,0),AF18="OBJETIVO ALCANÇADO",0)</f>
        <v>25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198305.76999999955</v>
      </c>
      <c r="AO18" s="32" t="str" cm="1">
        <f t="array" ref="AO18">_xlfn.IFS(AN18&gt;=AJ18,"A",AN18&gt;=AK18,"B",AN18&gt;=AL18,"C",AN18&gt;=AM18,"D",TRUE,"NÃO ATINGIDO")</f>
        <v>C</v>
      </c>
      <c r="AP18" s="32" t="str" cm="1">
        <f t="array" ref="AP18">_xlfn.IFS(AO18="NÃO ATINGIDO","D",AO18="D","C",AO18="C","B",AO18="B","A",AO18="A","OBJETIVO ALCANÇADO")</f>
        <v>B</v>
      </c>
      <c r="AQ18" s="31" cm="1">
        <f t="array" ref="AQ18">_xlfn.IFS(AP18="D",MAX(AM18-AN18,0),AP18="C",MAX(AL18-AN18,0),AP18="B",MAX(AK18-AN18,0),AP18="A",MAX(AJ18-AN18,0),AP18="OBJETIVO ALCANÇADO",0)</f>
        <v>26944.230000000447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54138.15</v>
      </c>
      <c r="E19" s="23">
        <f>Tabela13[[#This Row],[META A]]-Tabela13[[#This Row],[ATINGIDO]]</f>
        <v>87861.85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13640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13640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0</v>
      </c>
      <c r="AE19" s="35" t="str" cm="1">
        <f t="array" ref="AE19">_xlfn.IFS(AD19&gt;=Z19,"A",AD19&gt;=AA19,"B",AD19&gt;=AB19,"C",AD19&gt;=AC19,"D",TRUE,"NÃO ATINGIDO")</f>
        <v>NÃO ATINGIDO</v>
      </c>
      <c r="AF19" s="35" t="str" cm="1">
        <f t="array" ref="AF19">_xlfn.IFS(AE19="NÃO ATINGIDO","D",AE19="D","C",AE19="C","B",AE19="B","A",AE19="A","OBJETIVO ALCANÇADO")</f>
        <v>D</v>
      </c>
      <c r="AG19" s="35" cm="1">
        <f t="array" ref="AG19">_xlfn.IFS(AF19="D",MAX(AC19-AD19,0),AF19="C",MAX(AB19-AD19,0),AF19="B",MAX(AA19-AD19,0),AF19="A",MAX(Z19-AD19,0),AF19="OBJETIVO ALCANÇADO",0)</f>
        <v>19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32503.550000000014</v>
      </c>
      <c r="AO19" s="32" t="str" cm="1">
        <f t="array" ref="AO19">_xlfn.IFS(AN19&gt;=AJ19,"A",AN19&gt;=AK19,"B",AN19&gt;=AL19,"C",AN19&gt;=AM19,"D",TRUE,"NÃO ATINGIDO")</f>
        <v>NÃO ATINGIDO</v>
      </c>
      <c r="AP19" s="32" t="str" cm="1">
        <f t="array" ref="AP19">_xlfn.IFS(AO19="NÃO ATINGIDO","D",AO19="D","C",AO19="C","B",AO19="B","A",AO19="A","OBJETIVO ALCANÇADO")</f>
        <v>D</v>
      </c>
      <c r="AQ19" s="31" cm="1">
        <f t="array" ref="AQ19">_xlfn.IFS(AP19="D",MAX(AM19-AN19,0),AP19="C",MAX(AL19-AN19,0),AP19="B",MAX(AK19-AN19,0),AP19="A",MAX(AJ19-AN19,0),AP19="OBJETIVO ALCANÇADO",0)</f>
        <v>7996.4499999999862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324710.07000000018</v>
      </c>
      <c r="E20" s="25">
        <f>Tabela13[[#This Row],[META A]]-Tabela13[[#This Row],[ATINGIDO]]</f>
        <v>235289.92999999982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14220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14220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0</v>
      </c>
      <c r="AE20" s="37" t="str" cm="1">
        <f t="array" ref="AE20">_xlfn.IFS(AD20&gt;=Z20,"A",AD20&gt;=AA20,"B",AD20&gt;=AB20,"C",AD20&gt;=AC20,"D",TRUE,"NÃO ATINGIDO")</f>
        <v>NÃO ATINGIDO</v>
      </c>
      <c r="AF20" s="37" t="str" cm="1">
        <f t="array" ref="AF20">_xlfn.IFS(AE20="NÃO ATINGIDO","D",AE20="D","C",AE20="C","B",AE20="B","A",AE20="A","OBJETIVO ALCANÇADO")</f>
        <v>D</v>
      </c>
      <c r="AG20" s="37" cm="1">
        <f t="array" ref="AG20">_xlfn.IFS(AF20="D",MAX(AC20-AD20,0),AF20="C",MAX(AB20-AD20,0),AF20="B",MAX(AA20-AD20,0),AF20="A",MAX(Z20-AD20,0),AF20="OBJETIVO ALCANÇADO",0)</f>
        <v>24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94044.729999999749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30905.270000000251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275249.46999999991</v>
      </c>
      <c r="E21" s="23">
        <f>Tabela13[[#This Row],[META A]]-Tabela13[[#This Row],[ATINGIDO]]</f>
        <v>149750.53000000009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7420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7420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73</v>
      </c>
      <c r="AE21" s="43"/>
      <c r="AF21" s="43"/>
      <c r="AG21" s="44">
        <f>SUBTOTAL(109,Planilha1!$AG$3:$AG$20)</f>
        <v>367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2158475.5899999975</v>
      </c>
      <c r="AO21" s="4"/>
      <c r="AP21" s="4"/>
      <c r="AQ21" s="33">
        <f>SUBTOTAL(109,Tabela817[FALTA])</f>
        <v>325549.41000000259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82638.189999999871</v>
      </c>
      <c r="E22" s="25">
        <f>Tabela13[[#This Row],[META A]]-Tabela13[[#This Row],[ATINGIDO]]</f>
        <v>39361.810000000129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15310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15310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527175.98999999941</v>
      </c>
      <c r="Q22" s="7">
        <f>O22-P22</f>
        <v>157824.01000000059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157515.84999999957</v>
      </c>
      <c r="E23" s="23">
        <f>Tabela13[[#This Row],[META A]]-Tabela13[[#This Row],[ATINGIDO]]</f>
        <v>42484.150000000431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5790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5790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548778.48000000021</v>
      </c>
      <c r="Q23" s="7">
        <f>O23-P23</f>
        <v>136221.51999999979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102353.13000000005</v>
      </c>
      <c r="E24" s="25">
        <f>Tabela13[[#This Row],[META A]]-Tabela13[[#This Row],[ATINGIDO]]</f>
        <v>42646.869999999952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5060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5060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117176.82000000007</v>
      </c>
      <c r="Q24" s="7">
        <f>O24-P24</f>
        <v>567823.17999999993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94044.729999999749</v>
      </c>
      <c r="E25" s="23">
        <f>Tabela13[[#This Row],[META A]]-Tabela13[[#This Row],[ATINGIDO]]</f>
        <v>52955.270000000251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6350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6350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32503.550000000014</v>
      </c>
      <c r="E26" s="25">
        <f>Tabela13[[#This Row],[META A]]-Tabela13[[#This Row],[ATINGIDO]]</f>
        <v>57496.449999999983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5280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5280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179860.41999999961</v>
      </c>
      <c r="E27" s="23">
        <f>Tabela13[[#This Row],[META A]]-Tabela13[[#This Row],[ATINGIDO]]</f>
        <v>62139.580000000395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6550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6550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251826.3399999995</v>
      </c>
      <c r="E28" s="25">
        <f>Tabela13[[#This Row],[META A]]-Tabela13[[#This Row],[ATINGIDO]]</f>
        <v>71673.660000000498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96528.829999999856</v>
      </c>
      <c r="E30" s="25">
        <f>Tabela13[[#This Row],[META A]]-Tabela13[[#This Row],[ATINGIDO]]</f>
        <v>42971.170000000144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136484.83999999985</v>
      </c>
      <c r="E31" s="23">
        <f>Tabela13[[#This Row],[META A]]-Tabela13[[#This Row],[ATINGIDO]]</f>
        <v>30515.160000000149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575469.77000000421</v>
      </c>
      <c r="K31" s="7">
        <f>I31-J31</f>
        <v>116554.03952380526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284</v>
      </c>
      <c r="W31" s="6">
        <f t="shared" ref="W31:W33" si="2">U31-V31</f>
        <v>-97.571428571428584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198305.76999999955</v>
      </c>
      <c r="E32" s="25">
        <f>Tabela13[[#This Row],[META A]]-Tabela13[[#This Row],[ATINGIDO]]</f>
        <v>66694.230000000447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263</v>
      </c>
      <c r="W32" s="6">
        <f t="shared" si="2"/>
        <v>-76.571428571428584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59845.330000000082</v>
      </c>
      <c r="E33" s="23">
        <f>Tabela13[[#This Row],[META A]]-Tabela13[[#This Row],[ATINGIDO]]</f>
        <v>40154.669999999918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580789.35000000393</v>
      </c>
      <c r="K33" s="7">
        <f t="shared" si="3"/>
        <v>111234.45952380553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86</v>
      </c>
      <c r="W33" s="6">
        <f t="shared" si="2"/>
        <v>100.42857142857142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39571.260000000053</v>
      </c>
      <c r="E34" s="25">
        <f>Tabela13[[#This Row],[META A]]-Tabela13[[#This Row],[ATINGIDO]]</f>
        <v>15428.739999999947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215441.50000000003</v>
      </c>
      <c r="K34" s="7">
        <f t="shared" si="3"/>
        <v>476582.30952380947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57220.620000000017</v>
      </c>
      <c r="E35" s="23">
        <f>Tabela13[[#This Row],[META A]]-Tabela13[[#This Row],[ATINGIDO]]</f>
        <v>17779.379999999983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891.3</v>
      </c>
      <c r="E36" s="23">
        <f>Tabela13[[#This Row],[META A]]-Tabela13[[#This Row],[ATINGIDO]]</f>
        <v>108.70000000000005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1203635.6099999992</v>
      </c>
      <c r="E40" s="7">
        <f>C40-D40</f>
        <v>173626.29476190568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1209695.419999996</v>
      </c>
      <c r="E41" s="7">
        <f t="shared" ref="E41:E43" si="4">C41-D41</f>
        <v>167566.48476190888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1175126.2499999986</v>
      </c>
      <c r="E42" s="7">
        <f t="shared" si="4"/>
        <v>202135.65476190625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354038.25999999983</v>
      </c>
      <c r="E43" s="7">
        <f t="shared" si="4"/>
        <v>1023223.6447619051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2026-08-25T11:02:16Z</dcterms:modified>
</cp:coreProperties>
</file>