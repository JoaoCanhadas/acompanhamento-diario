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A812A6F6-50CE-49B7-BA3C-A13441478DE3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3" i="2"/>
  <c r="V31" i="2"/>
  <c r="V32" i="2"/>
  <c r="V30" i="2"/>
  <c r="V34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P24" i="2"/>
  <c r="P22" i="2"/>
  <c r="J31" i="2"/>
  <c r="D41" i="2"/>
  <c r="J32" i="2"/>
  <c r="D40" i="2"/>
  <c r="J34" i="2"/>
  <c r="D42" i="2"/>
  <c r="P25" i="2"/>
  <c r="D44" i="2"/>
  <c r="J33" i="2"/>
  <c r="P23" i="2"/>
  <c r="D43" i="2"/>
  <c r="J35" i="2"/>
  <c r="P21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E44" i="2" l="1"/>
  <c r="I5" i="2" l="1"/>
  <c r="O4" i="2"/>
  <c r="O5" i="2"/>
  <c r="C6" i="2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2" i="2"/>
  <c r="E43" i="2"/>
  <c r="E40" i="2"/>
  <c r="E41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2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<sst xmlns="http://schemas.openxmlformats.org/spreadsheetml/2006/main" count="215" uniqueCount="54">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</sst>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22/07/2026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38432.729999999974</v>
          </cell>
          <cell r="H5" t="str">
            <v>CAMPINAS</v>
          </cell>
          <cell r="I5">
            <v>3262.0099999999998</v>
          </cell>
        </row>
        <row r="6">
          <cell r="E6" t="str">
            <v>CENTRO</v>
          </cell>
          <cell r="F6">
            <v>253523.69999999958</v>
          </cell>
          <cell r="H6" t="str">
            <v>CENTRO</v>
          </cell>
          <cell r="I6">
            <v>3401.8400000000006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1865.2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INTERLAGOS</v>
          </cell>
          <cell r="I8">
            <v>1218.9000000000001</v>
          </cell>
          <cell r="K8" t="str">
            <v>CENTRO</v>
          </cell>
          <cell r="N8">
            <v>40</v>
          </cell>
        </row>
        <row r="9">
          <cell r="E9" t="str">
            <v>INDAIATUBA</v>
          </cell>
          <cell r="F9">
            <v>50911.409999999996</v>
          </cell>
          <cell r="H9" t="str">
            <v>JUNDIAI</v>
          </cell>
          <cell r="I9">
            <v>2111</v>
          </cell>
          <cell r="K9" t="str">
            <v>INDAIATUBA</v>
          </cell>
          <cell r="N9">
            <v>32</v>
          </cell>
        </row>
        <row r="10">
          <cell r="E10" t="str">
            <v>INTERLAGOS</v>
          </cell>
          <cell r="F10">
            <v>171718.08999999985</v>
          </cell>
          <cell r="H10" t="str">
            <v>KEY SP</v>
          </cell>
          <cell r="I10">
            <v>1755.6</v>
          </cell>
          <cell r="K10" t="str">
            <v>JUNDIAI</v>
          </cell>
          <cell r="N10">
            <v>18</v>
          </cell>
        </row>
        <row r="11">
          <cell r="E11" t="str">
            <v>JUNDIAI</v>
          </cell>
          <cell r="F11">
            <v>50497.230000000061</v>
          </cell>
          <cell r="H11" t="str">
            <v>KEY ZL</v>
          </cell>
          <cell r="I11">
            <v>19933.399999999991</v>
          </cell>
          <cell r="K11" t="str">
            <v>LESTE</v>
          </cell>
          <cell r="N11">
            <v>30</v>
          </cell>
        </row>
        <row r="12">
          <cell r="E12" t="str">
            <v>KEY ABC</v>
          </cell>
          <cell r="F12">
            <v>209220.31999999995</v>
          </cell>
          <cell r="H12" t="str">
            <v>LESTE</v>
          </cell>
          <cell r="I12">
            <v>3049.08</v>
          </cell>
          <cell r="K12" t="str">
            <v>LESTE PENHA</v>
          </cell>
          <cell r="N12">
            <v>24</v>
          </cell>
        </row>
        <row r="13">
          <cell r="E13" t="str">
            <v>KEY CASA</v>
          </cell>
          <cell r="F13">
            <v>263985.40000000084</v>
          </cell>
          <cell r="H13" t="str">
            <v>LESTE MOOCA</v>
          </cell>
          <cell r="I13">
            <v>4393.3999999999996</v>
          </cell>
          <cell r="K13" t="str">
            <v>LESTE TATUAPE</v>
          </cell>
          <cell r="N13">
            <v>34</v>
          </cell>
        </row>
        <row r="14">
          <cell r="E14" t="str">
            <v>KEY INTERIOR</v>
          </cell>
          <cell r="F14">
            <v>516869.3000000001</v>
          </cell>
          <cell r="H14" t="str">
            <v>LESTE PENHA</v>
          </cell>
          <cell r="I14">
            <v>2026.69</v>
          </cell>
          <cell r="K14" t="str">
            <v>NORTE</v>
          </cell>
          <cell r="N14">
            <v>39</v>
          </cell>
        </row>
        <row r="15">
          <cell r="E15" t="str">
            <v>KEY PIRACICABA</v>
          </cell>
          <cell r="F15">
            <v>87483.259999999951</v>
          </cell>
          <cell r="H15" t="str">
            <v>LESTE TATUAPE</v>
          </cell>
          <cell r="I15">
            <v>1089.3000000000002</v>
          </cell>
          <cell r="K15" t="str">
            <v>OSASCO</v>
          </cell>
          <cell r="N15">
            <v>60</v>
          </cell>
        </row>
        <row r="16">
          <cell r="E16" t="str">
            <v>KEY SJC</v>
          </cell>
          <cell r="F16">
            <v>90046.200000000041</v>
          </cell>
          <cell r="H16" t="str">
            <v>MOGI</v>
          </cell>
          <cell r="I16">
            <v>2802.23</v>
          </cell>
          <cell r="K16" t="str">
            <v>PIRITUBA</v>
          </cell>
          <cell r="N16">
            <v>27</v>
          </cell>
        </row>
        <row r="17">
          <cell r="E17" t="str">
            <v>KEY SP</v>
          </cell>
          <cell r="F17">
            <v>264953.34999999998</v>
          </cell>
          <cell r="H17" t="str">
            <v>NORTE</v>
          </cell>
          <cell r="I17">
            <v>1391.6</v>
          </cell>
          <cell r="K17" t="str">
            <v>SANTO ANDRE</v>
          </cell>
          <cell r="N17">
            <v>25</v>
          </cell>
        </row>
        <row r="18">
          <cell r="E18" t="str">
            <v>KEY ZL</v>
          </cell>
          <cell r="F18">
            <v>278371.99999999994</v>
          </cell>
          <cell r="H18" t="str">
            <v>OSASCO</v>
          </cell>
          <cell r="I18">
            <v>3163.2</v>
          </cell>
          <cell r="K18" t="str">
            <v>SJC</v>
          </cell>
          <cell r="N18">
            <v>21</v>
          </cell>
        </row>
        <row r="19">
          <cell r="E19" t="str">
            <v>LESTE</v>
          </cell>
          <cell r="F19">
            <v>71969.509999999995</v>
          </cell>
          <cell r="H19" t="str">
            <v>PIRITUBA</v>
          </cell>
          <cell r="I19">
            <v>944.40000000000009</v>
          </cell>
          <cell r="K19" t="str">
            <v>Total Geral</v>
          </cell>
          <cell r="N19">
            <v>350</v>
          </cell>
        </row>
        <row r="20">
          <cell r="E20" t="str">
            <v>LESTE MOOCA</v>
          </cell>
          <cell r="F20">
            <v>128777.36499999973</v>
          </cell>
          <cell r="H20" t="str">
            <v>SANTO ANDRE</v>
          </cell>
          <cell r="I20">
            <v>4797.5999999999995</v>
          </cell>
        </row>
        <row r="21">
          <cell r="E21" t="str">
            <v>LESTE PENHA</v>
          </cell>
          <cell r="F21">
            <v>92057.190000000046</v>
          </cell>
          <cell r="H21" t="str">
            <v>SBC</v>
          </cell>
          <cell r="I21">
            <v>3032.0400000000004</v>
          </cell>
        </row>
        <row r="22">
          <cell r="E22" t="str">
            <v>LESTE TATUAPE</v>
          </cell>
          <cell r="F22">
            <v>82797.879999999874</v>
          </cell>
          <cell r="H22" t="str">
            <v>SJC</v>
          </cell>
          <cell r="I22">
            <v>2083.1800000000003</v>
          </cell>
        </row>
        <row r="23">
          <cell r="E23" t="str">
            <v>MOGI</v>
          </cell>
          <cell r="F23">
            <v>48392.130000000092</v>
          </cell>
          <cell r="H23" t="str">
            <v>VENDEDOR INTERNO 1</v>
          </cell>
          <cell r="I23">
            <v>75</v>
          </cell>
        </row>
        <row r="24">
          <cell r="E24" t="str">
            <v>NORTE</v>
          </cell>
          <cell r="F24">
            <v>157312.70999999982</v>
          </cell>
          <cell r="H24" t="str">
            <v>Total Geral</v>
          </cell>
          <cell r="I24">
            <v>62395.67</v>
          </cell>
        </row>
        <row r="25">
          <cell r="E25" t="str">
            <v>OSASCO</v>
          </cell>
          <cell r="F25">
            <v>231932.30999999968</v>
          </cell>
        </row>
        <row r="26">
          <cell r="E26" t="str">
            <v>PIRITUBA</v>
          </cell>
          <cell r="F26">
            <v>89745.509999999907</v>
          </cell>
        </row>
        <row r="27">
          <cell r="E27" t="str">
            <v>SANTO ANDRE</v>
          </cell>
          <cell r="F27">
            <v>109645.46999999996</v>
          </cell>
        </row>
        <row r="28">
          <cell r="E28" t="str">
            <v>SBC</v>
          </cell>
          <cell r="F28">
            <v>172110.57999999987</v>
          </cell>
        </row>
        <row r="29">
          <cell r="E29" t="str">
            <v>SJC</v>
          </cell>
          <cell r="F29">
            <v>58108.070000000094</v>
          </cell>
        </row>
        <row r="30">
          <cell r="E30" t="str">
            <v>SJC/VALE</v>
          </cell>
          <cell r="F30">
            <v>29659.220000000012</v>
          </cell>
        </row>
        <row r="31">
          <cell r="E31" t="str">
            <v>VENDEDOR INTERNO 1</v>
          </cell>
          <cell r="F31">
            <v>51586.549999999996</v>
          </cell>
        </row>
        <row r="32">
          <cell r="E32" t="str">
            <v>Total Geral</v>
          </cell>
          <cell r="F32">
            <v>3601341.4049999751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topLeftCell="A13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150000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3601341.4049999989</v>
      </c>
      <c r="D5" s="2"/>
      <c r="E5" s="4"/>
      <c r="F5" s="4"/>
      <c r="G5" s="4"/>
      <c r="H5" s="4" t="s">
        <v>1</v>
      </c>
      <c r="I5" s="7">
        <f>SUM(J10:J27)</f>
        <v>40706.670000000006</v>
      </c>
      <c r="J5" s="4"/>
      <c r="K5" s="4"/>
      <c r="L5" s="4"/>
      <c r="M5" s="4"/>
      <c r="N5" s="4" t="s">
        <v>1</v>
      </c>
      <c r="O5" s="7">
        <f>SUM(P11:P17)</f>
        <v>21688.999999999989</v>
      </c>
      <c r="P5" s="4"/>
      <c r="Q5" s="4"/>
      <c r="R5" s="4"/>
      <c r="S5" s="4"/>
      <c r="T5" s="4" t="s">
        <v>1</v>
      </c>
      <c r="U5" s="4">
        <f>SUM(V10:V26)</f>
        <v>350</v>
      </c>
      <c r="V5" s="4"/>
      <c r="W5" s="4"/>
    </row>
    <row r="6" spans="1:23" x14ac:dyDescent="0.25">
      <c r="A6" s="4"/>
      <c r="B6" s="4" t="s">
        <v>2</v>
      </c>
      <c r="C6" s="2">
        <f>C4-C5</f>
        <v>1991158.5950000011</v>
      </c>
      <c r="D6" s="2"/>
      <c r="E6" s="4"/>
      <c r="F6" s="4"/>
      <c r="G6" s="4"/>
      <c r="H6" s="4" t="s">
        <v>2</v>
      </c>
      <c r="I6" s="7">
        <f>I4-I5</f>
        <v>109293.32999999999</v>
      </c>
      <c r="J6" s="4"/>
      <c r="K6" s="4"/>
      <c r="L6" s="4"/>
      <c r="M6" s="4"/>
      <c r="N6" s="4" t="s">
        <v>2</v>
      </c>
      <c r="O6" s="7">
        <f>O4-O5</f>
        <v>-21688.999999999989</v>
      </c>
      <c r="P6" s="4"/>
      <c r="Q6" s="4"/>
      <c r="R6" s="4"/>
      <c r="S6" s="4"/>
      <c r="T6" s="4" t="s">
        <v>2</v>
      </c>
      <c r="U6" s="4">
        <f>U4-U5</f>
        <v>408</v>
      </c>
      <c r="V6" s="4"/>
      <c r="W6" s="4"/>
    </row>
    <row r="7" spans="1:23" x14ac:dyDescent="0.25">
      <c r="A7" s="4"/>
      <c r="B7" s="4" t="s">
        <v>3</v>
      </c>
      <c r="C7" s="3">
        <f>1-(C6/C4)</f>
        <v>0.64395912472060779</v>
      </c>
      <c r="D7" s="2"/>
      <c r="E7" s="4"/>
      <c r="F7" s="4"/>
      <c r="G7" s="4"/>
      <c r="H7" s="4" t="s">
        <v>3</v>
      </c>
      <c r="I7" s="3">
        <f>1-(I6/I4)</f>
        <v>0.27137780000000011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0.46174142480211078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38432.729999999974</v>
      </c>
      <c r="E10" s="27">
        <f>Tabela13[[#This Row],[META A]]-Tabela13[[#This Row],[ATINGIDO]]</f>
        <v>26067.270000000026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17000</v>
      </c>
      <c r="J10" s="22">
        <f>_xlfn.XLOOKUP(Tabela5[[#This Row],[VENDEDOR]],'[1]BASE PYTHON'!$H:$H,'[1]BASE PYTHON'!$I:$I,0)</f>
        <v>3163.2</v>
      </c>
      <c r="K10" s="23">
        <f>Tabela5[[#This Row],[COMPROMISSO]]-Tabela5[[#This Row],[ATINGIDO]]</f>
        <v>13836.8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253523.69999999958</v>
      </c>
      <c r="E11" s="24">
        <f>Tabela13[[#This Row],[META A]]-Tabela13[[#This Row],[ATINGIDO]]</f>
        <v>71476.300000000425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11960</v>
      </c>
      <c r="J11" s="22">
        <f>_xlfn.XLOOKUP(Tabela5[[#This Row],[VENDEDOR]],'[1]BASE PYTHON'!$H:$H,'[1]BASE PYTHON'!$I:$I,0)</f>
        <v>1391.6</v>
      </c>
      <c r="K11" s="23">
        <f>Tabela5[[#This Row],[COMPROMISSO]]-Tabela5[[#This Row],[ATINGIDO]]</f>
        <v>10568.4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40</v>
      </c>
      <c r="W11" s="19">
        <f t="shared" ref="W11:W20" si="0">U11-V11</f>
        <v>12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9110</v>
      </c>
      <c r="J12" s="22">
        <f>_xlfn.XLOOKUP(Tabela5[[#This Row],[VENDEDOR]],'[1]BASE PYTHON'!$H:$H,'[1]BASE PYTHON'!$I:$I,0)</f>
        <v>944.40000000000009</v>
      </c>
      <c r="K12" s="23">
        <f>Tabela5[[#This Row],[COMPROMISSO]]-Tabela5[[#This Row],[ATINGIDO]]</f>
        <v>8165.6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32</v>
      </c>
      <c r="W12" s="19">
        <f t="shared" si="0"/>
        <v>9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50911.409999999996</v>
      </c>
      <c r="E13" s="24">
        <f>Tabela13[[#This Row],[META A]]-Tabela13[[#This Row],[ATINGIDO]]</f>
        <v>39088.590000000004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15000</v>
      </c>
      <c r="J13" s="22">
        <f>_xlfn.XLOOKUP(Tabela5[[#This Row],[VENDEDOR]],'[1]BASE PYTHON'!$H:$H,'[1]BASE PYTHON'!$I:$I,0)</f>
        <v>3032.0400000000004</v>
      </c>
      <c r="K13" s="23">
        <f>Tabela5[[#This Row],[COMPROMISSO]]-Tabela5[[#This Row],[ATINGIDO]]</f>
        <v>11967.96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19933.399999999991</v>
      </c>
      <c r="Q13" s="2">
        <f t="shared" ref="Q13:Q17" si="1">O13-P13</f>
        <v>-19933.399999999991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171718.08999999985</v>
      </c>
      <c r="E14" s="27">
        <f>Tabela13[[#This Row],[META A]]-Tabela13[[#This Row],[ATINGIDO]]</f>
        <v>101281.91000000015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4280</v>
      </c>
      <c r="J14" s="22">
        <f>_xlfn.XLOOKUP(Tabela5[[#This Row],[VENDEDOR]],'[1]BASE PYTHON'!$H:$H,'[1]BASE PYTHON'!$I:$I,0)</f>
        <v>1089.3000000000002</v>
      </c>
      <c r="K14" s="23">
        <f>Tabela5[[#This Row],[COMPROMISSO]]-Tabela5[[#This Row],[ATINGIDO]]</f>
        <v>3190.7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18</v>
      </c>
      <c r="W14" s="19">
        <f t="shared" si="0"/>
        <v>9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50497.230000000061</v>
      </c>
      <c r="E15" s="24">
        <f>Tabela13[[#This Row],[META A]]-Tabela13[[#This Row],[ATINGIDO]]</f>
        <v>27502.769999999939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3401.8400000000006</v>
      </c>
      <c r="K15" s="23">
        <f>Tabela5[[#This Row],[COMPROMISSO]]-Tabela5[[#This Row],[ATINGIDO]]</f>
        <v>11598.16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1755.6</v>
      </c>
      <c r="Q15" s="2">
        <f t="shared" si="1"/>
        <v>-1755.6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30</v>
      </c>
      <c r="W15" s="19">
        <f>U15-V15</f>
        <v>18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209220.31999999995</v>
      </c>
      <c r="E16" s="27">
        <f>Tabela13[[#This Row],[META A]]-Tabela13[[#This Row],[ATINGIDO]]</f>
        <v>115779.68000000005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13470</v>
      </c>
      <c r="J16" s="22">
        <f>_xlfn.XLOOKUP(Tabela5[[#This Row],[VENDEDOR]],'[1]BASE PYTHON'!$H:$H,'[1]BASE PYTHON'!$I:$I,0)</f>
        <v>4797.5999999999995</v>
      </c>
      <c r="K16" s="23">
        <f>Tabela5[[#This Row],[COMPROMISSO]]-Tabela5[[#This Row],[ATINGIDO]]</f>
        <v>8672.4000000000015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263985.40000000084</v>
      </c>
      <c r="E17" s="24">
        <f>Tabela13[[#This Row],[META A]]-Tabela13[[#This Row],[ATINGIDO]]</f>
        <v>-93985.400000000838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2530</v>
      </c>
      <c r="J17" s="22">
        <f>_xlfn.XLOOKUP(Tabela5[[#This Row],[VENDEDOR]],'[1]BASE PYTHON'!$H:$H,'[1]BASE PYTHON'!$I:$I,0)</f>
        <v>2802.23</v>
      </c>
      <c r="K17" s="23">
        <f>Tabela5[[#This Row],[COMPROMISSO]]-Tabela5[[#This Row],[ATINGIDO]]</f>
        <v>-272.23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516869.3000000001</v>
      </c>
      <c r="E18" s="27">
        <f>Tabela13[[#This Row],[META A]]-Tabela13[[#This Row],[ATINGIDO]]</f>
        <v>433130.6999999999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3049.08</v>
      </c>
      <c r="K18" s="23">
        <f>Tabela5[[#This Row],[COMPROMISSO]]-Tabela5[[#This Row],[ATINGIDO]]</f>
        <v>3790.92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39</v>
      </c>
      <c r="W18" s="19">
        <f t="shared" si="0"/>
        <v>6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90046.200000000041</v>
      </c>
      <c r="E19" s="24">
        <f>Tabela13[[#This Row],[META A]]-Tabela13[[#This Row],[ATINGIDO]]</f>
        <v>39953.799999999959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10910</v>
      </c>
      <c r="J19" s="22">
        <f>_xlfn.XLOOKUP(Tabela5[[#This Row],[VENDEDOR]],'[1]BASE PYTHON'!$H:$H,'[1]BASE PYTHON'!$I:$I,0)</f>
        <v>4393.3999999999996</v>
      </c>
      <c r="K19" s="23">
        <f>Tabela5[[#This Row],[COMPROMISSO]]-Tabela5[[#This Row],[ATINGIDO]]</f>
        <v>6516.6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60</v>
      </c>
      <c r="W19" s="19">
        <f t="shared" si="0"/>
        <v>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264953.34999999998</v>
      </c>
      <c r="E20" s="27">
        <f>Tabela13[[#This Row],[META A]]-Tabela13[[#This Row],[ATINGIDO]]</f>
        <v>295046.65000000002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13000</v>
      </c>
      <c r="J20" s="22">
        <f>_xlfn.XLOOKUP(Tabela5[[#This Row],[VENDEDOR]],'[1]BASE PYTHON'!$H:$H,'[1]BASE PYTHON'!$I:$I,0)</f>
        <v>1218.9000000000001</v>
      </c>
      <c r="K20" s="23">
        <f>Tabela5[[#This Row],[COMPROMISSO]]-Tabela5[[#This Row],[ATINGIDO]]</f>
        <v>11781.1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24</v>
      </c>
      <c r="W20" s="19">
        <f t="shared" si="0"/>
        <v>15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278371.99999999994</v>
      </c>
      <c r="E21" s="24">
        <f>Tabela13[[#This Row],[META A]]-Tabela13[[#This Row],[ATINGIDO]]</f>
        <v>136628.00000000006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5490</v>
      </c>
      <c r="J21" s="22">
        <f>_xlfn.XLOOKUP(Tabela5[[#This Row],[VENDEDOR]],'[1]BASE PYTHON'!$H:$H,'[1]BASE PYTHON'!$I:$I,0)</f>
        <v>2111</v>
      </c>
      <c r="K21" s="23">
        <f>Tabela5[[#This Row],[COMPROMISSO]]-Tabela5[[#This Row],[ATINGIDO]]</f>
        <v>3379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71969.509999999995</v>
      </c>
      <c r="E22" s="27">
        <f>Tabela13[[#This Row],[META A]]-Tabela13[[#This Row],[ATINGIDO]]</f>
        <v>50030.490000000005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7350</v>
      </c>
      <c r="J22" s="22">
        <f>_xlfn.XLOOKUP(Tabela5[[#This Row],[VENDEDOR]],'[1]BASE PYTHON'!$H:$H,'[1]BASE PYTHON'!$I:$I,0)</f>
        <v>2026.69</v>
      </c>
      <c r="K22" s="23">
        <f>Tabela5[[#This Row],[COMPROMISSO]]-Tabela5[[#This Row],[ATINGIDO]]</f>
        <v>5323.3099999999995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563167.95000000019</v>
      </c>
      <c r="Q22" s="7">
        <f>O22-P22</f>
        <v>-67713.404545454716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25</v>
      </c>
      <c r="W22" s="19">
        <f t="shared" si="2"/>
        <v>15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128777.36499999973</v>
      </c>
      <c r="E23" s="24">
        <f>Tabela13[[#This Row],[META A]]-Tabela13[[#This Row],[ATINGIDO]]</f>
        <v>66222.635000000271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5290</v>
      </c>
      <c r="J23" s="22">
        <f>_xlfn.XLOOKUP(Tabela5[[#This Row],[VENDEDOR]],'[1]BASE PYTHON'!$H:$H,'[1]BASE PYTHON'!$I:$I,0)</f>
        <v>1865.2</v>
      </c>
      <c r="K23" s="23">
        <f>Tabela5[[#This Row],[COMPROMISSO]]-Tabela5[[#This Row],[ATINGIDO]]</f>
        <v>3424.8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691799.54999999935</v>
      </c>
      <c r="Q23" s="7">
        <f>O23-P23</f>
        <v>-72481.368181817466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92057.190000000046</v>
      </c>
      <c r="E24" s="27">
        <f>Tabela13[[#This Row],[META A]]-Tabela13[[#This Row],[ATINGIDO]]</f>
        <v>47942.809999999954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3540</v>
      </c>
      <c r="J24" s="22">
        <f>_xlfn.XLOOKUP(Tabela5[[#This Row],[VENDEDOR]],'[1]BASE PYTHON'!$H:$H,'[1]BASE PYTHON'!$I:$I,0)</f>
        <v>75</v>
      </c>
      <c r="K24" s="23">
        <f>Tabela5[[#This Row],[COMPROMISSO]]-Tabela5[[#This Row],[ATINGIDO]]</f>
        <v>3465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180720.71000000008</v>
      </c>
      <c r="Q24" s="7">
        <f>O24-P24</f>
        <v>438597.4718181818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21</v>
      </c>
      <c r="W24" s="19">
        <f t="shared" si="2"/>
        <v>16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82797.879999999874</v>
      </c>
      <c r="E25" s="24">
        <f>Tabela13[[#This Row],[META A]]-Tabela13[[#This Row],[ATINGIDO]]</f>
        <v>59702.120000000126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3900</v>
      </c>
      <c r="J25" s="22">
        <f>_xlfn.XLOOKUP(Tabela5[[#This Row],[VENDEDOR]],'[1]BASE PYTHON'!$H:$H,'[1]BASE PYTHON'!$I:$I,0)</f>
        <v>2083.1800000000003</v>
      </c>
      <c r="K25" s="23">
        <f>Tabela5[[#This Row],[COMPROMISSO]]-Tabela5[[#This Row],[ATINGIDO]]</f>
        <v>1816.8199999999997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34</v>
      </c>
      <c r="W25" s="19">
        <f t="shared" si="2"/>
        <v>17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48392.130000000092</v>
      </c>
      <c r="E26" s="27">
        <f>Tabela13[[#This Row],[META A]]-Tabela13[[#This Row],[ATINGIDO]]</f>
        <v>41607.869999999908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2780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2780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157312.70999999982</v>
      </c>
      <c r="E27" s="24">
        <f>Tabela13[[#This Row],[META A]]-Tabela13[[#This Row],[ATINGIDO]]</f>
        <v>80187.290000000183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2550</v>
      </c>
      <c r="J27" s="22">
        <f>_xlfn.XLOOKUP(Tabela5[[#This Row],[VENDEDOR]],'[1]BASE PYTHON'!$H:$H,'[1]BASE PYTHON'!$I:$I,0)</f>
        <v>3262.0099999999998</v>
      </c>
      <c r="K27" s="23">
        <f>Tabela5[[#This Row],[COMPROMISSO]]-Tabela5[[#This Row],[ATINGIDO]]</f>
        <v>-712.00999999999976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231932.30999999968</v>
      </c>
      <c r="E28" s="27">
        <f>Tabela13[[#This Row],[META A]]-Tabela13[[#This Row],[ATINGIDO]]</f>
        <v>86567.690000000322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87483.259999999951</v>
      </c>
      <c r="E29" s="24">
        <f>Tabela13[[#This Row],[META A]]-Tabela13[[#This Row],[ATINGIDO]]</f>
        <v>87516.740000000049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89745.509999999907</v>
      </c>
      <c r="E30" s="27">
        <f>Tabela13[[#This Row],[META A]]-Tabela13[[#This Row],[ATINGIDO]]</f>
        <v>44754.490000000093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79</v>
      </c>
      <c r="W30" s="6">
        <f>U30-V30</f>
        <v>24.36363636363636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109645.46999999996</v>
      </c>
      <c r="E31" s="24">
        <f>Tabela13[[#This Row],[META A]]-Tabela13[[#This Row],[ATINGIDO]]</f>
        <v>57354.530000000042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132</v>
      </c>
      <c r="W31" s="6">
        <f t="shared" ref="W31:W33" si="3">U31-V31</f>
        <v>5.818181818181813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172110.57999999987</v>
      </c>
      <c r="E32" s="27">
        <f>Tabela13[[#This Row],[META A]]-Tabela13[[#This Row],[ATINGIDO]]</f>
        <v>87889.420000000129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540157.7900000033</v>
      </c>
      <c r="K32" s="7">
        <f t="shared" ref="K32:K34" si="4">I32-J32</f>
        <v>-19157.790000003297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189</v>
      </c>
      <c r="W32" s="6">
        <f t="shared" si="3"/>
        <v>-16.727272727272748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58108.070000000094</v>
      </c>
      <c r="E33" s="24">
        <f>Tabela13[[#This Row],[META A]]-Tabela13[[#This Row],[ATINGIDO]]</f>
        <v>41891.929999999906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700067.99000000232</v>
      </c>
      <c r="K33" s="7">
        <f t="shared" si="4"/>
        <v>-48817.990000002319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99</v>
      </c>
      <c r="W33" s="6">
        <f t="shared" si="3"/>
        <v>73.272727272727252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29659.220000000012</v>
      </c>
      <c r="E34" s="27">
        <f>Tabela13[[#This Row],[META A]]-Tabela13[[#This Row],[ATINGIDO]]</f>
        <v>25340.779999999988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378617.83500000124</v>
      </c>
      <c r="K34" s="7">
        <f t="shared" si="4"/>
        <v>272632.16499999876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51586.549999999996</v>
      </c>
      <c r="E35" s="24">
        <f>Tabela13[[#This Row],[META A]]-Tabela13[[#This Row],[ATINGIDO]]</f>
        <v>21413.450000000004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-154933.80000000156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1103755.3899999962</v>
      </c>
      <c r="E41" s="7">
        <f t="shared" ref="E41:E43" si="5">C41-D41</f>
        <v>-582755.38999999617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1392309.7799999909</v>
      </c>
      <c r="E42" s="7">
        <f t="shared" si="5"/>
        <v>-741059.77999999095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559592.43500000192</v>
      </c>
      <c r="E43" s="7">
        <f t="shared" si="5"/>
        <v>91657.564999998081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2026-07-22T13:44:56Z</dcterms:modified>
</cp:coreProperties>
</file>