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4BD24AD-3F0D-4661-86E1-5321DE159B0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5" i="2"/>
  <c r="P22" i="2"/>
  <c r="V34" i="2"/>
  <c r="P23" i="2"/>
  <c r="V30" i="2"/>
  <c r="D42" i="2"/>
  <c r="V32" i="2"/>
  <c r="J33" i="2"/>
  <c r="P11" i="2"/>
  <c r="D43" i="2"/>
  <c r="P21" i="2"/>
  <c r="P16" i="2"/>
  <c r="D40" i="2"/>
  <c r="D44" i="2"/>
  <c r="V33" i="2"/>
  <c r="P14" i="2"/>
  <c r="J34" i="2"/>
  <c r="J35" i="2"/>
  <c r="J32" i="2"/>
  <c r="J31" i="2"/>
  <c r="P15" i="2"/>
  <c r="P24" i="2"/>
  <c r="V31" i="2"/>
  <c r="P17" i="2"/>
  <c r="P13" i="2"/>
  <c r="D41" i="2"/>
  <c r="P1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<sst xmlns="http://schemas.openxmlformats.org/spreadsheetml/2006/main" count="215" uniqueCount="54">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</sst>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CONVERSOR"/>
      <sheetName val="VENDA DIA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33766.360000000008</v>
          </cell>
        </row>
        <row r="6">
          <cell r="E6" t="str">
            <v>CENTRO</v>
          </cell>
          <cell r="F6">
            <v>214674.71999999991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139.37</v>
          </cell>
          <cell r="K8" t="str">
            <v>CAMPINAS</v>
          </cell>
          <cell r="N8">
            <v>23</v>
          </cell>
        </row>
        <row r="9">
          <cell r="E9" t="str">
            <v>INDAIATUBA</v>
          </cell>
          <cell r="F9">
            <v>50652.465000000018</v>
          </cell>
          <cell r="K9" t="str">
            <v>CENTRO</v>
          </cell>
          <cell r="N9">
            <v>39</v>
          </cell>
        </row>
        <row r="10">
          <cell r="E10" t="str">
            <v>INTERLAGOS</v>
          </cell>
          <cell r="F10">
            <v>143535.32999999973</v>
          </cell>
          <cell r="K10" t="str">
            <v>INDAIATUBA</v>
          </cell>
          <cell r="N10">
            <v>27</v>
          </cell>
        </row>
        <row r="11">
          <cell r="E11" t="str">
            <v>JUNDIAI</v>
          </cell>
          <cell r="F11">
            <v>44746.74000000002</v>
          </cell>
          <cell r="K11" t="str">
            <v>INTERLAGOS</v>
          </cell>
          <cell r="N11">
            <v>45</v>
          </cell>
        </row>
        <row r="12">
          <cell r="E12" t="str">
            <v>KEY ABC</v>
          </cell>
          <cell r="F12">
            <v>153223.03999999998</v>
          </cell>
          <cell r="K12" t="str">
            <v>JUNDIAI</v>
          </cell>
          <cell r="N12">
            <v>15</v>
          </cell>
        </row>
        <row r="13">
          <cell r="E13" t="str">
            <v>KEY CASA</v>
          </cell>
          <cell r="F13">
            <v>239536.76999999979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423879.69999999978</v>
          </cell>
          <cell r="K14" t="str">
            <v>LESTE MOOCA</v>
          </cell>
          <cell r="N14">
            <v>34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20</v>
          </cell>
        </row>
        <row r="16">
          <cell r="E16" t="str">
            <v>KEY SJC</v>
          </cell>
          <cell r="F16">
            <v>17374.349999999999</v>
          </cell>
          <cell r="K16" t="str">
            <v>LESTE TATUAPE</v>
          </cell>
          <cell r="N16">
            <v>21</v>
          </cell>
        </row>
        <row r="17">
          <cell r="E17" t="str">
            <v>KEY SP</v>
          </cell>
          <cell r="F17">
            <v>250370.10000000012</v>
          </cell>
          <cell r="K17" t="str">
            <v>MOGI</v>
          </cell>
          <cell r="N17">
            <v>19</v>
          </cell>
        </row>
        <row r="18">
          <cell r="E18" t="str">
            <v>KEY ZL</v>
          </cell>
          <cell r="F18">
            <v>181517.36999999985</v>
          </cell>
          <cell r="K18" t="str">
            <v>NORTE</v>
          </cell>
          <cell r="N18">
            <v>30</v>
          </cell>
        </row>
        <row r="19">
          <cell r="E19" t="str">
            <v>LESTE</v>
          </cell>
          <cell r="F19">
            <v>64686.730000000061</v>
          </cell>
          <cell r="K19" t="str">
            <v>OSASCO</v>
          </cell>
          <cell r="N19">
            <v>47</v>
          </cell>
        </row>
        <row r="20">
          <cell r="E20" t="str">
            <v>LESTE MOOCA</v>
          </cell>
          <cell r="F20">
            <v>104139.05999999987</v>
          </cell>
          <cell r="K20" t="str">
            <v>PIRITUBA</v>
          </cell>
          <cell r="N20">
            <v>23</v>
          </cell>
        </row>
        <row r="21">
          <cell r="E21" t="str">
            <v>LESTE PENHA</v>
          </cell>
          <cell r="F21">
            <v>67542.800000000047</v>
          </cell>
          <cell r="K21" t="str">
            <v>SANTO ANDRE</v>
          </cell>
          <cell r="N21">
            <v>24</v>
          </cell>
        </row>
        <row r="22">
          <cell r="E22" t="str">
            <v>LESTE TATUAPE</v>
          </cell>
          <cell r="F22">
            <v>58663.950000000055</v>
          </cell>
          <cell r="K22" t="str">
            <v>SBC</v>
          </cell>
          <cell r="N22">
            <v>28</v>
          </cell>
        </row>
        <row r="23">
          <cell r="E23" t="str">
            <v>MOGI</v>
          </cell>
          <cell r="F23">
            <v>22016.08000000002</v>
          </cell>
          <cell r="K23" t="str">
            <v>SJC</v>
          </cell>
          <cell r="N23">
            <v>30</v>
          </cell>
        </row>
        <row r="24">
          <cell r="E24" t="str">
            <v>NORTE</v>
          </cell>
          <cell r="F24">
            <v>127209.33999999982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179585.46499999979</v>
          </cell>
          <cell r="K25" t="str">
            <v>Total Geral</v>
          </cell>
          <cell r="N25">
            <v>478</v>
          </cell>
        </row>
        <row r="26">
          <cell r="E26" t="str">
            <v>PIRITUBA</v>
          </cell>
          <cell r="F26">
            <v>70159.080000000031</v>
          </cell>
        </row>
        <row r="27">
          <cell r="E27" t="str">
            <v>SANTO ANDRE</v>
          </cell>
          <cell r="F27">
            <v>96728.77999999997</v>
          </cell>
        </row>
        <row r="28">
          <cell r="E28" t="str">
            <v>SBC</v>
          </cell>
          <cell r="F28">
            <v>140815.18999999974</v>
          </cell>
          <cell r="K28" t="str">
            <v>POSITIVAÇÃO GERAL</v>
          </cell>
        </row>
        <row r="29">
          <cell r="E29" t="str">
            <v>SJC</v>
          </cell>
          <cell r="F29">
            <v>46828.560000000063</v>
          </cell>
          <cell r="K29" t="str">
            <v>DATA</v>
          </cell>
        </row>
        <row r="30">
          <cell r="E30" t="str">
            <v>SJC/VALE</v>
          </cell>
          <cell r="F30">
            <v>28583.310000000027</v>
          </cell>
          <cell r="K30" t="str">
            <v>DES_TIPO_OPERACAO</v>
          </cell>
        </row>
        <row r="31">
          <cell r="E31" t="str">
            <v>VENDEDOR INTERNO 1</v>
          </cell>
          <cell r="F31">
            <v>40350.390000000014</v>
          </cell>
        </row>
        <row r="32">
          <cell r="E32" t="str">
            <v>Total Geral</v>
          </cell>
          <cell r="F32">
            <v>2801369.3299999936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N33" t="str">
            <v>Total Geral</v>
          </cell>
        </row>
        <row r="34">
          <cell r="K34" t="str">
            <v>VENDEDOR INTERNO 1</v>
          </cell>
          <cell r="N34">
            <v>66</v>
          </cell>
        </row>
        <row r="35">
          <cell r="K35" t="str">
            <v>Total Geral</v>
          </cell>
          <cell r="N35">
            <v>66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30</v>
          </cell>
          <cell r="H137" t="str">
            <v>B</v>
          </cell>
          <cell r="I137">
            <v>2</v>
          </cell>
        </row>
        <row r="138">
          <cell r="E138">
            <v>36</v>
          </cell>
          <cell r="F138">
            <v>66</v>
          </cell>
          <cell r="H138" t="str">
            <v>B</v>
          </cell>
          <cell r="I138">
            <v>2</v>
          </cell>
        </row>
        <row r="139">
          <cell r="E139">
            <v>25</v>
          </cell>
          <cell r="F139">
            <v>39</v>
          </cell>
          <cell r="H139" t="str">
            <v>B</v>
          </cell>
          <cell r="I139">
            <v>7</v>
          </cell>
        </row>
        <row r="140">
          <cell r="E140">
            <v>29</v>
          </cell>
          <cell r="F140">
            <v>47</v>
          </cell>
          <cell r="H140" t="str">
            <v>B</v>
          </cell>
          <cell r="I140">
            <v>7</v>
          </cell>
        </row>
        <row r="141">
          <cell r="E141">
            <v>28</v>
          </cell>
          <cell r="F141">
            <v>45</v>
          </cell>
          <cell r="H141" t="str">
            <v>B</v>
          </cell>
          <cell r="I141">
            <v>7</v>
          </cell>
        </row>
        <row r="142">
          <cell r="E142">
            <v>23</v>
          </cell>
          <cell r="F142">
            <v>34</v>
          </cell>
          <cell r="H142" t="str">
            <v>C</v>
          </cell>
          <cell r="I142">
            <v>2</v>
          </cell>
        </row>
        <row r="143">
          <cell r="E143">
            <v>18</v>
          </cell>
          <cell r="F143">
            <v>24</v>
          </cell>
          <cell r="H143" t="str">
            <v>C</v>
          </cell>
          <cell r="I143">
            <v>4</v>
          </cell>
        </row>
        <row r="144">
          <cell r="E144">
            <v>22</v>
          </cell>
          <cell r="F144">
            <v>30</v>
          </cell>
          <cell r="H144" t="str">
            <v>C</v>
          </cell>
          <cell r="I144">
            <v>3</v>
          </cell>
        </row>
        <row r="145">
          <cell r="E145">
            <v>22</v>
          </cell>
          <cell r="F145">
            <v>30</v>
          </cell>
          <cell r="H145" t="str">
            <v>C</v>
          </cell>
          <cell r="I145">
            <v>4</v>
          </cell>
        </row>
        <row r="146">
          <cell r="E146">
            <v>18</v>
          </cell>
          <cell r="F146">
            <v>23</v>
          </cell>
          <cell r="H146" t="str">
            <v>C</v>
          </cell>
          <cell r="I146">
            <v>4</v>
          </cell>
        </row>
        <row r="147">
          <cell r="E147">
            <v>20</v>
          </cell>
          <cell r="F147">
            <v>27</v>
          </cell>
          <cell r="H147" t="str">
            <v>C</v>
          </cell>
          <cell r="I147">
            <v>4</v>
          </cell>
        </row>
        <row r="148">
          <cell r="E148">
            <v>18</v>
          </cell>
          <cell r="F148">
            <v>23</v>
          </cell>
          <cell r="H148" t="str">
            <v>C</v>
          </cell>
          <cell r="I148">
            <v>4</v>
          </cell>
        </row>
        <row r="149">
          <cell r="E149">
            <v>14</v>
          </cell>
          <cell r="F149">
            <v>15</v>
          </cell>
          <cell r="H149" t="str">
            <v>C</v>
          </cell>
          <cell r="I149">
            <v>6</v>
          </cell>
        </row>
        <row r="150">
          <cell r="E150">
            <v>20</v>
          </cell>
          <cell r="F150">
            <v>23</v>
          </cell>
          <cell r="H150" t="str">
            <v>C</v>
          </cell>
          <cell r="I150">
            <v>8</v>
          </cell>
        </row>
        <row r="151">
          <cell r="E151">
            <v>19</v>
          </cell>
          <cell r="F151">
            <v>20</v>
          </cell>
          <cell r="H151" t="str">
            <v>C</v>
          </cell>
          <cell r="I151">
            <v>9</v>
          </cell>
        </row>
        <row r="152">
          <cell r="E152">
            <v>25</v>
          </cell>
          <cell r="F152">
            <v>28</v>
          </cell>
          <cell r="H152" t="str">
            <v>C</v>
          </cell>
          <cell r="I152">
            <v>11</v>
          </cell>
        </row>
        <row r="153">
          <cell r="E153">
            <v>19</v>
          </cell>
          <cell r="F153">
            <v>19</v>
          </cell>
          <cell r="H153" t="str">
            <v>C</v>
          </cell>
          <cell r="I153">
            <v>10</v>
          </cell>
        </row>
        <row r="154">
          <cell r="E154">
            <v>24</v>
          </cell>
          <cell r="F154">
            <v>21</v>
          </cell>
          <cell r="H154" t="str">
            <v>D</v>
          </cell>
          <cell r="I154">
            <v>3</v>
          </cell>
        </row>
        <row r="155">
          <cell r="E155">
            <v>397</v>
          </cell>
          <cell r="F155">
            <v>544</v>
          </cell>
          <cell r="I155">
            <v>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46828.560000000063</v>
          </cell>
          <cell r="H160" t="str">
            <v>C</v>
          </cell>
          <cell r="I160">
            <v>12671.439999999937</v>
          </cell>
        </row>
        <row r="161">
          <cell r="E161">
            <v>33750</v>
          </cell>
          <cell r="F161">
            <v>40350.390000000014</v>
          </cell>
          <cell r="H161" t="str">
            <v>C</v>
          </cell>
          <cell r="I161">
            <v>4274.609999999986</v>
          </cell>
        </row>
        <row r="162">
          <cell r="E162">
            <v>148500</v>
          </cell>
          <cell r="F162">
            <v>214674.71999999991</v>
          </cell>
          <cell r="H162" t="str">
            <v>B</v>
          </cell>
          <cell r="I162">
            <v>65825.280000000086</v>
          </cell>
        </row>
        <row r="163">
          <cell r="E163">
            <v>145575</v>
          </cell>
          <cell r="F163">
            <v>179585.46499999979</v>
          </cell>
          <cell r="H163" t="str">
            <v>C</v>
          </cell>
          <cell r="I163">
            <v>12897.535000000207</v>
          </cell>
        </row>
        <row r="164">
          <cell r="E164">
            <v>122850</v>
          </cell>
          <cell r="F164">
            <v>143535.32999999973</v>
          </cell>
          <cell r="H164" t="str">
            <v>C</v>
          </cell>
          <cell r="I164">
            <v>18899.670000000275</v>
          </cell>
        </row>
        <row r="165">
          <cell r="E165">
            <v>90000</v>
          </cell>
          <cell r="F165">
            <v>104139.05999999987</v>
          </cell>
          <cell r="H165" t="str">
            <v>C</v>
          </cell>
          <cell r="I165">
            <v>14860.940000000133</v>
          </cell>
        </row>
        <row r="166">
          <cell r="E166">
            <v>75150</v>
          </cell>
          <cell r="F166">
            <v>96728.77999999997</v>
          </cell>
          <cell r="H166" t="str">
            <v>C</v>
          </cell>
          <cell r="I166">
            <v>2636.2200000000303</v>
          </cell>
        </row>
        <row r="167">
          <cell r="E167">
            <v>108900</v>
          </cell>
          <cell r="F167">
            <v>127209.33999999982</v>
          </cell>
          <cell r="H167" t="str">
            <v>C</v>
          </cell>
          <cell r="I167">
            <v>16780.660000000178</v>
          </cell>
        </row>
        <row r="168">
          <cell r="E168">
            <v>54900</v>
          </cell>
          <cell r="F168">
            <v>64686.730000000061</v>
          </cell>
          <cell r="H168" t="str">
            <v>C</v>
          </cell>
          <cell r="I168">
            <v>7903.2699999999386</v>
          </cell>
        </row>
        <row r="169">
          <cell r="E169">
            <v>24750</v>
          </cell>
          <cell r="F169">
            <v>28583.310000000027</v>
          </cell>
          <cell r="H169" t="str">
            <v>C</v>
          </cell>
          <cell r="I169">
            <v>4141.6899999999732</v>
          </cell>
        </row>
        <row r="170">
          <cell r="E170">
            <v>40500</v>
          </cell>
          <cell r="F170">
            <v>50652.465000000018</v>
          </cell>
          <cell r="H170" t="str">
            <v>C</v>
          </cell>
          <cell r="I170">
            <v>2897.5349999999817</v>
          </cell>
        </row>
        <row r="171">
          <cell r="E171">
            <v>29025</v>
          </cell>
          <cell r="F171">
            <v>33766.360000000008</v>
          </cell>
          <cell r="H171" t="str">
            <v>C</v>
          </cell>
          <cell r="I171">
            <v>4611.6399999999921</v>
          </cell>
        </row>
        <row r="172">
          <cell r="E172">
            <v>35100</v>
          </cell>
          <cell r="F172">
            <v>44746.74000000002</v>
          </cell>
          <cell r="H172" t="str">
            <v>C</v>
          </cell>
          <cell r="I172">
            <v>1663.2599999999802</v>
          </cell>
        </row>
        <row r="173">
          <cell r="E173">
            <v>62775</v>
          </cell>
          <cell r="F173">
            <v>70159.080000000031</v>
          </cell>
          <cell r="H173" t="str">
            <v>C</v>
          </cell>
          <cell r="I173">
            <v>12843.919999999969</v>
          </cell>
        </row>
        <row r="174">
          <cell r="E174">
            <v>65250</v>
          </cell>
          <cell r="F174">
            <v>67542.800000000047</v>
          </cell>
          <cell r="H174" t="str">
            <v>C</v>
          </cell>
          <cell r="I174">
            <v>18732.199999999953</v>
          </cell>
        </row>
        <row r="175">
          <cell r="E175">
            <v>119250</v>
          </cell>
          <cell r="F175">
            <v>140815.18999999974</v>
          </cell>
          <cell r="H175" t="str">
            <v>C</v>
          </cell>
          <cell r="I175">
            <v>16859.81000000026</v>
          </cell>
        </row>
        <row r="176">
          <cell r="E176">
            <v>40500</v>
          </cell>
          <cell r="F176">
            <v>22016.08000000002</v>
          </cell>
          <cell r="H176" t="str">
            <v>D</v>
          </cell>
          <cell r="I176">
            <v>18483.91999999998</v>
          </cell>
        </row>
        <row r="177">
          <cell r="E177">
            <v>66150</v>
          </cell>
          <cell r="F177">
            <v>58663.950000000055</v>
          </cell>
          <cell r="H177" t="str">
            <v>D</v>
          </cell>
          <cell r="I177">
            <v>7486.0499999999447</v>
          </cell>
        </row>
        <row r="178">
          <cell r="E178">
            <v>1307925</v>
          </cell>
          <cell r="F178">
            <v>1534684.3499999992</v>
          </cell>
          <cell r="I178">
            <v>244469.65000000078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200610</v>
      </c>
      <c r="J4" s="4"/>
      <c r="K4" s="4"/>
      <c r="L4" s="4"/>
      <c r="M4" s="4"/>
      <c r="N4" s="4" t="s">
        <v>37</v>
      </c>
      <c r="O4" s="7">
        <f>SUM(O11:O17)</f>
        <v>645000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2801369.3299999987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146018.85000000003</v>
      </c>
      <c r="P5" s="4"/>
      <c r="Q5" s="4"/>
      <c r="R5" s="4"/>
      <c r="S5" s="4"/>
      <c r="T5" s="4" t="s">
        <v>1</v>
      </c>
      <c r="U5" s="4">
        <f>SUM(V10:V26)</f>
        <v>478</v>
      </c>
      <c r="V5" s="4"/>
      <c r="W5" s="4"/>
    </row>
    <row r="6" spans="1:23" x14ac:dyDescent="0.25">
      <c r="A6" s="4"/>
      <c r="B6" s="4" t="s">
        <v>2</v>
      </c>
      <c r="C6" s="2">
        <f>C4-C5</f>
        <v>2983130.6700000013</v>
      </c>
      <c r="D6" s="2"/>
      <c r="E6" s="4"/>
      <c r="F6" s="4"/>
      <c r="G6" s="4"/>
      <c r="H6" s="4" t="s">
        <v>2</v>
      </c>
      <c r="I6" s="7">
        <f>I4-I5</f>
        <v>200610</v>
      </c>
      <c r="J6" s="4"/>
      <c r="K6" s="4"/>
      <c r="L6" s="4"/>
      <c r="M6" s="4"/>
      <c r="N6" s="4" t="s">
        <v>2</v>
      </c>
      <c r="O6" s="7">
        <f>O4-O5</f>
        <v>498981.14999999997</v>
      </c>
      <c r="P6" s="4"/>
      <c r="Q6" s="4"/>
      <c r="R6" s="4"/>
      <c r="S6" s="4"/>
      <c r="T6" s="4" t="s">
        <v>2</v>
      </c>
      <c r="U6" s="4">
        <f>U4-U5</f>
        <v>305</v>
      </c>
      <c r="V6" s="4"/>
      <c r="W6" s="4"/>
    </row>
    <row r="7" spans="1:23" x14ac:dyDescent="0.25">
      <c r="A7" s="4"/>
      <c r="B7" s="4" t="s">
        <v>3</v>
      </c>
      <c r="C7" s="3">
        <f>1-(C6/C4)</f>
        <v>0.48428893249200422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0.22638581395348845</v>
      </c>
      <c r="P7" s="4"/>
      <c r="Q7" s="4"/>
      <c r="R7" s="4"/>
      <c r="S7" s="4"/>
      <c r="T7" s="4" t="s">
        <v>3</v>
      </c>
      <c r="U7" s="3">
        <f>1-(U6/U4)</f>
        <v>0.61047254150702424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49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33766.360000000008</v>
      </c>
      <c r="E10" s="25">
        <f>Tabela13[[#This Row],[META A]]-Tabela13[[#This Row],[ATINGIDO]]</f>
        <v>30733.639999999992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20000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20000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23</v>
      </c>
      <c r="W10" s="18">
        <f>U10-V10</f>
        <v>15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214674.71999999991</v>
      </c>
      <c r="E11" s="23">
        <f>Tabela13[[#This Row],[META A]]-Tabela13[[#This Row],[ATINGIDO]]</f>
        <v>115325.28000000009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14260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14260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4705.3999999999996</v>
      </c>
      <c r="Q11" s="2">
        <f>Tabela8[[#This Row],[COMPROMISSO]]-Tabela8[[#This Row],[ATINGIDO]]</f>
        <v>37794.6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39</v>
      </c>
      <c r="W11" s="18">
        <f t="shared" ref="W11:W20" si="0">U11-V11</f>
        <v>15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139.37</v>
      </c>
      <c r="E12" s="25">
        <f>Tabela13[[#This Row],[META A]]-Tabela13[[#This Row],[ATINGIDO]]</f>
        <v>-139.37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10060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10060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27</v>
      </c>
      <c r="W12" s="18">
        <f t="shared" si="0"/>
        <v>16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50652.465000000018</v>
      </c>
      <c r="E13" s="23">
        <f>Tabela13[[#This Row],[META A]]-Tabela13[[#This Row],[ATINGIDO]]</f>
        <v>39347.534999999982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24010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24010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80000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57624.000000000007</v>
      </c>
      <c r="Q13" s="2">
        <f>Tabela8[[#This Row],[COMPROMISSO]]-Tabela8[[#This Row],[ATINGIDO]]</f>
        <v>22375.999999999993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45</v>
      </c>
      <c r="W13" s="18">
        <f t="shared" si="0"/>
        <v>16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143535.32999999973</v>
      </c>
      <c r="E14" s="25">
        <f>Tabela13[[#This Row],[META A]]-Tabela13[[#This Row],[ATINGIDO]]</f>
        <v>129464.67000000027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13380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13380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247000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247000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15</v>
      </c>
      <c r="W14" s="18">
        <f t="shared" si="0"/>
        <v>14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44746.74000000002</v>
      </c>
      <c r="E15" s="23">
        <f>Tabela13[[#This Row],[META A]]-Tabela13[[#This Row],[ATINGIDO]]</f>
        <v>33253.25999999998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20000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20000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183500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65151.000000000007</v>
      </c>
      <c r="Q15" s="2">
        <f>Tabela8[[#This Row],[COMPROMISSO]]-Tabela8[[#This Row],[ATINGIDO]]</f>
        <v>118349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30</v>
      </c>
      <c r="W15" s="18">
        <f>U15-V15</f>
        <v>18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153223.03999999998</v>
      </c>
      <c r="E16" s="25">
        <f>Tabela13[[#This Row],[META A]]-Tabela13[[#This Row],[ATINGIDO]]</f>
        <v>196776.96000000002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10740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10740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19</v>
      </c>
      <c r="W16" s="18">
        <f t="shared" si="0"/>
        <v>22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239536.76999999979</v>
      </c>
      <c r="E17" s="23">
        <f>Tabela13[[#This Row],[META A]]-Tabela13[[#This Row],[ATINGIDO]]</f>
        <v>180463.23000000021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6590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6590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92000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18538.450000000004</v>
      </c>
      <c r="Q17" s="2">
        <f>Tabela8[[#This Row],[COMPROMISSO]]-Tabela8[[#This Row],[ATINGIDO]]</f>
        <v>73461.549999999988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34</v>
      </c>
      <c r="W17" s="18">
        <f t="shared" si="0"/>
        <v>17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423879.69999999978</v>
      </c>
      <c r="E18" s="25">
        <f>Tabela13[[#This Row],[META A]]-Tabela13[[#This Row],[ATINGIDO]]</f>
        <v>556120.30000000028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5910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5910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30</v>
      </c>
      <c r="W18" s="18">
        <f t="shared" si="0"/>
        <v>17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17374.349999999999</v>
      </c>
      <c r="E19" s="23">
        <f>Tabela13[[#This Row],[META A]]-Tabela13[[#This Row],[ATINGIDO]]</f>
        <v>124625.65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16490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16490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47</v>
      </c>
      <c r="W19" s="18">
        <f t="shared" si="0"/>
        <v>16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250370.10000000012</v>
      </c>
      <c r="E20" s="25">
        <f>Tabela13[[#This Row],[META A]]-Tabela13[[#This Row],[ATINGIDO]]</f>
        <v>309629.89999999991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15600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15600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20</v>
      </c>
      <c r="W20" s="18">
        <f t="shared" si="0"/>
        <v>21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181517.36999999985</v>
      </c>
      <c r="E21" s="23">
        <f>Tabela13[[#This Row],[META A]]-Tabela13[[#This Row],[ATINGIDO]]</f>
        <v>243482.63000000015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5690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5690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23</v>
      </c>
      <c r="W21" s="18">
        <f t="shared" ref="W21:W26" si="1">U21-V21</f>
        <v>21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64686.730000000061</v>
      </c>
      <c r="E22" s="25">
        <f>Tabela13[[#This Row],[META A]]-Tabela13[[#This Row],[ATINGIDO]]</f>
        <v>57313.269999999939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13550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13550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530162.98999999929</v>
      </c>
      <c r="Q22" s="7">
        <f>O22-P22</f>
        <v>154837.01000000071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24</v>
      </c>
      <c r="W22" s="18">
        <f t="shared" si="1"/>
        <v>16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104139.05999999987</v>
      </c>
      <c r="E23" s="23">
        <f>Tabela13[[#This Row],[META A]]-Tabela13[[#This Row],[ATINGIDO]]</f>
        <v>95860.940000000133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5330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5330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146018.85000000009</v>
      </c>
      <c r="Q23" s="7">
        <f>O23-P23</f>
        <v>538981.14999999991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28</v>
      </c>
      <c r="W23" s="18">
        <f t="shared" si="1"/>
        <v>27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67542.800000000047</v>
      </c>
      <c r="E24" s="25">
        <f>Tabela13[[#This Row],[META A]]-Tabela13[[#This Row],[ATINGIDO]]</f>
        <v>77457.199999999953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3310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3310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30</v>
      </c>
      <c r="W24" s="18">
        <f t="shared" si="1"/>
        <v>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58663.950000000055</v>
      </c>
      <c r="E25" s="23">
        <f>Tabela13[[#This Row],[META A]]-Tabela13[[#This Row],[ATINGIDO]]</f>
        <v>88336.049999999945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4870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4870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21</v>
      </c>
      <c r="W25" s="18">
        <f t="shared" si="1"/>
        <v>32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22016.08000000002</v>
      </c>
      <c r="E26" s="25">
        <f>Tabela13[[#This Row],[META A]]-Tabela13[[#This Row],[ATINGIDO]]</f>
        <v>67983.919999999984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4900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4900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23</v>
      </c>
      <c r="W26" s="18">
        <f t="shared" si="1"/>
        <v>15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127209.33999999982</v>
      </c>
      <c r="E27" s="23">
        <f>Tabela13[[#This Row],[META A]]-Tabela13[[#This Row],[ATINGIDO]]</f>
        <v>114790.66000000018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5920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5920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179585.46499999979</v>
      </c>
      <c r="E28" s="25">
        <f>Tabela13[[#This Row],[META A]]-Tabela13[[#This Row],[ATINGIDO]]</f>
        <v>143914.53500000021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70159.080000000031</v>
      </c>
      <c r="E30" s="25">
        <f>Tabela13[[#This Row],[META A]]-Tabela13[[#This Row],[ATINGIDO]]</f>
        <v>69340.919999999969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96728.77999999997</v>
      </c>
      <c r="E31" s="23">
        <f>Tabela13[[#This Row],[META A]]-Tabela13[[#This Row],[ATINGIDO]]</f>
        <v>70271.22000000003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575694.77000000456</v>
      </c>
      <c r="K31" s="7">
        <f>I31-J31</f>
        <v>116329.03952380491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285</v>
      </c>
      <c r="W31" s="6">
        <f t="shared" ref="W31:W33" si="2">U31-V31</f>
        <v>-98.571428571428584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140815.18999999974</v>
      </c>
      <c r="E32" s="25">
        <f>Tabela13[[#This Row],[META A]]-Tabela13[[#This Row],[ATINGIDO]]</f>
        <v>124184.81000000026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629818.04000000225</v>
      </c>
      <c r="K32" s="7">
        <f t="shared" ref="K32:K34" si="3">I32-J32</f>
        <v>62205.769523807219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77</v>
      </c>
      <c r="W32" s="6">
        <f t="shared" si="2"/>
        <v>109.42857142857142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46828.560000000063</v>
      </c>
      <c r="E33" s="23">
        <f>Tabela13[[#This Row],[META A]]-Tabela13[[#This Row],[ATINGIDO]]</f>
        <v>53171.439999999937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225032.47999999981</v>
      </c>
      <c r="K33" s="7">
        <f t="shared" si="3"/>
        <v>466991.32952380966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28583.310000000027</v>
      </c>
      <c r="E34" s="25">
        <f>Tabela13[[#This Row],[META A]]-Tabela13[[#This Row],[ATINGIDO]]</f>
        <v>26416.689999999973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40350.390000000014</v>
      </c>
      <c r="E35" s="23">
        <f>Tabela13[[#This Row],[META A]]-Tabela13[[#This Row],[ATINGIDO]]</f>
        <v>34649.609999999986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1203860.6099999992</v>
      </c>
      <c r="E40" s="7">
        <f>C40-D40</f>
        <v>173401.29476190568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1213641.3399999957</v>
      </c>
      <c r="E41" s="7">
        <f t="shared" ref="E41:E43" si="4">C41-D41</f>
        <v>163620.56476190919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383867.38000000053</v>
      </c>
      <c r="E42" s="7">
        <f t="shared" si="4"/>
        <v>993394.52476190426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2026-08-18T10:09:49Z</dcterms:modified>
</cp:coreProperties>
</file>