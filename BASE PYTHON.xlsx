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3C58891-858E-46B5-87B9-15C81739EAB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V34" i="2"/>
  <c r="V33" i="2"/>
  <c r="V30" i="2"/>
  <c r="V32" i="2"/>
  <c r="V31" i="2"/>
  <c r="D44" i="2"/>
  <c r="P23" i="2"/>
  <c r="D41" i="2"/>
  <c r="P16" i="2"/>
  <c r="P25" i="2"/>
  <c r="P17" i="2"/>
  <c r="P24" i="2"/>
  <c r="P14" i="2"/>
  <c r="D40" i="2"/>
  <c r="J31" i="2"/>
  <c r="P21" i="2"/>
  <c r="J35" i="2"/>
  <c r="P12" i="2"/>
  <c r="J32" i="2"/>
  <c r="D43" i="2"/>
  <c r="P15" i="2"/>
  <c r="P22" i="2"/>
  <c r="P11" i="2"/>
  <c r="J34" i="2"/>
  <c r="J33" i="2"/>
  <c r="P13" i="2"/>
  <c r="D42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U4" i="2" l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D29" i="2" l="1"/>
  <c r="D36" i="2"/>
  <c r="E36" i="2" s="1"/>
  <c r="E29" i="2" l="1"/>
  <c r="C5" i="2"/>
  <c r="C6" i="2" s="1"/>
  <c r="C7" i="2" s="1"/>
  <c r="J22" i="2"/>
  <c r="K22" i="2" s="1"/>
  <c r="J21" i="2"/>
  <c r="K21" i="2" s="1"/>
  <c r="J19" i="2"/>
  <c r="K19" i="2" s="1"/>
  <c r="J16" i="2"/>
  <c r="K16" i="2" s="1"/>
  <c r="J14" i="2"/>
  <c r="K14" i="2" s="1"/>
  <c r="J15" i="2"/>
  <c r="K15" i="2" s="1"/>
  <c r="J12" i="2"/>
  <c r="K12" i="2" s="1"/>
  <c r="J11" i="2"/>
  <c r="K11" i="2" s="1"/>
  <c r="J10" i="2"/>
  <c r="J27" i="2"/>
  <c r="K27" i="2" s="1"/>
  <c r="J26" i="2"/>
  <c r="K26" i="2" s="1"/>
  <c r="J25" i="2"/>
  <c r="K25" i="2" s="1"/>
  <c r="J24" i="2"/>
  <c r="K24" i="2" s="1"/>
  <c r="J20" i="2"/>
  <c r="K20" i="2" s="1"/>
  <c r="J18" i="2"/>
  <c r="K18" i="2" s="1"/>
  <c r="J17" i="2"/>
  <c r="K17" i="2" s="1"/>
  <c r="J13" i="2"/>
  <c r="K13" i="2" s="1"/>
  <c r="K10" i="2" l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V10" i="2" l="1"/>
  <c r="V26" i="2"/>
  <c r="W26" i="2" s="1"/>
  <c r="V11" i="2"/>
  <c r="W11" i="2" s="1"/>
  <c r="V22" i="2"/>
  <c r="W22" i="2" s="1"/>
  <c r="V12" i="2"/>
  <c r="W12" i="2" s="1"/>
  <c r="V19" i="2"/>
  <c r="W19" i="2" s="1"/>
  <c r="V23" i="2"/>
  <c r="W23" i="2" s="1"/>
  <c r="V13" i="2"/>
  <c r="W13" i="2" s="1"/>
  <c r="V14" i="2"/>
  <c r="W14" i="2" s="1"/>
  <c r="V24" i="2"/>
  <c r="W24" i="2" s="1"/>
  <c r="V15" i="2"/>
  <c r="W15" i="2" s="1"/>
  <c r="V25" i="2"/>
  <c r="W25" i="2" s="1"/>
  <c r="V16" i="2"/>
  <c r="W16" i="2" s="1"/>
  <c r="V17" i="2"/>
  <c r="W17" i="2" s="1"/>
  <c r="V18" i="2"/>
  <c r="W18" i="2" s="1"/>
  <c r="V21" i="2"/>
  <c r="W21" i="2" s="1"/>
  <c r="V20" i="2"/>
  <c r="W20" i="2" s="1"/>
  <c r="U5" i="2" l="1"/>
  <c r="U6" i="2" s="1"/>
  <c r="U7" i="2" s="1"/>
  <c r="W10" i="2"/>
  <c r="J23" i="2" l="1"/>
  <c r="K23" i="2" l="1"/>
  <c r="I5" i="2"/>
  <c r="I6" i="2" s="1"/>
  <c r="I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DATA].&amp;[2026-09-10T00:00:00]}"/>
    <s v="{[Intervalo 2].[DES_TIPO_OPERACAO].&amp;[VENDA],[Intervalo 2].[DES_TIPO_OPERACAO].&amp;[VENDA SAT]}"/>
    <s v="{[Intervalo 2].[PRODUTO].&amp;[MIST PAO DA FAZENDA 20KG CAIXA],[Intervalo 2].[PRODUTO].&amp;[MIST PAO DA FAZENDA VIAPANE 10KG],[Intervalo 2].[PRODUTO].&amp;[MIST PAO DA FAZENDA COM ETIQUETA VIAPANE 10KG],[Intervalo 2].[PRODUTO].&amp;[MIST PAO DA FAZENDA ETIQUETA VIAPANE 20KG CAIXA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<sst xmlns="http://schemas.openxmlformats.org/spreadsheetml/2006/main" count="273" uniqueCount="62">
  <si>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</si>
  <si>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</si>
  <si>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</si>
  <si>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</si>
  <si>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</si>
  <si>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</si>
  <si>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</si>
  <si>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</si>
  <si>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</si>
  <si>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</si>
  <si>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</si>
  <si>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</si>
  <si>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</si>
  <si>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</si>
  <si>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</si>
  <si>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</si>
  <si>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</si>
  <si>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</si>
  <si>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</si>
  <si>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</si>
  <si>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</si>
  <si>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</si>
  <si>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</si>
  <si>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</si>
  <si>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</si>
  <si>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</si>
  <si>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</si>
  <si>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</si>
  <si>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</si>
  <si>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</si>
  <si>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</si>
  <si>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</si>
  <si>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</si>
  <si>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</si>
  <si>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</si>
  <si>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</si>
  <si>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</si>
  <si>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</si>
  <si>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</si>
  <si>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</si>
  <si>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</si>
  <si>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</si>
  <si>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</si>
  <si>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</si>
  <si>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</si>
  <si>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</si>
  <si>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</si>
  <si>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</si>
  <si>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</si>
  <si>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</si>
  <si>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</si>
  <si>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</si>
  <si>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</si>
  <si>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</si>
  <si>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</si>
  <si>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</si>
  <si>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</si>
  <si>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</si>
  <si>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</si>
  <si>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</si>
  <si>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</si>
  <si>
    <t>POSITIVACAO PAO DA FAZENDA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</si>
</sst>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4</v>
          </cell>
          <cell r="M1">
            <v>492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10/09/2026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3">
            <v>(Vários itens)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4">
            <v>(Vários itens)</v>
          </cell>
          <cell r="P4" t="str">
            <v>Soma de TOTAL</v>
          </cell>
        </row>
        <row r="5">
          <cell r="E5" t="str">
            <v>CAMPINAS</v>
          </cell>
          <cell r="F5">
            <v>20577.380000000005</v>
          </cell>
          <cell r="H5" t="str">
            <v>CAMPINAS</v>
          </cell>
          <cell r="I5">
            <v>1794.1</v>
          </cell>
        </row>
        <row r="6">
          <cell r="E6" t="str">
            <v>CENTRO</v>
          </cell>
          <cell r="F6">
            <v>115830.78999999989</v>
          </cell>
          <cell r="H6" t="str">
            <v>CENTRO</v>
          </cell>
          <cell r="I6">
            <v>1615.9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IATAGAM JUNIOR</v>
          </cell>
          <cell r="F7">
            <v>55.04</v>
          </cell>
          <cell r="H7" t="str">
            <v>INTERLAGOS</v>
          </cell>
          <cell r="I7">
            <v>8060.1499999999987</v>
          </cell>
          <cell r="K7" t="str">
            <v>Rótulos de Linha</v>
          </cell>
          <cell r="L7" t="str">
            <v>ACUMULADO</v>
          </cell>
          <cell r="M7" t="str">
            <v>DIA</v>
          </cell>
          <cell r="N7" t="str">
            <v>Total Geral</v>
          </cell>
        </row>
        <row r="8">
          <cell r="E8" t="str">
            <v>INDAIATUBA</v>
          </cell>
          <cell r="F8">
            <v>27509.780000000013</v>
          </cell>
          <cell r="H8" t="str">
            <v>JUNDIAI</v>
          </cell>
          <cell r="I8">
            <v>863.45999999999992</v>
          </cell>
          <cell r="K8" t="str">
            <v>CAMPINAS</v>
          </cell>
          <cell r="L8">
            <v>11</v>
          </cell>
          <cell r="N8">
            <v>11</v>
          </cell>
        </row>
        <row r="9">
          <cell r="E9" t="str">
            <v>INTERLAGOS</v>
          </cell>
          <cell r="F9">
            <v>75427.429999999993</v>
          </cell>
          <cell r="H9" t="str">
            <v>KEY CASA</v>
          </cell>
          <cell r="I9">
            <v>0</v>
          </cell>
          <cell r="K9" t="str">
            <v>CENTRO</v>
          </cell>
          <cell r="L9">
            <v>9</v>
          </cell>
          <cell r="N9">
            <v>9</v>
          </cell>
        </row>
        <row r="10">
          <cell r="E10" t="str">
            <v>JUNDIAI</v>
          </cell>
          <cell r="F10">
            <v>25230.65000000002</v>
          </cell>
          <cell r="H10" t="str">
            <v>KEY SJC</v>
          </cell>
          <cell r="I10">
            <v>2978.2</v>
          </cell>
          <cell r="K10" t="str">
            <v>INDAIATUBA</v>
          </cell>
          <cell r="L10">
            <v>8</v>
          </cell>
          <cell r="N10">
            <v>8</v>
          </cell>
        </row>
        <row r="11">
          <cell r="E11" t="str">
            <v>KEY ABC</v>
          </cell>
          <cell r="F11">
            <v>69204.900000000009</v>
          </cell>
          <cell r="H11" t="str">
            <v>KEY SP</v>
          </cell>
          <cell r="I11">
            <v>3773.5</v>
          </cell>
          <cell r="K11" t="str">
            <v>INTERLAGOS</v>
          </cell>
          <cell r="L11">
            <v>22</v>
          </cell>
          <cell r="M11">
            <v>2</v>
          </cell>
          <cell r="N11">
            <v>24</v>
          </cell>
        </row>
        <row r="12">
          <cell r="E12" t="str">
            <v>KEY CASA</v>
          </cell>
          <cell r="F12">
            <v>151569.60000000003</v>
          </cell>
          <cell r="H12" t="str">
            <v>KEY ZL</v>
          </cell>
          <cell r="I12">
            <v>264.39999999999998</v>
          </cell>
          <cell r="K12" t="str">
            <v>JUNDIAI</v>
          </cell>
          <cell r="L12">
            <v>8</v>
          </cell>
          <cell r="M12">
            <v>2</v>
          </cell>
          <cell r="N12">
            <v>10</v>
          </cell>
        </row>
        <row r="13">
          <cell r="E13" t="str">
            <v>KEY INTERIOR</v>
          </cell>
          <cell r="F13">
            <v>278696.59999999986</v>
          </cell>
          <cell r="H13" t="str">
            <v>LESTE</v>
          </cell>
          <cell r="I13">
            <v>564.90000000000009</v>
          </cell>
          <cell r="K13" t="str">
            <v>LESTE</v>
          </cell>
          <cell r="L13">
            <v>8</v>
          </cell>
          <cell r="N13">
            <v>8</v>
          </cell>
        </row>
        <row r="14">
          <cell r="E14" t="str">
            <v>KEY SJC</v>
          </cell>
          <cell r="F14">
            <v>15180.599999999999</v>
          </cell>
          <cell r="H14" t="str">
            <v>LESTE MOOCA</v>
          </cell>
          <cell r="I14">
            <v>5568.24</v>
          </cell>
          <cell r="K14" t="str">
            <v>LESTE MOOCA</v>
          </cell>
          <cell r="L14">
            <v>17</v>
          </cell>
          <cell r="M14">
            <v>1</v>
          </cell>
          <cell r="N14">
            <v>18</v>
          </cell>
        </row>
        <row r="15">
          <cell r="E15" t="str">
            <v>KEY SP</v>
          </cell>
          <cell r="F15">
            <v>129134.2</v>
          </cell>
          <cell r="H15" t="str">
            <v>LESTE PENHA</v>
          </cell>
          <cell r="I15">
            <v>2153.5600000000004</v>
          </cell>
          <cell r="K15" t="str">
            <v>LESTE PENHA</v>
          </cell>
          <cell r="L15">
            <v>12</v>
          </cell>
          <cell r="M15">
            <v>1</v>
          </cell>
          <cell r="N15">
            <v>13</v>
          </cell>
        </row>
        <row r="16">
          <cell r="E16" t="str">
            <v>KEY ZL</v>
          </cell>
          <cell r="F16">
            <v>67342.790000000008</v>
          </cell>
          <cell r="H16" t="str">
            <v>LESTE TATUAPE</v>
          </cell>
          <cell r="I16">
            <v>540</v>
          </cell>
          <cell r="K16" t="str">
            <v>LESTE TATUAPE</v>
          </cell>
          <cell r="L16">
            <v>6</v>
          </cell>
          <cell r="N16">
            <v>6</v>
          </cell>
        </row>
        <row r="17">
          <cell r="E17" t="str">
            <v>LESTE</v>
          </cell>
          <cell r="F17">
            <v>24615.470000000005</v>
          </cell>
          <cell r="H17" t="str">
            <v>MOGI</v>
          </cell>
          <cell r="I17">
            <v>1260.17</v>
          </cell>
          <cell r="K17" t="str">
            <v>MOGI</v>
          </cell>
          <cell r="L17">
            <v>4</v>
          </cell>
          <cell r="N17">
            <v>4</v>
          </cell>
        </row>
        <row r="18">
          <cell r="E18" t="str">
            <v>LESTE MOOCA</v>
          </cell>
          <cell r="F18">
            <v>72760.275000000052</v>
          </cell>
          <cell r="H18" t="str">
            <v>NORTE</v>
          </cell>
          <cell r="I18">
            <v>6057.4000000000005</v>
          </cell>
          <cell r="K18" t="str">
            <v>NORTE</v>
          </cell>
          <cell r="L18">
            <v>20</v>
          </cell>
          <cell r="N18">
            <v>20</v>
          </cell>
        </row>
        <row r="19">
          <cell r="E19" t="str">
            <v>LESTE PENHA</v>
          </cell>
          <cell r="F19">
            <v>37716.86</v>
          </cell>
          <cell r="H19" t="str">
            <v>OSASCO</v>
          </cell>
          <cell r="I19">
            <v>5340.8549999999996</v>
          </cell>
          <cell r="K19" t="str">
            <v>OSASCO</v>
          </cell>
          <cell r="L19">
            <v>17</v>
          </cell>
          <cell r="M19">
            <v>1</v>
          </cell>
          <cell r="N19">
            <v>18</v>
          </cell>
        </row>
        <row r="20">
          <cell r="E20" t="str">
            <v>LESTE TATUAPE</v>
          </cell>
          <cell r="F20">
            <v>43221.420000000027</v>
          </cell>
          <cell r="H20" t="str">
            <v>PIRITUBA</v>
          </cell>
          <cell r="I20">
            <v>1791.6</v>
          </cell>
          <cell r="K20" t="str">
            <v>PIRITUBA</v>
          </cell>
          <cell r="L20">
            <v>8</v>
          </cell>
          <cell r="N20">
            <v>8</v>
          </cell>
        </row>
        <row r="21">
          <cell r="E21" t="str">
            <v>MOGI</v>
          </cell>
          <cell r="F21">
            <v>23163.919999999998</v>
          </cell>
          <cell r="H21" t="str">
            <v>SANTO ANDRE</v>
          </cell>
          <cell r="I21">
            <v>437.5</v>
          </cell>
          <cell r="K21" t="str">
            <v>SANTO ANDRE</v>
          </cell>
          <cell r="L21">
            <v>10</v>
          </cell>
          <cell r="N21">
            <v>10</v>
          </cell>
        </row>
        <row r="22">
          <cell r="E22" t="str">
            <v>NORTE</v>
          </cell>
          <cell r="F22">
            <v>81089.890000000101</v>
          </cell>
          <cell r="H22" t="str">
            <v>SBC</v>
          </cell>
          <cell r="I22">
            <v>3789.8000000000006</v>
          </cell>
          <cell r="K22" t="str">
            <v>SBC</v>
          </cell>
          <cell r="L22">
            <v>16</v>
          </cell>
          <cell r="N22">
            <v>16</v>
          </cell>
        </row>
        <row r="23">
          <cell r="E23" t="str">
            <v>OSASCO</v>
          </cell>
          <cell r="F23">
            <v>104758.34500000006</v>
          </cell>
          <cell r="H23" t="str">
            <v>SJC</v>
          </cell>
          <cell r="I23">
            <v>1228.7800000000002</v>
          </cell>
          <cell r="K23" t="str">
            <v>SJC</v>
          </cell>
          <cell r="L23">
            <v>7</v>
          </cell>
          <cell r="M23">
            <v>1</v>
          </cell>
          <cell r="N23">
            <v>8</v>
          </cell>
        </row>
        <row r="24">
          <cell r="E24" t="str">
            <v>PIRITUBA</v>
          </cell>
          <cell r="F24">
            <v>35568.17000000002</v>
          </cell>
          <cell r="H24" t="str">
            <v>SJC/VALE</v>
          </cell>
          <cell r="I24">
            <v>346.6</v>
          </cell>
          <cell r="K24" t="str">
            <v>SJC/VALE</v>
          </cell>
          <cell r="L24">
            <v>10</v>
          </cell>
          <cell r="N24">
            <v>10</v>
          </cell>
        </row>
        <row r="25">
          <cell r="E25" t="str">
            <v>SANTO ANDRE</v>
          </cell>
          <cell r="F25">
            <v>60485.700000000019</v>
          </cell>
          <cell r="H25" t="str">
            <v>VENDEDOR INTERNO 1</v>
          </cell>
          <cell r="I25">
            <v>525</v>
          </cell>
          <cell r="K25" t="str">
            <v>Total Geral</v>
          </cell>
          <cell r="L25">
            <v>193</v>
          </cell>
          <cell r="M25">
            <v>8</v>
          </cell>
          <cell r="N25">
            <v>201</v>
          </cell>
        </row>
        <row r="26">
          <cell r="E26" t="str">
            <v>SBC</v>
          </cell>
          <cell r="F26">
            <v>88243.539999999979</v>
          </cell>
          <cell r="H26" t="str">
            <v>Total Geral</v>
          </cell>
          <cell r="I26">
            <v>48954.115000000005</v>
          </cell>
        </row>
        <row r="27">
          <cell r="E27" t="str">
            <v>SJC</v>
          </cell>
          <cell r="F27">
            <v>24745.78</v>
          </cell>
        </row>
        <row r="28">
          <cell r="E28" t="str">
            <v>SJC/VALE</v>
          </cell>
          <cell r="F28">
            <v>18257.059999999998</v>
          </cell>
          <cell r="K28" t="str">
            <v>POSITIVAÇÃO GERAL</v>
          </cell>
        </row>
        <row r="29">
          <cell r="E29" t="str">
            <v>VENDEDOR INTERNO 1</v>
          </cell>
          <cell r="F29">
            <v>19369.940000000002</v>
          </cell>
          <cell r="K29" t="str">
            <v>DATA</v>
          </cell>
          <cell r="L29" t="str" vm="1">
            <v>All</v>
          </cell>
        </row>
        <row r="30">
          <cell r="E30" t="str">
            <v>Total Geral</v>
          </cell>
          <cell r="F30">
            <v>1609756.1300000069</v>
          </cell>
          <cell r="K30" t="str">
            <v>DES_TIPO_OPERACAO</v>
          </cell>
          <cell r="L30" t="str" vm="3">
            <v>(Vários itens)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L34">
            <v>43</v>
          </cell>
          <cell r="M34">
            <v>2</v>
          </cell>
          <cell r="N34">
            <v>45</v>
          </cell>
        </row>
        <row r="35">
          <cell r="K35" t="str">
            <v>Total Geral</v>
          </cell>
          <cell r="L35">
            <v>43</v>
          </cell>
          <cell r="M35">
            <v>2</v>
          </cell>
          <cell r="N35">
            <v>45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0">
          <cell r="E90">
            <v>372000</v>
          </cell>
          <cell r="F90">
            <v>132000</v>
          </cell>
        </row>
        <row r="91">
          <cell r="E91">
            <v>129000</v>
          </cell>
          <cell r="F91">
            <v>253000</v>
          </cell>
        </row>
        <row r="92">
          <cell r="E92">
            <v>37000</v>
          </cell>
          <cell r="F92">
            <v>75000</v>
          </cell>
        </row>
        <row r="93">
          <cell r="E93">
            <v>87000</v>
          </cell>
          <cell r="F93">
            <v>89000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8</v>
          </cell>
          <cell r="H136" t="str">
            <v>D</v>
          </cell>
          <cell r="I136">
            <v>1</v>
          </cell>
        </row>
        <row r="137">
          <cell r="E137">
            <v>36</v>
          </cell>
          <cell r="F137">
            <v>45</v>
          </cell>
          <cell r="H137" t="str">
            <v>C</v>
          </cell>
          <cell r="I137">
            <v>11</v>
          </cell>
        </row>
        <row r="138">
          <cell r="E138">
            <v>9</v>
          </cell>
          <cell r="F138">
            <v>9</v>
          </cell>
          <cell r="H138" t="str">
            <v>C</v>
          </cell>
          <cell r="I138">
            <v>5</v>
          </cell>
        </row>
        <row r="139">
          <cell r="E139">
            <v>9</v>
          </cell>
          <cell r="F139">
            <v>18</v>
          </cell>
          <cell r="H139" t="str">
            <v>A</v>
          </cell>
          <cell r="I139">
            <v>2</v>
          </cell>
        </row>
        <row r="140">
          <cell r="E140">
            <v>9</v>
          </cell>
          <cell r="F140">
            <v>24</v>
          </cell>
          <cell r="H140" t="str">
            <v>OBJETIVO ALCANÇADO</v>
          </cell>
          <cell r="I140">
            <v>0</v>
          </cell>
        </row>
        <row r="141">
          <cell r="E141">
            <v>9</v>
          </cell>
          <cell r="F141">
            <v>18</v>
          </cell>
          <cell r="H141" t="str">
            <v>A</v>
          </cell>
          <cell r="I141">
            <v>2</v>
          </cell>
        </row>
        <row r="142">
          <cell r="E142">
            <v>9</v>
          </cell>
          <cell r="F142">
            <v>10</v>
          </cell>
          <cell r="H142" t="str">
            <v>C</v>
          </cell>
          <cell r="I142">
            <v>4</v>
          </cell>
        </row>
        <row r="143">
          <cell r="E143">
            <v>9</v>
          </cell>
          <cell r="F143">
            <v>20</v>
          </cell>
          <cell r="H143" t="str">
            <v>OBJETIVO ALCANÇADO</v>
          </cell>
          <cell r="I143">
            <v>0</v>
          </cell>
        </row>
        <row r="144">
          <cell r="E144">
            <v>9</v>
          </cell>
          <cell r="F144">
            <v>8</v>
          </cell>
          <cell r="H144" t="str">
            <v>D</v>
          </cell>
          <cell r="I144">
            <v>1</v>
          </cell>
        </row>
        <row r="145">
          <cell r="E145">
            <v>9</v>
          </cell>
          <cell r="F145">
            <v>10</v>
          </cell>
          <cell r="H145" t="str">
            <v>C</v>
          </cell>
          <cell r="I145">
            <v>4</v>
          </cell>
        </row>
        <row r="146">
          <cell r="E146">
            <v>9</v>
          </cell>
          <cell r="F146">
            <v>8</v>
          </cell>
          <cell r="H146" t="str">
            <v>D</v>
          </cell>
          <cell r="I146">
            <v>1</v>
          </cell>
        </row>
        <row r="147">
          <cell r="E147">
            <v>9</v>
          </cell>
          <cell r="F147">
            <v>11</v>
          </cell>
          <cell r="H147" t="str">
            <v>C</v>
          </cell>
          <cell r="I147">
            <v>3</v>
          </cell>
        </row>
        <row r="148">
          <cell r="E148">
            <v>9</v>
          </cell>
          <cell r="F148">
            <v>10</v>
          </cell>
          <cell r="H148" t="str">
            <v>C</v>
          </cell>
          <cell r="I148">
            <v>4</v>
          </cell>
        </row>
        <row r="149">
          <cell r="E149">
            <v>9</v>
          </cell>
          <cell r="F149">
            <v>8</v>
          </cell>
          <cell r="H149" t="str">
            <v>D</v>
          </cell>
          <cell r="I149">
            <v>1</v>
          </cell>
        </row>
        <row r="150">
          <cell r="E150">
            <v>9</v>
          </cell>
          <cell r="F150">
            <v>13</v>
          </cell>
          <cell r="H150" t="str">
            <v>C</v>
          </cell>
          <cell r="I150">
            <v>1</v>
          </cell>
        </row>
        <row r="151">
          <cell r="E151">
            <v>9</v>
          </cell>
          <cell r="F151">
            <v>16</v>
          </cell>
          <cell r="H151" t="str">
            <v>B</v>
          </cell>
          <cell r="I151">
            <v>1</v>
          </cell>
        </row>
        <row r="152">
          <cell r="E152">
            <v>9</v>
          </cell>
          <cell r="F152">
            <v>4</v>
          </cell>
          <cell r="H152" t="str">
            <v>D</v>
          </cell>
          <cell r="I152">
            <v>5</v>
          </cell>
        </row>
        <row r="153">
          <cell r="E153">
            <v>9</v>
          </cell>
          <cell r="F153">
            <v>6</v>
          </cell>
          <cell r="H153" t="str">
            <v>D</v>
          </cell>
          <cell r="I153">
            <v>3</v>
          </cell>
        </row>
        <row r="154">
          <cell r="E154">
            <v>189</v>
          </cell>
          <cell r="F154">
            <v>246</v>
          </cell>
          <cell r="I154">
            <v>49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24745.78</v>
          </cell>
          <cell r="H159" t="str">
            <v>D</v>
          </cell>
          <cell r="I159">
            <v>13504.220000000001</v>
          </cell>
        </row>
        <row r="160">
          <cell r="E160">
            <v>34425</v>
          </cell>
          <cell r="F160">
            <v>19369.940000000002</v>
          </cell>
          <cell r="H160" t="str">
            <v>D</v>
          </cell>
          <cell r="I160">
            <v>15055.059999999998</v>
          </cell>
        </row>
        <row r="161">
          <cell r="E161">
            <v>153000</v>
          </cell>
          <cell r="F161">
            <v>115830.78999999989</v>
          </cell>
          <cell r="H161" t="str">
            <v>D</v>
          </cell>
          <cell r="I161">
            <v>37169.210000000108</v>
          </cell>
        </row>
        <row r="162">
          <cell r="E162">
            <v>146925</v>
          </cell>
          <cell r="F162">
            <v>104758.34500000006</v>
          </cell>
          <cell r="H162" t="str">
            <v>D</v>
          </cell>
          <cell r="I162">
            <v>42166.654999999941</v>
          </cell>
        </row>
        <row r="163">
          <cell r="E163">
            <v>124200</v>
          </cell>
          <cell r="F163">
            <v>75427.429999999993</v>
          </cell>
          <cell r="H163" t="str">
            <v>D</v>
          </cell>
          <cell r="I163">
            <v>48772.570000000007</v>
          </cell>
        </row>
        <row r="164">
          <cell r="E164">
            <v>91350</v>
          </cell>
          <cell r="F164">
            <v>72760.275000000052</v>
          </cell>
          <cell r="H164" t="str">
            <v>D</v>
          </cell>
          <cell r="I164">
            <v>18589.724999999948</v>
          </cell>
        </row>
        <row r="165">
          <cell r="E165">
            <v>76500</v>
          </cell>
          <cell r="F165">
            <v>60485.700000000019</v>
          </cell>
          <cell r="H165" t="str">
            <v>D</v>
          </cell>
          <cell r="I165">
            <v>16014.299999999981</v>
          </cell>
        </row>
        <row r="166">
          <cell r="E166">
            <v>110250</v>
          </cell>
          <cell r="F166">
            <v>81089.890000000101</v>
          </cell>
          <cell r="H166" t="str">
            <v>D</v>
          </cell>
          <cell r="I166">
            <v>29160.109999999899</v>
          </cell>
        </row>
        <row r="167">
          <cell r="E167">
            <v>54900</v>
          </cell>
          <cell r="F167">
            <v>24615.470000000005</v>
          </cell>
          <cell r="H167" t="str">
            <v>D</v>
          </cell>
          <cell r="I167">
            <v>30284.529999999995</v>
          </cell>
        </row>
        <row r="168">
          <cell r="E168">
            <v>24750</v>
          </cell>
          <cell r="F168">
            <v>18257.059999999998</v>
          </cell>
          <cell r="H168" t="str">
            <v>D</v>
          </cell>
          <cell r="I168">
            <v>6492.9400000000023</v>
          </cell>
        </row>
        <row r="169">
          <cell r="E169">
            <v>41850</v>
          </cell>
          <cell r="F169">
            <v>27509.780000000013</v>
          </cell>
          <cell r="H169" t="str">
            <v>D</v>
          </cell>
          <cell r="I169">
            <v>14340.219999999987</v>
          </cell>
        </row>
        <row r="170">
          <cell r="E170">
            <v>30375</v>
          </cell>
          <cell r="F170">
            <v>20577.380000000005</v>
          </cell>
          <cell r="H170" t="str">
            <v>D</v>
          </cell>
          <cell r="I170">
            <v>9797.6199999999953</v>
          </cell>
        </row>
        <row r="171">
          <cell r="E171">
            <v>36450</v>
          </cell>
          <cell r="F171">
            <v>25230.65000000002</v>
          </cell>
          <cell r="H171" t="str">
            <v>D</v>
          </cell>
          <cell r="I171">
            <v>11219.34999999998</v>
          </cell>
        </row>
        <row r="172">
          <cell r="E172">
            <v>63900</v>
          </cell>
          <cell r="F172">
            <v>35568.17000000002</v>
          </cell>
          <cell r="H172" t="str">
            <v>D</v>
          </cell>
          <cell r="I172">
            <v>28331.82999999998</v>
          </cell>
        </row>
        <row r="173">
          <cell r="E173">
            <v>65250</v>
          </cell>
          <cell r="F173">
            <v>37716.86</v>
          </cell>
          <cell r="H173" t="str">
            <v>D</v>
          </cell>
          <cell r="I173">
            <v>27533.14</v>
          </cell>
        </row>
        <row r="174">
          <cell r="E174">
            <v>119250</v>
          </cell>
          <cell r="F174">
            <v>88243.539999999979</v>
          </cell>
          <cell r="H174" t="str">
            <v>D</v>
          </cell>
          <cell r="I174">
            <v>31006.460000000021</v>
          </cell>
        </row>
        <row r="175">
          <cell r="E175">
            <v>36000</v>
          </cell>
          <cell r="F175">
            <v>23163.919999999998</v>
          </cell>
          <cell r="H175" t="str">
            <v>D</v>
          </cell>
          <cell r="I175">
            <v>12836.080000000002</v>
          </cell>
        </row>
        <row r="176">
          <cell r="E176">
            <v>66150</v>
          </cell>
          <cell r="F176">
            <v>43221.420000000027</v>
          </cell>
          <cell r="H176" t="str">
            <v>D</v>
          </cell>
          <cell r="I176">
            <v>22928.579999999973</v>
          </cell>
        </row>
        <row r="177">
          <cell r="E177">
            <v>1313775</v>
          </cell>
          <cell r="F177">
            <v>898572.40000000037</v>
          </cell>
          <cell r="I177">
            <v>415202.5999999998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VLOOKUP(Tabela2[[#This Row],[REFERENCIA]],'[1]BASE PYTHON'!$K:$N,'[1]BASE PYTHON'!L$1,0)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2" totalsRowDxfId="31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0" totalsRowDxfId="2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8" totalsRowDxfId="27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>
      <calculatedColumnFormula>_xlfn.XLOOKUP(Tabela17[[#This Row],[VENDEDOR]],[1]!Tabela4[VENDEDOR],[1]!Tabela4[META A])</calculatedColumnFormula>
    </tableColumn>
    <tableColumn id="3" xr3:uid="{283DD7D7-EAA0-41F2-A03E-A94402C351D8}" name="META B" dataDxfId="13">
      <calculatedColumnFormula>_xlfn.XLOOKUP(Tabela17[[#This Row],[VENDEDOR]],[1]!Tabela4[VENDEDOR],[1]!Tabela4[META B])</calculatedColumnFormula>
    </tableColumn>
    <tableColumn id="4" xr3:uid="{FA7094C0-E343-4D2F-A021-CE4770011F17}" name="META C" dataDxfId="12">
      <calculatedColumnFormula>_xlfn.XLOOKUP(Tabela17[[#This Row],[VENDEDOR]],[1]!Tabela4[VENDEDOR],[1]!Tabela4[META C])</calculatedColumnFormula>
    </tableColumn>
    <tableColumn id="5" xr3:uid="{B6D91B25-84F6-4BBF-AFFE-776A8AB5FD86}" name="META D" dataDxfId="11">
      <calculatedColumnFormula>_xlfn.XLOOKUP(Tabela17[[#This Row],[VENDEDOR]],[1]!Tabela4[VENDEDOR],[1]!Tabela4[META D])</calculatedColumnFormula>
    </tableColumn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>
      <selection activeCell="T1" sqref="T1"/>
    </sheetView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61</v>
      </c>
      <c r="U1" s="14"/>
      <c r="V1" s="4"/>
      <c r="W1" s="4"/>
      <c r="Y1" s="39" t="s">
        <v>53</v>
      </c>
      <c r="Z1" s="23"/>
      <c r="AA1" s="23"/>
      <c r="AB1" s="23"/>
      <c r="AC1" s="23"/>
      <c r="AD1" s="23"/>
      <c r="AE1" s="23"/>
      <c r="AF1" s="23"/>
      <c r="AG1" s="23"/>
      <c r="AI1" s="40" t="s">
        <v>56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57</v>
      </c>
      <c r="AB2" s="35" t="s">
        <v>58</v>
      </c>
      <c r="AC2" s="35" t="s">
        <v>59</v>
      </c>
      <c r="AD2" s="35" t="s">
        <v>1</v>
      </c>
      <c r="AE2" s="35" t="s">
        <v>54</v>
      </c>
      <c r="AF2" s="35" t="s">
        <v>55</v>
      </c>
      <c r="AG2" s="35" t="s">
        <v>2</v>
      </c>
      <c r="AI2" t="s">
        <v>5</v>
      </c>
      <c r="AJ2" t="s">
        <v>33</v>
      </c>
      <c r="AK2" t="s">
        <v>57</v>
      </c>
      <c r="AL2" t="s">
        <v>58</v>
      </c>
      <c r="AM2" t="s">
        <v>59</v>
      </c>
      <c r="AN2" t="s">
        <v>1</v>
      </c>
      <c r="AO2" t="s">
        <v>54</v>
      </c>
      <c r="AP2" t="s">
        <v>55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20</v>
      </c>
      <c r="AA3" s="28">
        <f>_xlfn.XLOOKUP(Tabela17[[#This Row],[VENDEDOR]],[1]!Tabela4[VENDEDOR],[1]!Tabela4[META B])</f>
        <v>17</v>
      </c>
      <c r="AB3" s="28">
        <f>_xlfn.XLOOKUP(Tabela17[[#This Row],[VENDEDOR]],[1]!Tabela4[VENDEDOR],[1]!Tabela4[META C])</f>
        <v>14</v>
      </c>
      <c r="AC3" s="28">
        <f>_xlfn.XLOOKUP(Tabela17[[#This Row],[VENDEDOR]],[1]!Tabela4[VENDEDOR],[1]!Tabela4[META D])</f>
        <v>9</v>
      </c>
      <c r="AD3" s="29">
        <f>IFERROR(_xlfn.XLOOKUP(Y3,'[1]BASE PYTHON'!$K:$K,'[1]BASE PYTHON'!$N:$N,0),0)</f>
        <v>8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1</v>
      </c>
      <c r="AI3" t="s">
        <v>22</v>
      </c>
      <c r="AJ3" s="24">
        <f>_xlfn.XLOOKUP(Tabela817[[#This Row],[VENDEDOR]],[1]!Tabela8[VENDEDOR],[1]!Tabela8[META A])</f>
        <v>85000</v>
      </c>
      <c r="AK3" s="24">
        <f>_xlfn.XLOOKUP(Tabela817[[#This Row],[VENDEDOR]],[1]!Tabela8[VENDEDOR],[1]!Tabela8[META B])</f>
        <v>72250</v>
      </c>
      <c r="AL3" s="24">
        <f>_xlfn.XLOOKUP(Tabela817[[#This Row],[VENDEDOR]],[1]!Tabela8[VENDEDOR],[1]!Tabela8[META C])</f>
        <v>50575</v>
      </c>
      <c r="AM3" s="24">
        <f>_xlfn.XLOOKUP(Tabela817[[#This Row],[VENDEDOR]],[1]!Tabela8[VENDEDOR],[1]!Tabela8[META D])</f>
        <v>38250</v>
      </c>
      <c r="AN3" s="25">
        <f>IFERROR(_xlfn.XLOOKUP(AI3,'[1]BASE PYTHON'!$E:$E,'[1]BASE PYTHON'!$F:$F,0),0)</f>
        <v>24745.78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13504.220000000001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150140</v>
      </c>
      <c r="J4" s="4"/>
      <c r="K4" s="4"/>
      <c r="L4" s="4"/>
      <c r="M4" s="4"/>
      <c r="N4" s="4" t="s">
        <v>37</v>
      </c>
      <c r="O4" s="7">
        <f>SUM(O11:O17)</f>
        <v>526300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2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34</v>
      </c>
      <c r="AI4" t="s">
        <v>24</v>
      </c>
      <c r="AJ4" s="24">
        <f>_xlfn.XLOOKUP(Tabela817[[#This Row],[VENDEDOR]],[1]!Tabela8[VENDEDOR],[1]!Tabela8[META A])</f>
        <v>76500</v>
      </c>
      <c r="AK4" s="24">
        <f>_xlfn.XLOOKUP(Tabela817[[#This Row],[VENDEDOR]],[1]!Tabela8[VENDEDOR],[1]!Tabela8[META B])</f>
        <v>65025</v>
      </c>
      <c r="AL4" s="24">
        <f>_xlfn.XLOOKUP(Tabela817[[#This Row],[VENDEDOR]],[1]!Tabela8[VENDEDOR],[1]!Tabela8[META C])</f>
        <v>45518</v>
      </c>
      <c r="AM4" s="24">
        <f>_xlfn.XLOOKUP(Tabela817[[#This Row],[VENDEDOR]],[1]!Tabela8[VENDEDOR],[1]!Tabela8[META D])</f>
        <v>34425</v>
      </c>
      <c r="AN4" s="25">
        <f>IFERROR(_xlfn.XLOOKUP(AI4,'[1]BASE PYTHON'!$E:$E,'[1]BASE PYTHON'!$F:$F,0),0)</f>
        <v>19369.940000000002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15055.059999999998</v>
      </c>
    </row>
    <row r="5" spans="1:43" x14ac:dyDescent="0.25">
      <c r="A5" s="4"/>
      <c r="B5" s="4" t="s">
        <v>1</v>
      </c>
      <c r="C5" s="2">
        <f>SUM(D10:D36)</f>
        <v>1609756.13</v>
      </c>
      <c r="D5" s="2"/>
      <c r="E5" s="4"/>
      <c r="F5" s="4"/>
      <c r="G5" s="4"/>
      <c r="H5" s="4" t="s">
        <v>1</v>
      </c>
      <c r="I5" s="7">
        <f>SUM(J10:J27)</f>
        <v>41938.014999999999</v>
      </c>
      <c r="J5" s="4"/>
      <c r="K5" s="4"/>
      <c r="L5" s="4"/>
      <c r="M5" s="4"/>
      <c r="N5" s="4" t="s">
        <v>1</v>
      </c>
      <c r="O5" s="7">
        <f>SUM(P11:P17)</f>
        <v>542273.77999999991</v>
      </c>
      <c r="P5" s="4"/>
      <c r="Q5" s="4"/>
      <c r="R5" s="4"/>
      <c r="S5" s="4"/>
      <c r="T5" s="4" t="s">
        <v>1</v>
      </c>
      <c r="U5" s="4">
        <f>SUM(V10:V26)</f>
        <v>201</v>
      </c>
      <c r="V5" s="4"/>
      <c r="W5" s="4"/>
      <c r="Y5" s="32" t="s">
        <v>8</v>
      </c>
      <c r="Z5" s="30">
        <f>_xlfn.XLOOKUP(Tabela17[[#This Row],[VENDEDOR]],[1]!Tabela4[VENDEDOR],[1]!Tabela4[META A])</f>
        <v>20</v>
      </c>
      <c r="AA5" s="28">
        <f>_xlfn.XLOOKUP(Tabela17[[#This Row],[VENDEDOR]],[1]!Tabela4[VENDEDOR],[1]!Tabela4[META B])</f>
        <v>17</v>
      </c>
      <c r="AB5" s="28">
        <f>_xlfn.XLOOKUP(Tabela17[[#This Row],[VENDEDOR]],[1]!Tabela4[VENDEDOR],[1]!Tabela4[META C])</f>
        <v>14</v>
      </c>
      <c r="AC5" s="28">
        <f>_xlfn.XLOOKUP(Tabela17[[#This Row],[VENDEDOR]],[1]!Tabela4[VENDEDOR],[1]!Tabela4[META D])</f>
        <v>9</v>
      </c>
      <c r="AD5" s="29">
        <f>IFERROR(_xlfn.XLOOKUP(Y5,'[1]BASE PYTHON'!$K:$K,'[1]BASE PYTHON'!$N:$N,0),0)</f>
        <v>9</v>
      </c>
      <c r="AE5" s="29" t="str" cm="1">
        <f t="array" ref="AE5">_xlfn.IFS(AD5&gt;=Z5,"A",AD5&gt;=AA5,"B",AD5&gt;=AB5,"C",AD5&gt;=AC5,"D",TRUE,"NÃO ATINGIDO")</f>
        <v>D</v>
      </c>
      <c r="AF5" s="29" t="str" cm="1">
        <f t="array" ref="AF5">_xlfn.IFS(AE5="NÃO ATINGIDO","D",AE5="D","C",AE5="C","B",AE5="B","A",AE5="A","OBJETIVO ALCANÇADO")</f>
        <v>C</v>
      </c>
      <c r="AG5" s="29" cm="1">
        <f t="array" ref="AG5">_xlfn.IFS(AF5="D",MAX(AC5-AD5,0),AF5="C",MAX(AB5-AD5,0),AF5="B",MAX(AA5-AD5,0),AF5="A",MAX(Z5-AD5,0),AF5="OBJETIVO ALCANÇADO",0)</f>
        <v>5</v>
      </c>
      <c r="AI5" t="s">
        <v>8</v>
      </c>
      <c r="AJ5" s="24">
        <f>_xlfn.XLOOKUP(Tabela817[[#This Row],[VENDEDOR]],[1]!Tabela8[VENDEDOR],[1]!Tabela8[META A])</f>
        <v>340000</v>
      </c>
      <c r="AK5" s="24">
        <f>_xlfn.XLOOKUP(Tabela817[[#This Row],[VENDEDOR]],[1]!Tabela8[VENDEDOR],[1]!Tabela8[META B])</f>
        <v>289000</v>
      </c>
      <c r="AL5" s="24">
        <f>_xlfn.XLOOKUP(Tabela817[[#This Row],[VENDEDOR]],[1]!Tabela8[VENDEDOR],[1]!Tabela8[META C])</f>
        <v>202300</v>
      </c>
      <c r="AM5" s="24">
        <f>_xlfn.XLOOKUP(Tabela817[[#This Row],[VENDEDOR]],[1]!Tabela8[VENDEDOR],[1]!Tabela8[META D])</f>
        <v>153000</v>
      </c>
      <c r="AN5" s="25">
        <f>IFERROR(_xlfn.XLOOKUP(AI5,'[1]BASE PYTHON'!$E:$E,'[1]BASE PYTHON'!$F:$F,0),0)</f>
        <v>115830.78999999989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37169.210000000108</v>
      </c>
    </row>
    <row r="6" spans="1:43" x14ac:dyDescent="0.25">
      <c r="A6" s="4"/>
      <c r="B6" s="4" t="s">
        <v>2</v>
      </c>
      <c r="C6" s="2">
        <f>C4-C5</f>
        <v>4292743.87</v>
      </c>
      <c r="D6" s="2"/>
      <c r="E6" s="4"/>
      <c r="F6" s="4"/>
      <c r="G6" s="4"/>
      <c r="H6" s="4" t="s">
        <v>2</v>
      </c>
      <c r="I6" s="7">
        <f>I4-I5</f>
        <v>108201.985</v>
      </c>
      <c r="J6" s="4"/>
      <c r="K6" s="4"/>
      <c r="L6" s="4"/>
      <c r="M6" s="4"/>
      <c r="N6" s="4" t="s">
        <v>2</v>
      </c>
      <c r="O6" s="7">
        <f>O4-O5</f>
        <v>-15973.779999999912</v>
      </c>
      <c r="P6" s="4"/>
      <c r="Q6" s="4"/>
      <c r="R6" s="4"/>
      <c r="S6" s="4"/>
      <c r="T6" s="4" t="s">
        <v>2</v>
      </c>
      <c r="U6" s="4">
        <f>U4-U5</f>
        <v>139</v>
      </c>
      <c r="V6" s="4"/>
      <c r="W6" s="4"/>
      <c r="Y6" s="33" t="s">
        <v>18</v>
      </c>
      <c r="Z6" s="30">
        <f>_xlfn.XLOOKUP(Tabela17[[#This Row],[VENDEDOR]],[1]!Tabela4[VENDEDOR],[1]!Tabela4[META A])</f>
        <v>20</v>
      </c>
      <c r="AA6" s="30">
        <f>_xlfn.XLOOKUP(Tabela17[[#This Row],[VENDEDOR]],[1]!Tabela4[VENDEDOR],[1]!Tabela4[META B])</f>
        <v>17</v>
      </c>
      <c r="AB6" s="30">
        <f>_xlfn.XLOOKUP(Tabela17[[#This Row],[VENDEDOR]],[1]!Tabela4[VENDEDOR],[1]!Tabela4[META C])</f>
        <v>14</v>
      </c>
      <c r="AC6" s="30">
        <f>_xlfn.XLOOKUP(Tabela17[[#This Row],[VENDEDOR]],[1]!Tabela4[VENDEDOR],[1]!Tabela4[META D])</f>
        <v>9</v>
      </c>
      <c r="AD6" s="31">
        <f>IFERROR(_xlfn.XLOOKUP(Y6,'[1]BASE PYTHON'!$K:$K,'[1]BASE PYTHON'!$N:$N,0),0)</f>
        <v>18</v>
      </c>
      <c r="AE6" s="31" t="str" cm="1">
        <f t="array" ref="AE6">_xlfn.IFS(AD6&gt;=Z6,"A",AD6&gt;=AA6,"B",AD6&gt;=AB6,"C",AD6&gt;=AC6,"D",TRUE,"NÃO ATINGIDO")</f>
        <v>B</v>
      </c>
      <c r="AF6" s="31" t="str" cm="1">
        <f t="array" ref="AF6">_xlfn.IFS(AE6="NÃO ATINGIDO","D",AE6="D","C",AE6="C","B",AE6="B","A",AE6="A","OBJETIVO ALCANÇADO")</f>
        <v>A</v>
      </c>
      <c r="AG6" s="31" cm="1">
        <f t="array" ref="AG6">_xlfn.IFS(AF6="D",MAX(AC6-AD6,0),AF6="C",MAX(AB6-AD6,0),AF6="B",MAX(AA6-AD6,0),AF6="A",MAX(Z6-AD6,0),AF6="OBJETIVO ALCANÇADO",0)</f>
        <v>2</v>
      </c>
      <c r="AI6" t="s">
        <v>18</v>
      </c>
      <c r="AJ6" s="24">
        <f>_xlfn.XLOOKUP(Tabela817[[#This Row],[VENDEDOR]],[1]!Tabela8[VENDEDOR],[1]!Tabela8[META A])</f>
        <v>326500</v>
      </c>
      <c r="AK6" s="24">
        <f>_xlfn.XLOOKUP(Tabela817[[#This Row],[VENDEDOR]],[1]!Tabela8[VENDEDOR],[1]!Tabela8[META B])</f>
        <v>277525</v>
      </c>
      <c r="AL6" s="24">
        <f>_xlfn.XLOOKUP(Tabela817[[#This Row],[VENDEDOR]],[1]!Tabela8[VENDEDOR],[1]!Tabela8[META C])</f>
        <v>194268</v>
      </c>
      <c r="AM6" s="24">
        <f>_xlfn.XLOOKUP(Tabela817[[#This Row],[VENDEDOR]],[1]!Tabela8[VENDEDOR],[1]!Tabela8[META D])</f>
        <v>146925</v>
      </c>
      <c r="AN6" s="25">
        <f>IFERROR(_xlfn.XLOOKUP(AI6,'[1]BASE PYTHON'!$E:$E,'[1]BASE PYTHON'!$F:$F,0),0)</f>
        <v>104758.34500000006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42166.654999999941</v>
      </c>
    </row>
    <row r="7" spans="1:43" x14ac:dyDescent="0.25">
      <c r="A7" s="4"/>
      <c r="B7" s="4" t="s">
        <v>3</v>
      </c>
      <c r="C7" s="3">
        <f>1-(C6/C4)</f>
        <v>0.27272446082168567</v>
      </c>
      <c r="D7" s="2"/>
      <c r="E7" s="4"/>
      <c r="F7" s="4"/>
      <c r="G7" s="4"/>
      <c r="H7" s="4" t="s">
        <v>3</v>
      </c>
      <c r="I7" s="3">
        <f>1-(I6/I4)</f>
        <v>0.27932606234181434</v>
      </c>
      <c r="J7" s="4"/>
      <c r="K7" s="4"/>
      <c r="L7" s="4"/>
      <c r="M7" s="4"/>
      <c r="N7" s="4" t="s">
        <v>3</v>
      </c>
      <c r="O7" s="3">
        <f>1-(O6/O4)</f>
        <v>1.0303510925327759</v>
      </c>
      <c r="P7" s="4"/>
      <c r="Q7" s="4"/>
      <c r="R7" s="4"/>
      <c r="S7" s="4"/>
      <c r="T7" s="4" t="s">
        <v>3</v>
      </c>
      <c r="U7" s="3">
        <f>1-(U6/U4)</f>
        <v>0.5911764705882353</v>
      </c>
      <c r="V7" s="4"/>
      <c r="W7" s="4"/>
      <c r="Y7" s="32" t="s">
        <v>10</v>
      </c>
      <c r="Z7" s="30">
        <f>_xlfn.XLOOKUP(Tabela17[[#This Row],[VENDEDOR]],[1]!Tabela4[VENDEDOR],[1]!Tabela4[META A])</f>
        <v>20</v>
      </c>
      <c r="AA7" s="28">
        <f>_xlfn.XLOOKUP(Tabela17[[#This Row],[VENDEDOR]],[1]!Tabela4[VENDEDOR],[1]!Tabela4[META B])</f>
        <v>17</v>
      </c>
      <c r="AB7" s="28">
        <f>_xlfn.XLOOKUP(Tabela17[[#This Row],[VENDEDOR]],[1]!Tabela4[VENDEDOR],[1]!Tabela4[META C])</f>
        <v>14</v>
      </c>
      <c r="AC7" s="28">
        <f>_xlfn.XLOOKUP(Tabela17[[#This Row],[VENDEDOR]],[1]!Tabela4[VENDEDOR],[1]!Tabela4[META D])</f>
        <v>9</v>
      </c>
      <c r="AD7" s="29">
        <f>IFERROR(_xlfn.XLOOKUP(Y7,'[1]BASE PYTHON'!$K:$K,'[1]BASE PYTHON'!$N:$N,0),0)</f>
        <v>24</v>
      </c>
      <c r="AE7" s="29" t="str" cm="1">
        <f t="array" ref="AE7">_xlfn.IFS(AD7&gt;=Z7,"A",AD7&gt;=AA7,"B",AD7&gt;=AB7,"C",AD7&gt;=AC7,"D",TRUE,"NÃO ATINGIDO")</f>
        <v>A</v>
      </c>
      <c r="AF7" s="29" t="str" cm="1">
        <f t="array" ref="AF7">_xlfn.IFS(AE7="NÃO ATINGIDO","D",AE7="D","C",AE7="C","B",AE7="B","A",AE7="A","OBJETIVO ALCANÇADO")</f>
        <v>OBJETIVO ALCANÇADO</v>
      </c>
      <c r="AG7" s="29" cm="1">
        <f t="array" ref="AG7">_xlfn.IFS(AF7="D",MAX(AC7-AD7,0),AF7="C",MAX(AB7-AD7,0),AF7="B",MAX(AA7-AD7,0),AF7="A",MAX(Z7-AD7,0),AF7="OBJETIVO ALCANÇADO",0)</f>
        <v>0</v>
      </c>
      <c r="AI7" t="s">
        <v>10</v>
      </c>
      <c r="AJ7" s="24">
        <f>_xlfn.XLOOKUP(Tabela817[[#This Row],[VENDEDOR]],[1]!Tabela8[VENDEDOR],[1]!Tabela8[META A])</f>
        <v>276000</v>
      </c>
      <c r="AK7" s="24">
        <f>_xlfn.XLOOKUP(Tabela817[[#This Row],[VENDEDOR]],[1]!Tabela8[VENDEDOR],[1]!Tabela8[META B])</f>
        <v>234600</v>
      </c>
      <c r="AL7" s="24">
        <f>_xlfn.XLOOKUP(Tabela817[[#This Row],[VENDEDOR]],[1]!Tabela8[VENDEDOR],[1]!Tabela8[META C])</f>
        <v>164220</v>
      </c>
      <c r="AM7" s="24">
        <f>_xlfn.XLOOKUP(Tabela817[[#This Row],[VENDEDOR]],[1]!Tabela8[VENDEDOR],[1]!Tabela8[META D])</f>
        <v>124200</v>
      </c>
      <c r="AN7" s="25">
        <f>IFERROR(_xlfn.XLOOKUP(AI7,'[1]BASE PYTHON'!$E:$E,'[1]BASE PYTHON'!$F:$F,0),0)</f>
        <v>75427.429999999993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48772.570000000007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20</v>
      </c>
      <c r="AA8" s="30">
        <f>_xlfn.XLOOKUP(Tabela17[[#This Row],[VENDEDOR]],[1]!Tabela4[VENDEDOR],[1]!Tabela4[META B])</f>
        <v>17</v>
      </c>
      <c r="AB8" s="30">
        <f>_xlfn.XLOOKUP(Tabela17[[#This Row],[VENDEDOR]],[1]!Tabela4[VENDEDOR],[1]!Tabela4[META C])</f>
        <v>14</v>
      </c>
      <c r="AC8" s="30">
        <f>_xlfn.XLOOKUP(Tabela17[[#This Row],[VENDEDOR]],[1]!Tabela4[VENDEDOR],[1]!Tabela4[META D])</f>
        <v>9</v>
      </c>
      <c r="AD8" s="31">
        <f>IFERROR(_xlfn.XLOOKUP(Y8,'[1]BASE PYTHON'!$K:$K,'[1]BASE PYTHON'!$N:$N,0),0)</f>
        <v>18</v>
      </c>
      <c r="AE8" s="31" t="str" cm="1">
        <f t="array" ref="AE8">_xlfn.IFS(AD8&gt;=Z8,"A",AD8&gt;=AA8,"B",AD8&gt;=AB8,"C",AD8&gt;=AC8,"D",TRUE,"NÃO ATINGIDO")</f>
        <v>B</v>
      </c>
      <c r="AF8" s="31" t="str" cm="1">
        <f t="array" ref="AF8">_xlfn.IFS(AE8="NÃO ATINGIDO","D",AE8="D","C",AE8="C","B",AE8="B","A",AE8="A","OBJETIVO ALCANÇADO")</f>
        <v>A</v>
      </c>
      <c r="AG8" s="31" cm="1">
        <f t="array" ref="AG8">_xlfn.IFS(AF8="D",MAX(AC8-AD8,0),AF8="C",MAX(AB8-AD8,0),AF8="B",MAX(AA8-AD8,0),AF8="A",MAX(Z8-AD8,0),AF8="OBJETIVO ALCANÇADO",0)</f>
        <v>2</v>
      </c>
      <c r="AI8" t="s">
        <v>13</v>
      </c>
      <c r="AJ8" s="24">
        <f>_xlfn.XLOOKUP(Tabela817[[#This Row],[VENDEDOR]],[1]!Tabela8[VENDEDOR],[1]!Tabela8[META A])</f>
        <v>203000</v>
      </c>
      <c r="AK8" s="24">
        <f>_xlfn.XLOOKUP(Tabela817[[#This Row],[VENDEDOR]],[1]!Tabela8[VENDEDOR],[1]!Tabela8[META B])</f>
        <v>172550</v>
      </c>
      <c r="AL8" s="24">
        <f>_xlfn.XLOOKUP(Tabela817[[#This Row],[VENDEDOR]],[1]!Tabela8[VENDEDOR],[1]!Tabela8[META C])</f>
        <v>120785</v>
      </c>
      <c r="AM8" s="24">
        <f>_xlfn.XLOOKUP(Tabela817[[#This Row],[VENDEDOR]],[1]!Tabela8[VENDEDOR],[1]!Tabela8[META D])</f>
        <v>91350</v>
      </c>
      <c r="AN8" s="25">
        <f>IFERROR(_xlfn.XLOOKUP(AI8,'[1]BASE PYTHON'!$E:$E,'[1]BASE PYTHON'!$F:$F,0),0)</f>
        <v>72760.275000000052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18589.724999999948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48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20</v>
      </c>
      <c r="AA9" s="28">
        <f>_xlfn.XLOOKUP(Tabela17[[#This Row],[VENDEDOR]],[1]!Tabela4[VENDEDOR],[1]!Tabela4[META B])</f>
        <v>17</v>
      </c>
      <c r="AB9" s="28">
        <f>_xlfn.XLOOKUP(Tabela17[[#This Row],[VENDEDOR]],[1]!Tabela4[VENDEDOR],[1]!Tabela4[META C])</f>
        <v>14</v>
      </c>
      <c r="AC9" s="28">
        <f>_xlfn.XLOOKUP(Tabela17[[#This Row],[VENDEDOR]],[1]!Tabela4[VENDEDOR],[1]!Tabela4[META D])</f>
        <v>9</v>
      </c>
      <c r="AD9" s="29">
        <f>IFERROR(_xlfn.XLOOKUP(Y9,'[1]BASE PYTHON'!$K:$K,'[1]BASE PYTHON'!$N:$N,0),0)</f>
        <v>10</v>
      </c>
      <c r="AE9" s="29" t="str" cm="1">
        <f t="array" ref="AE9">_xlfn.IFS(AD9&gt;=Z9,"A",AD9&gt;=AA9,"B",AD9&gt;=AB9,"C",AD9&gt;=AC9,"D",TRUE,"NÃO ATINGIDO")</f>
        <v>D</v>
      </c>
      <c r="AF9" s="29" t="str" cm="1">
        <f t="array" ref="AF9">_xlfn.IFS(AE9="NÃO ATINGIDO","D",AE9="D","C",AE9="C","B",AE9="B","A",AE9="A","OBJETIVO ALCANÇADO")</f>
        <v>C</v>
      </c>
      <c r="AG9" s="29" cm="1">
        <f t="array" ref="AG9">_xlfn.IFS(AF9="D",MAX(AC9-AD9,0),AF9="C",MAX(AB9-AD9,0),AF9="B",MAX(AA9-AD9,0),AF9="A",MAX(Z9-AD9,0),AF9="OBJETIVO ALCANÇADO",0)</f>
        <v>4</v>
      </c>
      <c r="AI9" t="s">
        <v>20</v>
      </c>
      <c r="AJ9" s="24">
        <f>_xlfn.XLOOKUP(Tabela817[[#This Row],[VENDEDOR]],[1]!Tabela8[VENDEDOR],[1]!Tabela8[META A])</f>
        <v>170000</v>
      </c>
      <c r="AK9" s="24">
        <f>_xlfn.XLOOKUP(Tabela817[[#This Row],[VENDEDOR]],[1]!Tabela8[VENDEDOR],[1]!Tabela8[META B])</f>
        <v>144500</v>
      </c>
      <c r="AL9" s="24">
        <f>_xlfn.XLOOKUP(Tabela817[[#This Row],[VENDEDOR]],[1]!Tabela8[VENDEDOR],[1]!Tabela8[META C])</f>
        <v>101150</v>
      </c>
      <c r="AM9" s="24">
        <f>_xlfn.XLOOKUP(Tabela817[[#This Row],[VENDEDOR]],[1]!Tabela8[VENDEDOR],[1]!Tabela8[META D])</f>
        <v>76500</v>
      </c>
      <c r="AN9" s="25">
        <f>IFERROR(_xlfn.XLOOKUP(AI9,'[1]BASE PYTHON'!$E:$E,'[1]BASE PYTHON'!$F:$F,0),0)</f>
        <v>60485.700000000019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16014.299999999981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20577.380000000005</v>
      </c>
      <c r="E10" s="43">
        <f>Tabela13[[#This Row],[META A]]-Tabela13[[#This Row],[ATINGIDO]]</f>
        <v>46922.619999999995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17000</v>
      </c>
      <c r="J10" s="19">
        <f>_xlfn.XLOOKUP(Tabela5[[#This Row],[REFERENCIA]],'[1]BASE PYTHON'!$H:$H,'[1]BASE PYTHON'!$I:$I,0)</f>
        <v>5340.8549999999996</v>
      </c>
      <c r="K10" s="20">
        <f>Tabela5[[#This Row],[COMPROMISSO]]-Tabela5[[#This Row],[ATINGIDO]]</f>
        <v>11659.145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>VLOOKUP(Tabela2[[#This Row],[REFERENCIA]],'[1]BASE PYTHON'!$K:$N,'[1]BASE PYTHON'!L$1,0)</f>
        <v>11</v>
      </c>
      <c r="W10" s="17">
        <f>U10-V10</f>
        <v>9</v>
      </c>
      <c r="Y10" s="33" t="s">
        <v>17</v>
      </c>
      <c r="Z10" s="30">
        <f>_xlfn.XLOOKUP(Tabela17[[#This Row],[VENDEDOR]],[1]!Tabela4[VENDEDOR],[1]!Tabela4[META A])</f>
        <v>20</v>
      </c>
      <c r="AA10" s="30">
        <f>_xlfn.XLOOKUP(Tabela17[[#This Row],[VENDEDOR]],[1]!Tabela4[VENDEDOR],[1]!Tabela4[META B])</f>
        <v>17</v>
      </c>
      <c r="AB10" s="30">
        <f>_xlfn.XLOOKUP(Tabela17[[#This Row],[VENDEDOR]],[1]!Tabela4[VENDEDOR],[1]!Tabela4[META C])</f>
        <v>14</v>
      </c>
      <c r="AC10" s="30">
        <f>_xlfn.XLOOKUP(Tabela17[[#This Row],[VENDEDOR]],[1]!Tabela4[VENDEDOR],[1]!Tabela4[META D])</f>
        <v>9</v>
      </c>
      <c r="AD10" s="31">
        <f>IFERROR(_xlfn.XLOOKUP(Y10,'[1]BASE PYTHON'!$K:$K,'[1]BASE PYTHON'!$N:$N,0),0)</f>
        <v>20</v>
      </c>
      <c r="AE10" s="31" t="str" cm="1">
        <f t="array" ref="AE10">_xlfn.IFS(AD10&gt;=Z10,"A",AD10&gt;=AA10,"B",AD10&gt;=AB10,"C",AD10&gt;=AC10,"D",TRUE,"NÃO ATINGIDO")</f>
        <v>A</v>
      </c>
      <c r="AF10" s="31" t="str" cm="1">
        <f t="array" ref="AF10">_xlfn.IFS(AE10="NÃO ATINGIDO","D",AE10="D","C",AE10="C","B",AE10="B","A",AE10="A","OBJETIVO ALCANÇADO")</f>
        <v>OBJETIVO ALCANÇADO</v>
      </c>
      <c r="AG10" s="31" cm="1">
        <f t="array" ref="AG10">_xlfn.IFS(AF10="D",MAX(AC10-AD10,0),AF10="C",MAX(AB10-AD10,0),AF10="B",MAX(AA10-AD10,0),AF10="A",MAX(Z10-AD10,0),AF10="OBJETIVO ALCANÇADO",0)</f>
        <v>0</v>
      </c>
      <c r="AI10" t="s">
        <v>17</v>
      </c>
      <c r="AJ10" s="24">
        <f>_xlfn.XLOOKUP(Tabela817[[#This Row],[VENDEDOR]],[1]!Tabela8[VENDEDOR],[1]!Tabela8[META A])</f>
        <v>245000</v>
      </c>
      <c r="AK10" s="24">
        <f>_xlfn.XLOOKUP(Tabela817[[#This Row],[VENDEDOR]],[1]!Tabela8[VENDEDOR],[1]!Tabela8[META B])</f>
        <v>208250</v>
      </c>
      <c r="AL10" s="24">
        <f>_xlfn.XLOOKUP(Tabela817[[#This Row],[VENDEDOR]],[1]!Tabela8[VENDEDOR],[1]!Tabela8[META C])</f>
        <v>145775</v>
      </c>
      <c r="AM10" s="24">
        <f>_xlfn.XLOOKUP(Tabela817[[#This Row],[VENDEDOR]],[1]!Tabela8[VENDEDOR],[1]!Tabela8[META D])</f>
        <v>110250</v>
      </c>
      <c r="AN10" s="25">
        <f>IFERROR(_xlfn.XLOOKUP(AI10,'[1]BASE PYTHON'!$E:$E,'[1]BASE PYTHON'!$F:$F,0),0)</f>
        <v>81089.890000000101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29160.109999999899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115830.78999999989</v>
      </c>
      <c r="E11" s="43">
        <f>Tabela13[[#This Row],[META A]]-Tabela13[[#This Row],[ATINGIDO]]</f>
        <v>224169.21000000011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14780</v>
      </c>
      <c r="J11" s="19">
        <f>_xlfn.XLOOKUP(Tabela5[[#This Row],[REFERENCIA]],'[1]BASE PYTHON'!$H:$H,'[1]BASE PYTHON'!$I:$I,0)</f>
        <v>6057.4000000000005</v>
      </c>
      <c r="K11" s="20">
        <f>Tabela5[[#This Row],[COMPROMISSO]]-Tabela5[[#This Row],[ATINGIDO]]</f>
        <v>8722.5999999999985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48058.600000000006</v>
      </c>
      <c r="Q11" s="2">
        <f>Tabela8[[#This Row],[COMPROMISSO]]-Tabela8[[#This Row],[ATINGIDO]]</f>
        <v>-48058.600000000006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>VLOOKUP(Tabela2[[#This Row],[REFERENCIA]],'[1]BASE PYTHON'!$K:$N,'[1]BASE PYTHON'!L$1,0)</f>
        <v>9</v>
      </c>
      <c r="W11" s="17">
        <f t="shared" ref="W11:W20" si="0">U11-V11</f>
        <v>11</v>
      </c>
      <c r="Y11" s="32" t="s">
        <v>12</v>
      </c>
      <c r="Z11" s="30">
        <f>_xlfn.XLOOKUP(Tabela17[[#This Row],[VENDEDOR]],[1]!Tabela4[VENDEDOR],[1]!Tabela4[META A])</f>
        <v>20</v>
      </c>
      <c r="AA11" s="28">
        <f>_xlfn.XLOOKUP(Tabela17[[#This Row],[VENDEDOR]],[1]!Tabela4[VENDEDOR],[1]!Tabela4[META B])</f>
        <v>17</v>
      </c>
      <c r="AB11" s="28">
        <f>_xlfn.XLOOKUP(Tabela17[[#This Row],[VENDEDOR]],[1]!Tabela4[VENDEDOR],[1]!Tabela4[META C])</f>
        <v>14</v>
      </c>
      <c r="AC11" s="28">
        <f>_xlfn.XLOOKUP(Tabela17[[#This Row],[VENDEDOR]],[1]!Tabela4[VENDEDOR],[1]!Tabela4[META D])</f>
        <v>9</v>
      </c>
      <c r="AD11" s="29">
        <f>IFERROR(_xlfn.XLOOKUP(Y11,'[1]BASE PYTHON'!$K:$K,'[1]BASE PYTHON'!$N:$N,0),0)</f>
        <v>8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1</v>
      </c>
      <c r="AI11" t="s">
        <v>12</v>
      </c>
      <c r="AJ11" s="24">
        <f>_xlfn.XLOOKUP(Tabela817[[#This Row],[VENDEDOR]],[1]!Tabela8[VENDEDOR],[1]!Tabela8[META A])</f>
        <v>122000</v>
      </c>
      <c r="AK11" s="24">
        <f>_xlfn.XLOOKUP(Tabela817[[#This Row],[VENDEDOR]],[1]!Tabela8[VENDEDOR],[1]!Tabela8[META B])</f>
        <v>103700</v>
      </c>
      <c r="AL11" s="24">
        <f>_xlfn.XLOOKUP(Tabela817[[#This Row],[VENDEDOR]],[1]!Tabela8[VENDEDOR],[1]!Tabela8[META C])</f>
        <v>72590</v>
      </c>
      <c r="AM11" s="24">
        <f>_xlfn.XLOOKUP(Tabela817[[#This Row],[VENDEDOR]],[1]!Tabela8[VENDEDOR],[1]!Tabela8[META D])</f>
        <v>54900</v>
      </c>
      <c r="AN11" s="25">
        <f>IFERROR(_xlfn.XLOOKUP(AI11,'[1]BASE PYTHON'!$E:$E,'[1]BASE PYTHON'!$F:$F,0),0)</f>
        <v>24615.470000000005</v>
      </c>
      <c r="AO11" s="26" t="str" cm="1">
        <f t="array" ref="AO11">_xlfn.IFS(AN11&gt;=AJ11,"A",AN11&gt;=AK11,"B",AN11&gt;=AL11,"C",AN11&gt;=AM11,"D",TRUE,"NÃO ATINGIDO")</f>
        <v>NÃO ATINGIDO</v>
      </c>
      <c r="AP11" s="26" t="str" cm="1">
        <f t="array" ref="AP11">_xlfn.IFS(AO11="NÃO ATINGIDO","D",AO11="D","C",AO11="C","B",AO11="B","A",AO11="A","OBJETIVO ALCANÇADO")</f>
        <v>D</v>
      </c>
      <c r="AQ11" s="25" cm="1">
        <f t="array" ref="AQ11">_xlfn.IFS(AP11="D",MAX(AM11-AN11,0),AP11="C",MAX(AL11-AN11,0),AP11="B",MAX(AK11-AN11,0),AP11="A",MAX(AJ11-AN11,0),AP11="OBJETIVO ALCANÇADO",0)</f>
        <v>30284.529999999995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55.04</v>
      </c>
      <c r="E12" s="43">
        <f>Tabela13[[#This Row],[META A]]-Tabela13[[#This Row],[ATINGIDO]]</f>
        <v>-55.04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8680</v>
      </c>
      <c r="J12" s="19">
        <f>_xlfn.XLOOKUP(Tabela5[[#This Row],[REFERENCIA]],'[1]BASE PYTHON'!$H:$H,'[1]BASE PYTHON'!$I:$I,0)</f>
        <v>1791.6</v>
      </c>
      <c r="K12" s="20">
        <f>Tabela5[[#This Row],[COMPROMISSO]]-Tabela5[[#This Row],[ATINGIDO]]</f>
        <v>6888.4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>VLOOKUP(Tabela2[[#This Row],[REFERENCIA]],'[1]BASE PYTHON'!$K:$N,'[1]BASE PYTHON'!L$1,0)</f>
        <v>8</v>
      </c>
      <c r="W12" s="17">
        <f t="shared" si="0"/>
        <v>12</v>
      </c>
      <c r="Y12" s="33" t="s">
        <v>23</v>
      </c>
      <c r="Z12" s="30">
        <f>_xlfn.XLOOKUP(Tabela17[[#This Row],[VENDEDOR]],[1]!Tabela4[VENDEDOR],[1]!Tabela4[META A])</f>
        <v>20</v>
      </c>
      <c r="AA12" s="30">
        <f>_xlfn.XLOOKUP(Tabela17[[#This Row],[VENDEDOR]],[1]!Tabela4[VENDEDOR],[1]!Tabela4[META B])</f>
        <v>17</v>
      </c>
      <c r="AB12" s="30">
        <f>_xlfn.XLOOKUP(Tabela17[[#This Row],[VENDEDOR]],[1]!Tabela4[VENDEDOR],[1]!Tabela4[META C])</f>
        <v>14</v>
      </c>
      <c r="AC12" s="30">
        <f>_xlfn.XLOOKUP(Tabela17[[#This Row],[VENDEDOR]],[1]!Tabela4[VENDEDOR],[1]!Tabela4[META D])</f>
        <v>9</v>
      </c>
      <c r="AD12" s="31">
        <f>IFERROR(_xlfn.XLOOKUP(Y12,'[1]BASE PYTHON'!$K:$K,'[1]BASE PYTHON'!$N:$N,0),0)</f>
        <v>10</v>
      </c>
      <c r="AE12" s="31" t="str" cm="1">
        <f t="array" ref="AE12">_xlfn.IFS(AD12&gt;=Z12,"A",AD12&gt;=AA12,"B",AD12&gt;=AB12,"C",AD12&gt;=AC12,"D",TRUE,"NÃO ATINGIDO")</f>
        <v>D</v>
      </c>
      <c r="AF12" s="31" t="str" cm="1">
        <f t="array" ref="AF12">_xlfn.IFS(AE12="NÃO ATINGIDO","D",AE12="D","C",AE12="C","B",AE12="B","A",AE12="A","OBJETIVO ALCANÇADO")</f>
        <v>C</v>
      </c>
      <c r="AG12" s="31" cm="1">
        <f t="array" ref="AG12">_xlfn.IFS(AF12="D",MAX(AC12-AD12,0),AF12="C",MAX(AB12-AD12,0),AF12="B",MAX(AA12-AD12,0),AF12="A",MAX(Z12-AD12,0),AF12="OBJETIVO ALCANÇADO",0)</f>
        <v>4</v>
      </c>
      <c r="AI12" t="s">
        <v>23</v>
      </c>
      <c r="AJ12" s="24">
        <f>_xlfn.XLOOKUP(Tabela817[[#This Row],[VENDEDOR]],[1]!Tabela8[VENDEDOR],[1]!Tabela8[META A])</f>
        <v>55000</v>
      </c>
      <c r="AK12" s="24">
        <f>_xlfn.XLOOKUP(Tabela817[[#This Row],[VENDEDOR]],[1]!Tabela8[VENDEDOR],[1]!Tabela8[META B])</f>
        <v>46750</v>
      </c>
      <c r="AL12" s="24">
        <f>_xlfn.XLOOKUP(Tabela817[[#This Row],[VENDEDOR]],[1]!Tabela8[VENDEDOR],[1]!Tabela8[META C])</f>
        <v>32725</v>
      </c>
      <c r="AM12" s="24">
        <f>_xlfn.XLOOKUP(Tabela817[[#This Row],[VENDEDOR]],[1]!Tabela8[VENDEDOR],[1]!Tabela8[META D])</f>
        <v>24750</v>
      </c>
      <c r="AN12" s="25">
        <f>IFERROR(_xlfn.XLOOKUP(AI12,'[1]BASE PYTHON'!$E:$E,'[1]BASE PYTHON'!$F:$F,0),0)</f>
        <v>18257.059999999998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6492.9400000000023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27509.780000000013</v>
      </c>
      <c r="E13" s="43">
        <f>Tabela13[[#This Row],[META A]]-Tabela13[[#This Row],[ATINGIDO]]</f>
        <v>65490.219999999987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11560</v>
      </c>
      <c r="J13" s="19">
        <f>_xlfn.XLOOKUP(Tabela5[[#This Row],[REFERENCIA]],'[1]BASE PYTHON'!$H:$H,'[1]BASE PYTHON'!$I:$I,0)</f>
        <v>3789.8000000000006</v>
      </c>
      <c r="K13" s="20">
        <f>Tabela5[[#This Row],[COMPROMISSO]]-Tabela5[[#This Row],[ATINGIDO]]</f>
        <v>7770.1999999999989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53921.19000000001</v>
      </c>
      <c r="Q13" s="2">
        <f>Tabela8[[#This Row],[COMPROMISSO]]-Tabela8[[#This Row],[ATINGIDO]]</f>
        <v>-53921.19000000001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>VLOOKUP(Tabela2[[#This Row],[REFERENCIA]],'[1]BASE PYTHON'!$K:$N,'[1]BASE PYTHON'!L$1,0)</f>
        <v>24</v>
      </c>
      <c r="W13" s="17">
        <f t="shared" si="0"/>
        <v>-4</v>
      </c>
      <c r="Y13" s="32" t="s">
        <v>9</v>
      </c>
      <c r="Z13" s="30">
        <f>_xlfn.XLOOKUP(Tabela17[[#This Row],[VENDEDOR]],[1]!Tabela4[VENDEDOR],[1]!Tabela4[META A])</f>
        <v>20</v>
      </c>
      <c r="AA13" s="28">
        <f>_xlfn.XLOOKUP(Tabela17[[#This Row],[VENDEDOR]],[1]!Tabela4[VENDEDOR],[1]!Tabela4[META B])</f>
        <v>17</v>
      </c>
      <c r="AB13" s="28">
        <f>_xlfn.XLOOKUP(Tabela17[[#This Row],[VENDEDOR]],[1]!Tabela4[VENDEDOR],[1]!Tabela4[META C])</f>
        <v>14</v>
      </c>
      <c r="AC13" s="28">
        <f>_xlfn.XLOOKUP(Tabela17[[#This Row],[VENDEDOR]],[1]!Tabela4[VENDEDOR],[1]!Tabela4[META D])</f>
        <v>9</v>
      </c>
      <c r="AD13" s="29">
        <f>IFERROR(_xlfn.XLOOKUP(Y13,'[1]BASE PYTHON'!$K:$K,'[1]BASE PYTHON'!$N:$N,0),0)</f>
        <v>8</v>
      </c>
      <c r="AE13" s="29" t="str" cm="1">
        <f t="array" ref="AE13">_xlfn.IFS(AD13&gt;=Z13,"A",AD13&gt;=AA13,"B",AD13&gt;=AB13,"C",AD13&gt;=AC13,"D",TRUE,"NÃO ATINGIDO")</f>
        <v>NÃO ATINGIDO</v>
      </c>
      <c r="AF13" s="29" t="str" cm="1">
        <f t="array" ref="AF13">_xlfn.IFS(AE13="NÃO ATINGIDO","D",AE13="D","C",AE13="C","B",AE13="B","A",AE13="A","OBJETIVO ALCANÇADO")</f>
        <v>D</v>
      </c>
      <c r="AG13" s="29" cm="1">
        <f t="array" ref="AG13">_xlfn.IFS(AF13="D",MAX(AC13-AD13,0),AF13="C",MAX(AB13-AD13,0),AF13="B",MAX(AA13-AD13,0),AF13="A",MAX(Z13-AD13,0),AF13="OBJETIVO ALCANÇADO",0)</f>
        <v>1</v>
      </c>
      <c r="AI13" t="s">
        <v>9</v>
      </c>
      <c r="AJ13" s="24">
        <f>_xlfn.XLOOKUP(Tabela817[[#This Row],[VENDEDOR]],[1]!Tabela8[VENDEDOR],[1]!Tabela8[META A])</f>
        <v>93000</v>
      </c>
      <c r="AK13" s="24">
        <f>_xlfn.XLOOKUP(Tabela817[[#This Row],[VENDEDOR]],[1]!Tabela8[VENDEDOR],[1]!Tabela8[META B])</f>
        <v>79050</v>
      </c>
      <c r="AL13" s="24">
        <f>_xlfn.XLOOKUP(Tabela817[[#This Row],[VENDEDOR]],[1]!Tabela8[VENDEDOR],[1]!Tabela8[META C])</f>
        <v>55335</v>
      </c>
      <c r="AM13" s="24">
        <f>_xlfn.XLOOKUP(Tabela817[[#This Row],[VENDEDOR]],[1]!Tabela8[VENDEDOR],[1]!Tabela8[META D])</f>
        <v>41850</v>
      </c>
      <c r="AN13" s="25">
        <f>IFERROR(_xlfn.XLOOKUP(AI13,'[1]BASE PYTHON'!$E:$E,'[1]BASE PYTHON'!$F:$F,0),0)</f>
        <v>27509.780000000013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14340.219999999987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75427.429999999993</v>
      </c>
      <c r="E14" s="43">
        <f>Tabela13[[#This Row],[META A]]-Tabela13[[#This Row],[ATINGIDO]]</f>
        <v>200572.57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5350</v>
      </c>
      <c r="J14" s="19">
        <f>_xlfn.XLOOKUP(Tabela5[[#This Row],[REFERENCIA]],'[1]BASE PYTHON'!$H:$H,'[1]BASE PYTHON'!$I:$I,0)</f>
        <v>540</v>
      </c>
      <c r="K14" s="20">
        <f>Tabela5[[#This Row],[COMPROMISSO]]-Tabela5[[#This Row],[ATINGIDO]]</f>
        <v>4810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360000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276341.39999999991</v>
      </c>
      <c r="Q14" s="2">
        <f>Tabela8[[#This Row],[COMPROMISSO]]-Tabela8[[#This Row],[ATINGIDO]]</f>
        <v>83658.600000000093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>VLOOKUP(Tabela2[[#This Row],[REFERENCIA]],'[1]BASE PYTHON'!$K:$N,'[1]BASE PYTHON'!L$1,0)</f>
        <v>10</v>
      </c>
      <c r="W14" s="17">
        <f t="shared" si="0"/>
        <v>10</v>
      </c>
      <c r="Y14" s="33" t="s">
        <v>7</v>
      </c>
      <c r="Z14" s="30">
        <f>_xlfn.XLOOKUP(Tabela17[[#This Row],[VENDEDOR]],[1]!Tabela4[VENDEDOR],[1]!Tabela4[META A])</f>
        <v>20</v>
      </c>
      <c r="AA14" s="30">
        <f>_xlfn.XLOOKUP(Tabela17[[#This Row],[VENDEDOR]],[1]!Tabela4[VENDEDOR],[1]!Tabela4[META B])</f>
        <v>17</v>
      </c>
      <c r="AB14" s="30">
        <f>_xlfn.XLOOKUP(Tabela17[[#This Row],[VENDEDOR]],[1]!Tabela4[VENDEDOR],[1]!Tabela4[META C])</f>
        <v>14</v>
      </c>
      <c r="AC14" s="30">
        <f>_xlfn.XLOOKUP(Tabela17[[#This Row],[VENDEDOR]],[1]!Tabela4[VENDEDOR],[1]!Tabela4[META D])</f>
        <v>9</v>
      </c>
      <c r="AD14" s="31">
        <f>IFERROR(_xlfn.XLOOKUP(Y14,'[1]BASE PYTHON'!$K:$K,'[1]BASE PYTHON'!$N:$N,0),0)</f>
        <v>11</v>
      </c>
      <c r="AE14" s="31" t="str" cm="1">
        <f t="array" ref="AE14">_xlfn.IFS(AD14&gt;=Z14,"A",AD14&gt;=AA14,"B",AD14&gt;=AB14,"C",AD14&gt;=AC14,"D",TRUE,"NÃO ATINGIDO")</f>
        <v>D</v>
      </c>
      <c r="AF14" s="31" t="str" cm="1">
        <f t="array" ref="AF14">_xlfn.IFS(AE14="NÃO ATINGIDO","D",AE14="D","C",AE14="C","B",AE14="B","A",AE14="A","OBJETIVO ALCANÇADO")</f>
        <v>C</v>
      </c>
      <c r="AG14" s="31" cm="1">
        <f t="array" ref="AG14">_xlfn.IFS(AF14="D",MAX(AC14-AD14,0),AF14="C",MAX(AB14-AD14,0),AF14="B",MAX(AA14-AD14,0),AF14="A",MAX(Z14-AD14,0),AF14="OBJETIVO ALCANÇADO",0)</f>
        <v>3</v>
      </c>
      <c r="AI14" t="s">
        <v>7</v>
      </c>
      <c r="AJ14" s="24">
        <f>_xlfn.XLOOKUP(Tabela817[[#This Row],[VENDEDOR]],[1]!Tabela8[VENDEDOR],[1]!Tabela8[META A])</f>
        <v>67500</v>
      </c>
      <c r="AK14" s="24">
        <f>_xlfn.XLOOKUP(Tabela817[[#This Row],[VENDEDOR]],[1]!Tabela8[VENDEDOR],[1]!Tabela8[META B])</f>
        <v>57375</v>
      </c>
      <c r="AL14" s="24">
        <f>_xlfn.XLOOKUP(Tabela817[[#This Row],[VENDEDOR]],[1]!Tabela8[VENDEDOR],[1]!Tabela8[META C])</f>
        <v>40163</v>
      </c>
      <c r="AM14" s="24">
        <f>_xlfn.XLOOKUP(Tabela817[[#This Row],[VENDEDOR]],[1]!Tabela8[VENDEDOR],[1]!Tabela8[META D])</f>
        <v>30375</v>
      </c>
      <c r="AN14" s="25">
        <f>IFERROR(_xlfn.XLOOKUP(AI14,'[1]BASE PYTHON'!$E:$E,'[1]BASE PYTHON'!$F:$F,0),0)</f>
        <v>20577.380000000005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9797.6199999999953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25230.65000000002</v>
      </c>
      <c r="E15" s="43">
        <f>Tabela13[[#This Row],[META A]]-Tabela13[[#This Row],[ATINGIDO]]</f>
        <v>55769.349999999977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20090</v>
      </c>
      <c r="J15" s="19">
        <f>_xlfn.XLOOKUP(Tabela5[[#This Row],[REFERENCIA]],'[1]BASE PYTHON'!$H:$H,'[1]BASE PYTHON'!$I:$I,0)</f>
        <v>1615.9</v>
      </c>
      <c r="K15" s="20">
        <f>Tabela5[[#This Row],[COMPROMISSO]]-Tabela5[[#This Row],[ATINGIDO]]</f>
        <v>18474.099999999999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68000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59074.19</v>
      </c>
      <c r="Q15" s="2">
        <f>Tabela8[[#This Row],[COMPROMISSO]]-Tabela8[[#This Row],[ATINGIDO]]</f>
        <v>8925.8099999999977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>VLOOKUP(Tabela2[[#This Row],[REFERENCIA]],'[1]BASE PYTHON'!$K:$N,'[1]BASE PYTHON'!L$1,0)</f>
        <v>8</v>
      </c>
      <c r="W15" s="17">
        <f>U15-V15</f>
        <v>12</v>
      </c>
      <c r="Y15" s="32" t="s">
        <v>11</v>
      </c>
      <c r="Z15" s="30">
        <f>_xlfn.XLOOKUP(Tabela17[[#This Row],[VENDEDOR]],[1]!Tabela4[VENDEDOR],[1]!Tabela4[META A])</f>
        <v>20</v>
      </c>
      <c r="AA15" s="28">
        <f>_xlfn.XLOOKUP(Tabela17[[#This Row],[VENDEDOR]],[1]!Tabela4[VENDEDOR],[1]!Tabela4[META B])</f>
        <v>17</v>
      </c>
      <c r="AB15" s="28">
        <f>_xlfn.XLOOKUP(Tabela17[[#This Row],[VENDEDOR]],[1]!Tabela4[VENDEDOR],[1]!Tabela4[META C])</f>
        <v>14</v>
      </c>
      <c r="AC15" s="28">
        <f>_xlfn.XLOOKUP(Tabela17[[#This Row],[VENDEDOR]],[1]!Tabela4[VENDEDOR],[1]!Tabela4[META D])</f>
        <v>9</v>
      </c>
      <c r="AD15" s="29">
        <f>IFERROR(_xlfn.XLOOKUP(Y15,'[1]BASE PYTHON'!$K:$K,'[1]BASE PYTHON'!$N:$N,0),0)</f>
        <v>10</v>
      </c>
      <c r="AE15" s="29" t="str" cm="1">
        <f t="array" ref="AE15">_xlfn.IFS(AD15&gt;=Z15,"A",AD15&gt;=AA15,"B",AD15&gt;=AB15,"C",AD15&gt;=AC15,"D",TRUE,"NÃO ATINGIDO")</f>
        <v>D</v>
      </c>
      <c r="AF15" s="29" t="str" cm="1">
        <f t="array" ref="AF15">_xlfn.IFS(AE15="NÃO ATINGIDO","D",AE15="D","C",AE15="C","B",AE15="B","A",AE15="A","OBJETIVO ALCANÇADO")</f>
        <v>C</v>
      </c>
      <c r="AG15" s="29" cm="1">
        <f t="array" ref="AG15">_xlfn.IFS(AF15="D",MAX(AC15-AD15,0),AF15="C",MAX(AB15-AD15,0),AF15="B",MAX(AA15-AD15,0),AF15="A",MAX(Z15-AD15,0),AF15="OBJETIVO ALCANÇADO",0)</f>
        <v>4</v>
      </c>
      <c r="AI15" t="s">
        <v>11</v>
      </c>
      <c r="AJ15" s="24">
        <f>_xlfn.XLOOKUP(Tabela817[[#This Row],[VENDEDOR]],[1]!Tabela8[VENDEDOR],[1]!Tabela8[META A])</f>
        <v>81000</v>
      </c>
      <c r="AK15" s="24">
        <f>_xlfn.XLOOKUP(Tabela817[[#This Row],[VENDEDOR]],[1]!Tabela8[VENDEDOR],[1]!Tabela8[META B])</f>
        <v>68850</v>
      </c>
      <c r="AL15" s="24">
        <f>_xlfn.XLOOKUP(Tabela817[[#This Row],[VENDEDOR]],[1]!Tabela8[VENDEDOR],[1]!Tabela8[META C])</f>
        <v>48195</v>
      </c>
      <c r="AM15" s="24">
        <f>_xlfn.XLOOKUP(Tabela817[[#This Row],[VENDEDOR]],[1]!Tabela8[VENDEDOR],[1]!Tabela8[META D])</f>
        <v>36450</v>
      </c>
      <c r="AN15" s="25">
        <f>IFERROR(_xlfn.XLOOKUP(AI15,'[1]BASE PYTHON'!$E:$E,'[1]BASE PYTHON'!$F:$F,0),0)</f>
        <v>25230.65000000002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11219.34999999998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69204.900000000009</v>
      </c>
      <c r="E16" s="43">
        <f>Tabela13[[#This Row],[META A]]-Tabela13[[#This Row],[ATINGIDO]]</f>
        <v>280795.09999999998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7290</v>
      </c>
      <c r="J16" s="19">
        <f>_xlfn.XLOOKUP(Tabela5[[#This Row],[REFERENCIA]],'[1]BASE PYTHON'!$H:$H,'[1]BASE PYTHON'!$I:$I,0)</f>
        <v>437.5</v>
      </c>
      <c r="K16" s="20">
        <f>Tabela5[[#This Row],[COMPROMISSO]]-Tabela5[[#This Row],[ATINGIDO]]</f>
        <v>6852.5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23000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8811.2000000000007</v>
      </c>
      <c r="Q16" s="2">
        <f>Tabela8[[#This Row],[COMPROMISSO]]-Tabela8[[#This Row],[ATINGIDO]]</f>
        <v>14188.8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>VLOOKUP(Tabela2[[#This Row],[REFERENCIA]],'[1]BASE PYTHON'!$K:$N,'[1]BASE PYTHON'!L$1,0)</f>
        <v>4</v>
      </c>
      <c r="W16" s="17">
        <f t="shared" si="0"/>
        <v>16</v>
      </c>
      <c r="Y16" s="33" t="s">
        <v>19</v>
      </c>
      <c r="Z16" s="30">
        <f>_xlfn.XLOOKUP(Tabela17[[#This Row],[VENDEDOR]],[1]!Tabela4[VENDEDOR],[1]!Tabela4[META A])</f>
        <v>20</v>
      </c>
      <c r="AA16" s="30">
        <f>_xlfn.XLOOKUP(Tabela17[[#This Row],[VENDEDOR]],[1]!Tabela4[VENDEDOR],[1]!Tabela4[META B])</f>
        <v>17</v>
      </c>
      <c r="AB16" s="30">
        <f>_xlfn.XLOOKUP(Tabela17[[#This Row],[VENDEDOR]],[1]!Tabela4[VENDEDOR],[1]!Tabela4[META C])</f>
        <v>14</v>
      </c>
      <c r="AC16" s="30">
        <f>_xlfn.XLOOKUP(Tabela17[[#This Row],[VENDEDOR]],[1]!Tabela4[VENDEDOR],[1]!Tabela4[META D])</f>
        <v>9</v>
      </c>
      <c r="AD16" s="31">
        <f>IFERROR(_xlfn.XLOOKUP(Y16,'[1]BASE PYTHON'!$K:$K,'[1]BASE PYTHON'!$N:$N,0),0)</f>
        <v>8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1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84490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35568.17000000002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28331.82999999998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151569.60000000003</v>
      </c>
      <c r="E17" s="43">
        <f>Tabela13[[#This Row],[META A]]-Tabela13[[#This Row],[ATINGIDO]]</f>
        <v>298430.39999999997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5290</v>
      </c>
      <c r="J17" s="19">
        <f>_xlfn.XLOOKUP(Tabela5[[#This Row],[REFERENCIA]],'[1]BASE PYTHON'!$H:$H,'[1]BASE PYTHON'!$I:$I,0)</f>
        <v>1260.17</v>
      </c>
      <c r="K17" s="20">
        <f>Tabela5[[#This Row],[COMPROMISSO]]-Tabela5[[#This Row],[ATINGIDO]]</f>
        <v>4029.83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75300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96067.199999999953</v>
      </c>
      <c r="Q17" s="2">
        <f>Tabela8[[#This Row],[COMPROMISSO]]-Tabela8[[#This Row],[ATINGIDO]]</f>
        <v>-20767.199999999953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>VLOOKUP(Tabela2[[#This Row],[REFERENCIA]],'[1]BASE PYTHON'!$K:$N,'[1]BASE PYTHON'!L$1,0)</f>
        <v>18</v>
      </c>
      <c r="W17" s="17">
        <f t="shared" si="0"/>
        <v>2</v>
      </c>
      <c r="Y17" s="32" t="s">
        <v>14</v>
      </c>
      <c r="Z17" s="30">
        <f>_xlfn.XLOOKUP(Tabela17[[#This Row],[VENDEDOR]],[1]!Tabela4[VENDEDOR],[1]!Tabela4[META A])</f>
        <v>20</v>
      </c>
      <c r="AA17" s="28">
        <f>_xlfn.XLOOKUP(Tabela17[[#This Row],[VENDEDOR]],[1]!Tabela4[VENDEDOR],[1]!Tabela4[META B])</f>
        <v>17</v>
      </c>
      <c r="AB17" s="28">
        <f>_xlfn.XLOOKUP(Tabela17[[#This Row],[VENDEDOR]],[1]!Tabela4[VENDEDOR],[1]!Tabela4[META C])</f>
        <v>14</v>
      </c>
      <c r="AC17" s="28">
        <f>_xlfn.XLOOKUP(Tabela17[[#This Row],[VENDEDOR]],[1]!Tabela4[VENDEDOR],[1]!Tabela4[META D])</f>
        <v>9</v>
      </c>
      <c r="AD17" s="29">
        <f>IFERROR(_xlfn.XLOOKUP(Y17,'[1]BASE PYTHON'!$K:$K,'[1]BASE PYTHON'!$N:$N,0),0)</f>
        <v>13</v>
      </c>
      <c r="AE17" s="29" t="str" cm="1">
        <f t="array" ref="AE17">_xlfn.IFS(AD17&gt;=Z17,"A",AD17&gt;=AA17,"B",AD17&gt;=AB17,"C",AD17&gt;=AC17,"D",TRUE,"NÃO ATINGIDO")</f>
        <v>D</v>
      </c>
      <c r="AF17" s="29" t="str" cm="1">
        <f t="array" ref="AF17">_xlfn.IFS(AE17="NÃO ATINGIDO","D",AE17="D","C",AE17="C","B",AE17="B","A",AE17="A","OBJETIVO ALCANÇADO")</f>
        <v>C</v>
      </c>
      <c r="AG17" s="29" cm="1">
        <f t="array" ref="AG17">_xlfn.IFS(AF17="D",MAX(AC17-AD17,0),AF17="C",MAX(AB17-AD17,0),AF17="B",MAX(AA17-AD17,0),AF17="A",MAX(Z17-AD17,0),AF17="OBJETIVO ALCANÇADO",0)</f>
        <v>1</v>
      </c>
      <c r="AI17" t="s">
        <v>14</v>
      </c>
      <c r="AJ17" s="24">
        <f>_xlfn.XLOOKUP(Tabela817[[#This Row],[VENDEDOR]],[1]!Tabela8[VENDEDOR],[1]!Tabela8[META A])</f>
        <v>145000</v>
      </c>
      <c r="AK17" s="24">
        <f>_xlfn.XLOOKUP(Tabela817[[#This Row],[VENDEDOR]],[1]!Tabela8[VENDEDOR],[1]!Tabela8[META B])</f>
        <v>123250</v>
      </c>
      <c r="AL17" s="24">
        <f>_xlfn.XLOOKUP(Tabela817[[#This Row],[VENDEDOR]],[1]!Tabela8[VENDEDOR],[1]!Tabela8[META C])</f>
        <v>86275</v>
      </c>
      <c r="AM17" s="24">
        <f>_xlfn.XLOOKUP(Tabela817[[#This Row],[VENDEDOR]],[1]!Tabela8[VENDEDOR],[1]!Tabela8[META D])</f>
        <v>65250</v>
      </c>
      <c r="AN17" s="25">
        <f>IFERROR(_xlfn.XLOOKUP(AI17,'[1]BASE PYTHON'!$E:$E,'[1]BASE PYTHON'!$F:$F,0),0)</f>
        <v>37716.86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27533.14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278696.59999999986</v>
      </c>
      <c r="E18" s="43">
        <f>Tabela13[[#This Row],[META A]]-Tabela13[[#This Row],[ATINGIDO]]</f>
        <v>701303.40000000014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4600</v>
      </c>
      <c r="J18" s="19">
        <f>_xlfn.XLOOKUP(Tabela5[[#This Row],[REFERENCIA]],'[1]BASE PYTHON'!$H:$H,'[1]BASE PYTHON'!$I:$I,0)</f>
        <v>564.90000000000009</v>
      </c>
      <c r="K18" s="20">
        <f>Tabela5[[#This Row],[COMPROMISSO]]-Tabela5[[#This Row],[ATINGIDO]]</f>
        <v>4035.1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>VLOOKUP(Tabela2[[#This Row],[REFERENCIA]],'[1]BASE PYTHON'!$K:$N,'[1]BASE PYTHON'!L$1,0)</f>
        <v>20</v>
      </c>
      <c r="W18" s="17">
        <f t="shared" si="0"/>
        <v>0</v>
      </c>
      <c r="Y18" s="33" t="s">
        <v>21</v>
      </c>
      <c r="Z18" s="30">
        <f>_xlfn.XLOOKUP(Tabela17[[#This Row],[VENDEDOR]],[1]!Tabela4[VENDEDOR],[1]!Tabela4[META A])</f>
        <v>20</v>
      </c>
      <c r="AA18" s="30">
        <f>_xlfn.XLOOKUP(Tabela17[[#This Row],[VENDEDOR]],[1]!Tabela4[VENDEDOR],[1]!Tabela4[META B])</f>
        <v>17</v>
      </c>
      <c r="AB18" s="30">
        <f>_xlfn.XLOOKUP(Tabela17[[#This Row],[VENDEDOR]],[1]!Tabela4[VENDEDOR],[1]!Tabela4[META C])</f>
        <v>14</v>
      </c>
      <c r="AC18" s="30">
        <f>_xlfn.XLOOKUP(Tabela17[[#This Row],[VENDEDOR]],[1]!Tabela4[VENDEDOR],[1]!Tabela4[META D])</f>
        <v>9</v>
      </c>
      <c r="AD18" s="31">
        <f>IFERROR(_xlfn.XLOOKUP(Y18,'[1]BASE PYTHON'!$K:$K,'[1]BASE PYTHON'!$N:$N,0),0)</f>
        <v>16</v>
      </c>
      <c r="AE18" s="31" t="str" cm="1">
        <f t="array" ref="AE18">_xlfn.IFS(AD18&gt;=Z18,"A",AD18&gt;=AA18,"B",AD18&gt;=AB18,"C",AD18&gt;=AC18,"D",TRUE,"NÃO ATINGIDO")</f>
        <v>C</v>
      </c>
      <c r="AF18" s="31" t="str" cm="1">
        <f t="array" ref="AF18">_xlfn.IFS(AE18="NÃO ATINGIDO","D",AE18="D","C",AE18="C","B",AE18="B","A",AE18="A","OBJETIVO ALCANÇADO")</f>
        <v>B</v>
      </c>
      <c r="AG18" s="31" cm="1">
        <f t="array" ref="AG18">_xlfn.IFS(AF18="D",MAX(AC18-AD18,0),AF18="C",MAX(AB18-AD18,0),AF18="B",MAX(AA18-AD18,0),AF18="A",MAX(Z18-AD18,0),AF18="OBJETIVO ALCANÇADO",0)</f>
        <v>1</v>
      </c>
      <c r="AI18" t="s">
        <v>21</v>
      </c>
      <c r="AJ18" s="24">
        <f>_xlfn.XLOOKUP(Tabela817[[#This Row],[VENDEDOR]],[1]!Tabela8[VENDEDOR],[1]!Tabela8[META A])</f>
        <v>265000</v>
      </c>
      <c r="AK18" s="24">
        <f>_xlfn.XLOOKUP(Tabela817[[#This Row],[VENDEDOR]],[1]!Tabela8[VENDEDOR],[1]!Tabela8[META B])</f>
        <v>225250</v>
      </c>
      <c r="AL18" s="24">
        <f>_xlfn.XLOOKUP(Tabela817[[#This Row],[VENDEDOR]],[1]!Tabela8[VENDEDOR],[1]!Tabela8[META C])</f>
        <v>157675</v>
      </c>
      <c r="AM18" s="24">
        <f>_xlfn.XLOOKUP(Tabela817[[#This Row],[VENDEDOR]],[1]!Tabela8[VENDEDOR],[1]!Tabela8[META D])</f>
        <v>119250</v>
      </c>
      <c r="AN18" s="25">
        <f>IFERROR(_xlfn.XLOOKUP(AI18,'[1]BASE PYTHON'!$E:$E,'[1]BASE PYTHON'!$F:$F,0),0)</f>
        <v>88243.539999999979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31006.460000000021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15180.599999999999</v>
      </c>
      <c r="E19" s="43">
        <f>Tabela13[[#This Row],[META A]]-Tabela13[[#This Row],[ATINGIDO]]</f>
        <v>126819.4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6700</v>
      </c>
      <c r="J19" s="19">
        <f>_xlfn.XLOOKUP(Tabela5[[#This Row],[REFERENCIA]],'[1]BASE PYTHON'!$H:$H,'[1]BASE PYTHON'!$I:$I,0)</f>
        <v>5568.24</v>
      </c>
      <c r="K19" s="20">
        <f>Tabela5[[#This Row],[COMPROMISSO]]-Tabela5[[#This Row],[ATINGIDO]]</f>
        <v>1131.7600000000002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>VLOOKUP(Tabela2[[#This Row],[REFERENCIA]],'[1]BASE PYTHON'!$K:$N,'[1]BASE PYTHON'!L$1,0)</f>
        <v>18</v>
      </c>
      <c r="W19" s="17">
        <f t="shared" si="0"/>
        <v>2</v>
      </c>
      <c r="Y19" s="32" t="s">
        <v>16</v>
      </c>
      <c r="Z19" s="30">
        <f>_xlfn.XLOOKUP(Tabela17[[#This Row],[VENDEDOR]],[1]!Tabela4[VENDEDOR],[1]!Tabela4[META A])</f>
        <v>20</v>
      </c>
      <c r="AA19" s="28">
        <f>_xlfn.XLOOKUP(Tabela17[[#This Row],[VENDEDOR]],[1]!Tabela4[VENDEDOR],[1]!Tabela4[META B])</f>
        <v>17</v>
      </c>
      <c r="AB19" s="28">
        <f>_xlfn.XLOOKUP(Tabela17[[#This Row],[VENDEDOR]],[1]!Tabela4[VENDEDOR],[1]!Tabela4[META C])</f>
        <v>14</v>
      </c>
      <c r="AC19" s="28">
        <f>_xlfn.XLOOKUP(Tabela17[[#This Row],[VENDEDOR]],[1]!Tabela4[VENDEDOR],[1]!Tabela4[META D])</f>
        <v>9</v>
      </c>
      <c r="AD19" s="29">
        <f>IFERROR(_xlfn.XLOOKUP(Y19,'[1]BASE PYTHON'!$K:$K,'[1]BASE PYTHON'!$N:$N,0),0)</f>
        <v>4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5</v>
      </c>
      <c r="AI19" t="s">
        <v>16</v>
      </c>
      <c r="AJ19" s="24">
        <f>_xlfn.XLOOKUP(Tabela817[[#This Row],[VENDEDOR]],[1]!Tabela8[VENDEDOR],[1]!Tabela8[META A])</f>
        <v>80000</v>
      </c>
      <c r="AK19" s="24">
        <f>_xlfn.XLOOKUP(Tabela817[[#This Row],[VENDEDOR]],[1]!Tabela8[VENDEDOR],[1]!Tabela8[META B])</f>
        <v>68000</v>
      </c>
      <c r="AL19" s="24">
        <f>_xlfn.XLOOKUP(Tabela817[[#This Row],[VENDEDOR]],[1]!Tabela8[VENDEDOR],[1]!Tabela8[META C])</f>
        <v>47600</v>
      </c>
      <c r="AM19" s="24">
        <f>_xlfn.XLOOKUP(Tabela817[[#This Row],[VENDEDOR]],[1]!Tabela8[VENDEDOR],[1]!Tabela8[META D])</f>
        <v>36000</v>
      </c>
      <c r="AN19" s="25">
        <f>IFERROR(_xlfn.XLOOKUP(AI19,'[1]BASE PYTHON'!$E:$E,'[1]BASE PYTHON'!$F:$F,0),0)</f>
        <v>23163.919999999998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12836.080000000002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129134.2</v>
      </c>
      <c r="E20" s="43">
        <f>Tabela13[[#This Row],[META A]]-Tabela13[[#This Row],[ATINGIDO]]</f>
        <v>450865.8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19310</v>
      </c>
      <c r="J20" s="19">
        <f>_xlfn.XLOOKUP(Tabela5[[#This Row],[REFERENCIA]],'[1]BASE PYTHON'!$H:$H,'[1]BASE PYTHON'!$I:$I,0)</f>
        <v>8060.1499999999987</v>
      </c>
      <c r="K20" s="20">
        <f>Tabela5[[#This Row],[COMPROMISSO]]-Tabela5[[#This Row],[ATINGIDO]]</f>
        <v>11249.850000000002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>VLOOKUP(Tabela2[[#This Row],[REFERENCIA]],'[1]BASE PYTHON'!$K:$N,'[1]BASE PYTHON'!L$1,0)</f>
        <v>13</v>
      </c>
      <c r="W20" s="17">
        <f t="shared" si="0"/>
        <v>7</v>
      </c>
      <c r="Y20" s="33" t="s">
        <v>15</v>
      </c>
      <c r="Z20" s="30">
        <f>_xlfn.XLOOKUP(Tabela17[[#This Row],[VENDEDOR]],[1]!Tabela4[VENDEDOR],[1]!Tabela4[META A])</f>
        <v>20</v>
      </c>
      <c r="AA20" s="30">
        <f>_xlfn.XLOOKUP(Tabela17[[#This Row],[VENDEDOR]],[1]!Tabela4[VENDEDOR],[1]!Tabela4[META B])</f>
        <v>17</v>
      </c>
      <c r="AB20" s="30">
        <f>_xlfn.XLOOKUP(Tabela17[[#This Row],[VENDEDOR]],[1]!Tabela4[VENDEDOR],[1]!Tabela4[META C])</f>
        <v>14</v>
      </c>
      <c r="AC20" s="30">
        <f>_xlfn.XLOOKUP(Tabela17[[#This Row],[VENDEDOR]],[1]!Tabela4[VENDEDOR],[1]!Tabela4[META D])</f>
        <v>9</v>
      </c>
      <c r="AD20" s="31">
        <f>IFERROR(_xlfn.XLOOKUP(Y20,'[1]BASE PYTHON'!$K:$K,'[1]BASE PYTHON'!$N:$N,0),0)</f>
        <v>6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3</v>
      </c>
      <c r="AI20" t="s">
        <v>15</v>
      </c>
      <c r="AJ20" s="24">
        <f>_xlfn.XLOOKUP(Tabela817[[#This Row],[VENDEDOR]],[1]!Tabela8[VENDEDOR],[1]!Tabela8[META A])</f>
        <v>147000</v>
      </c>
      <c r="AK20" s="24">
        <f>_xlfn.XLOOKUP(Tabela817[[#This Row],[VENDEDOR]],[1]!Tabela8[VENDEDOR],[1]!Tabela8[META B])</f>
        <v>124950</v>
      </c>
      <c r="AL20" s="24">
        <f>_xlfn.XLOOKUP(Tabela817[[#This Row],[VENDEDOR]],[1]!Tabela8[VENDEDOR],[1]!Tabela8[META C])</f>
        <v>87465</v>
      </c>
      <c r="AM20" s="24">
        <f>_xlfn.XLOOKUP(Tabela817[[#This Row],[VENDEDOR]],[1]!Tabela8[VENDEDOR],[1]!Tabela8[META D])</f>
        <v>66150</v>
      </c>
      <c r="AN20" s="25">
        <f>IFERROR(_xlfn.XLOOKUP(AI20,'[1]BASE PYTHON'!$E:$E,'[1]BASE PYTHON'!$F:$F,0),0)</f>
        <v>43221.420000000027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22928.579999999973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67342.790000000008</v>
      </c>
      <c r="E21" s="43">
        <f>Tabela13[[#This Row],[META A]]-Tabela13[[#This Row],[ATINGIDO]]</f>
        <v>412657.20999999996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2800</v>
      </c>
      <c r="J21" s="19">
        <f>_xlfn.XLOOKUP(Tabela5[[#This Row],[REFERENCIA]],'[1]BASE PYTHON'!$H:$H,'[1]BASE PYTHON'!$I:$I,0)</f>
        <v>863.45999999999992</v>
      </c>
      <c r="K21" s="20">
        <f>Tabela5[[#This Row],[COMPROMISSO]]-Tabela5[[#This Row],[ATINGIDO]]</f>
        <v>1936.54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>VLOOKUP(Tabela2[[#This Row],[REFERENCIA]],'[1]BASE PYTHON'!$K:$N,'[1]BASE PYTHON'!L$1,0)</f>
        <v>8</v>
      </c>
      <c r="W21" s="17">
        <f t="shared" ref="W21:W26" si="1">U21-V21</f>
        <v>12</v>
      </c>
      <c r="Y21" s="36" t="s">
        <v>60</v>
      </c>
      <c r="Z21" s="37">
        <f>SUBTOTAL(109,Planilha1!$Z$3:$Z$20)</f>
        <v>419</v>
      </c>
      <c r="AA21" s="37">
        <f>SUBTOTAL(109,Planilha1!$AA$3:$AA$20)</f>
        <v>357</v>
      </c>
      <c r="AB21" s="37">
        <f>SUBTOTAL(109,Planilha1!$AB$3:$AB$20)</f>
        <v>294</v>
      </c>
      <c r="AC21" s="37">
        <f>SUBTOTAL(109,Planilha1!$AC$3:$AC$20)</f>
        <v>189</v>
      </c>
      <c r="AD21" s="37">
        <f>SUBTOTAL(109,Planilha1!$AD$3:$AD$20)</f>
        <v>203</v>
      </c>
      <c r="AE21" s="37"/>
      <c r="AF21" s="37"/>
      <c r="AG21" s="38">
        <f>SUBTOTAL(109,Planilha1!$AG$3:$AG$20)</f>
        <v>72</v>
      </c>
      <c r="AI21" t="s">
        <v>60</v>
      </c>
      <c r="AJ21" s="26">
        <f>SUBTOTAL(109,Tabela817[META A])</f>
        <v>2919500</v>
      </c>
      <c r="AK21" s="26">
        <f>SUBTOTAL(109,Tabela817[META B])</f>
        <v>2481575</v>
      </c>
      <c r="AL21" s="26">
        <f>SUBTOTAL(109,Tabela817[META C])</f>
        <v>1737104</v>
      </c>
      <c r="AM21" s="26">
        <f>SUBTOTAL(109,Tabela817[META D])</f>
        <v>1313775</v>
      </c>
      <c r="AN21" s="26">
        <f>SUBTOTAL(109,Tabela817[ATINGIDO])</f>
        <v>898572.40000000037</v>
      </c>
      <c r="AO21" s="4"/>
      <c r="AP21" s="4"/>
      <c r="AQ21" s="27">
        <f>SUBTOTAL(109,Tabela817[FALTA])</f>
        <v>415202.5999999998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24615.470000000005</v>
      </c>
      <c r="E22" s="43">
        <f>Tabela13[[#This Row],[META A]]-Tabela13[[#This Row],[ATINGIDO]]</f>
        <v>97384.53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6430</v>
      </c>
      <c r="J22" s="19">
        <f>_xlfn.XLOOKUP(Tabela5[[#This Row],[REFERENCIA]],'[1]BASE PYTHON'!$H:$H,'[1]BASE PYTHON'!$I:$I,0)</f>
        <v>2153.5600000000004</v>
      </c>
      <c r="K22" s="20">
        <f>Tabela5[[#This Row],[COMPROMISSO]]-Tabela5[[#This Row],[ATINGIDO]]</f>
        <v>4276.4399999999996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542273.78000000026</v>
      </c>
      <c r="Q22" s="7">
        <f>O22-P22</f>
        <v>25726.219999999739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>VLOOKUP(Tabela2[[#This Row],[REFERENCIA]],'[1]BASE PYTHON'!$K:$N,'[1]BASE PYTHON'!L$1,0)</f>
        <v>10</v>
      </c>
      <c r="W22" s="17">
        <f t="shared" si="1"/>
        <v>10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72760.275000000052</v>
      </c>
      <c r="E23" s="43">
        <f>Tabela13[[#This Row],[META A]]-Tabela13[[#This Row],[ATINGIDO]]</f>
        <v>130239.72499999995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3370</v>
      </c>
      <c r="J23" s="19">
        <f>_xlfn.XLOOKUP(Tabela5[[#This Row],[REFERENCIA]],'[1]BASE PYTHON'!$H:$H,'[1]BASE PYTHON'!$I:$I,0)</f>
        <v>0</v>
      </c>
      <c r="K23" s="20">
        <f>Tabela5[[#This Row],[COMPROMISSO]]-Tabela5[[#This Row],[ATINGIDO]]</f>
        <v>3370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>VLOOKUP(Tabela2[[#This Row],[REFERENCIA]],'[1]BASE PYTHON'!$K:$N,'[1]BASE PYTHON'!L$1,0)</f>
        <v>16</v>
      </c>
      <c r="W23" s="17">
        <f t="shared" si="1"/>
        <v>4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37716.86</v>
      </c>
      <c r="E24" s="43">
        <f>Tabela13[[#This Row],[META A]]-Tabela13[[#This Row],[ATINGIDO]]</f>
        <v>107283.14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4430</v>
      </c>
      <c r="J24" s="19">
        <f>_xlfn.XLOOKUP(Tabela5[[#This Row],[REFERENCIA]],'[1]BASE PYTHON'!$H:$H,'[1]BASE PYTHON'!$I:$I,0)</f>
        <v>525</v>
      </c>
      <c r="K24" s="20">
        <f>Tabela5[[#This Row],[COMPROMISSO]]-Tabela5[[#This Row],[ATINGIDO]]</f>
        <v>3905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>VLOOKUP(Tabela2[[#This Row],[REFERENCIA]],'[1]BASE PYTHON'!$K:$N,'[1]BASE PYTHON'!L$1,0)</f>
        <v>8</v>
      </c>
      <c r="W24" s="17">
        <f t="shared" si="1"/>
        <v>12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43221.420000000027</v>
      </c>
      <c r="E25" s="43">
        <f>Tabela13[[#This Row],[META A]]-Tabela13[[#This Row],[ATINGIDO]]</f>
        <v>103778.57999999997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3250</v>
      </c>
      <c r="J25" s="19">
        <f>_xlfn.XLOOKUP(Tabela5[[#This Row],[REFERENCIA]],'[1]BASE PYTHON'!$H:$H,'[1]BASE PYTHON'!$I:$I,0)</f>
        <v>1228.7800000000002</v>
      </c>
      <c r="K25" s="20">
        <f>Tabela5[[#This Row],[COMPROMISSO]]-Tabela5[[#This Row],[ATINGIDO]]</f>
        <v>2021.2199999999998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426000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>VLOOKUP(Tabela2[[#This Row],[REFERENCIA]],'[1]BASE PYTHON'!$K:$N,'[1]BASE PYTHON'!L$1,0)</f>
        <v>6</v>
      </c>
      <c r="W25" s="17">
        <f t="shared" si="1"/>
        <v>14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23163.919999999998</v>
      </c>
      <c r="E26" s="43">
        <f>Tabela13[[#This Row],[META A]]-Tabela13[[#This Row],[ATINGIDO]]</f>
        <v>56836.08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3820</v>
      </c>
      <c r="J26" s="19">
        <f>_xlfn.XLOOKUP(Tabela5[[#This Row],[REFERENCIA]],'[1]BASE PYTHON'!$H:$H,'[1]BASE PYTHON'!$I:$I,0)</f>
        <v>346.6</v>
      </c>
      <c r="K26" s="20">
        <f>Tabela5[[#This Row],[COMPROMISSO]]-Tabela5[[#This Row],[ATINGIDO]]</f>
        <v>3473.4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>VLOOKUP(Tabela2[[#This Row],[REFERENCIA]],'[1]BASE PYTHON'!$K:$N,'[1]BASE PYTHON'!L$1,0)</f>
        <v>10</v>
      </c>
      <c r="W26" s="17">
        <f t="shared" si="1"/>
        <v>10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81089.890000000101</v>
      </c>
      <c r="E27" s="43">
        <f>Tabela13[[#This Row],[META A]]-Tabela13[[#This Row],[ATINGIDO]]</f>
        <v>163910.1099999999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5390</v>
      </c>
      <c r="J27" s="19">
        <f>_xlfn.XLOOKUP(Tabela5[[#This Row],[REFERENCIA]],'[1]BASE PYTHON'!$H:$H,'[1]BASE PYTHON'!$I:$I,0)</f>
        <v>1794.1</v>
      </c>
      <c r="K27" s="20">
        <f>Tabela5[[#This Row],[COMPROMISSO]]-Tabela5[[#This Row],[ATINGIDO]]</f>
        <v>3595.9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104758.34500000006</v>
      </c>
      <c r="E28" s="43">
        <f>Tabela13[[#This Row],[META A]]-Tabela13[[#This Row],[ATINGIDO]]</f>
        <v>221741.65499999994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35568.17000000002</v>
      </c>
      <c r="E30" s="43">
        <f>Tabela13[[#This Row],[META A]]-Tabela13[[#This Row],[ATINGIDO]]</f>
        <v>106431.82999999999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3].[SEMANAL]","[Intervalo 3].[SEMANAL].&amp;[1]"),0)</f>
        <v>149</v>
      </c>
      <c r="W30" s="6">
        <f>U30-V30</f>
        <v>-84.238095238095241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60485.700000000019</v>
      </c>
      <c r="E31" s="43">
        <f>Tabela13[[#This Row],[META A]]-Tabela13[[#This Row],[ATINGIDO]]</f>
        <v>109514.29999999999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415668.52000000159</v>
      </c>
      <c r="K31" s="7">
        <f>I31-J31</f>
        <v>140426.71809523652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3].[SEMANAL]","[Intervalo 3].[SEMANAL].&amp;[2]"),0)</f>
        <v>52</v>
      </c>
      <c r="W31" s="6">
        <f t="shared" ref="W31:W33" si="2">U31-V31</f>
        <v>12.761904761904759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88243.539999999979</v>
      </c>
      <c r="E32" s="43">
        <f>Tabela13[[#This Row],[META A]]-Tabela13[[#This Row],[ATINGIDO]]</f>
        <v>176756.46000000002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410143.60500000103</v>
      </c>
      <c r="K32" s="7">
        <f t="shared" ref="K32:K34" si="3">I32-J32</f>
        <v>145951.63309523708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3].[SEMANAL]","[Intervalo 3].[SEMANAL].&amp;[3]"),0)</f>
        <v>0</v>
      </c>
      <c r="W32" s="6">
        <f t="shared" si="2"/>
        <v>80.952380952380949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24745.78</v>
      </c>
      <c r="E33" s="43">
        <f>Tabela13[[#This Row],[META A]]-Tabela13[[#This Row],[ATINGIDO]]</f>
        <v>60254.22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3].[SEMANAL]","[Intervalo 3].[SEMANAL].&amp;[4]"),0)</f>
        <v>0</v>
      </c>
      <c r="W33" s="6">
        <f t="shared" si="2"/>
        <v>80.952380952380949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18257.059999999998</v>
      </c>
      <c r="E34" s="43">
        <f>Tabela13[[#This Row],[META A]]-Tabela13[[#This Row],[ATINGIDO]]</f>
        <v>36742.94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19369.940000000002</v>
      </c>
      <c r="E35" s="43">
        <f>Tabela13[[#This Row],[META A]]-Tabela13[[#This Row],[ATINGIDO]]</f>
        <v>57130.06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0</v>
      </c>
      <c r="K35" s="7">
        <f>I35-J35</f>
        <v>417071.42857142858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617118.84000000393</v>
      </c>
      <c r="E40" s="7">
        <f>C40-D40</f>
        <v>507166.87428571039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992637.29000000365</v>
      </c>
      <c r="E41" s="7">
        <f t="shared" ref="E41:E43" si="4">C41-D41</f>
        <v>131648.42428571067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843214.28571428568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2026-09-10T16:11:19Z</dcterms:modified>
</cp:coreProperties>
</file>