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80BB754-168F-4AE0-B070-0AE48CF8C55B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0" i="2"/>
  <c r="V31" i="2"/>
  <c r="V34" i="2"/>
  <c r="V33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3" i="2"/>
  <c r="P21" i="2"/>
  <c r="D40" i="2"/>
  <c r="P24" i="2"/>
  <c r="J35" i="2"/>
  <c r="J31" i="2"/>
  <c r="D42" i="2"/>
  <c r="D41" i="2"/>
  <c r="D43" i="2"/>
  <c r="P23" i="2"/>
  <c r="J32" i="2"/>
  <c r="J34" i="2"/>
  <c r="P22" i="2"/>
  <c r="D39" i="2"/>
  <c r="P25" i="2"/>
  <c r="K16" i="2" l="1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<sst xmlns="http://schemas.openxmlformats.org/spreadsheetml/2006/main" count="213" uniqueCount="54">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</sst>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16/07/2026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26930.750000000011</v>
          </cell>
          <cell r="H5" t="str">
            <v>CAMPINAS</v>
          </cell>
          <cell r="I5">
            <v>1304.31</v>
          </cell>
        </row>
        <row r="6">
          <cell r="E6" t="str">
            <v>CENTRO</v>
          </cell>
          <cell r="F6">
            <v>183405.49</v>
          </cell>
          <cell r="H6" t="str">
            <v>CENTRO</v>
          </cell>
          <cell r="I6">
            <v>8353.8999999999978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INDAIATUBA</v>
          </cell>
          <cell r="I7">
            <v>2265.44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100.09</v>
          </cell>
          <cell r="H8" t="str">
            <v>INTERLAGOS</v>
          </cell>
          <cell r="I8">
            <v>3766.8999999999996</v>
          </cell>
          <cell r="K8" t="str">
            <v>CENTRO</v>
          </cell>
          <cell r="N8">
            <v>34</v>
          </cell>
        </row>
        <row r="9">
          <cell r="E9" t="str">
            <v>INDAIATUBA</v>
          </cell>
          <cell r="F9">
            <v>37140.380000000012</v>
          </cell>
          <cell r="H9" t="str">
            <v>JUNDIAI</v>
          </cell>
          <cell r="I9">
            <v>791.7600000000001</v>
          </cell>
          <cell r="K9" t="str">
            <v>INDAIATUBA</v>
          </cell>
          <cell r="N9">
            <v>29</v>
          </cell>
        </row>
        <row r="10">
          <cell r="E10" t="str">
            <v>INTERLAGOS</v>
          </cell>
          <cell r="F10">
            <v>112730.67999999986</v>
          </cell>
          <cell r="H10" t="str">
            <v>KEY ABC</v>
          </cell>
          <cell r="I10">
            <v>13637.5</v>
          </cell>
          <cell r="K10" t="str">
            <v>JUNDIAI</v>
          </cell>
          <cell r="N10">
            <v>16</v>
          </cell>
        </row>
        <row r="11">
          <cell r="E11" t="str">
            <v>JUNDIAI</v>
          </cell>
          <cell r="F11">
            <v>40022.410000000025</v>
          </cell>
          <cell r="H11" t="str">
            <v>KEY SJC</v>
          </cell>
          <cell r="I11">
            <v>4337</v>
          </cell>
          <cell r="K11" t="str">
            <v>LESTE</v>
          </cell>
          <cell r="N11">
            <v>25</v>
          </cell>
        </row>
        <row r="12">
          <cell r="E12" t="str">
            <v>KEY ABC</v>
          </cell>
          <cell r="F12">
            <v>174575.71999999997</v>
          </cell>
          <cell r="H12" t="str">
            <v>KEY SP</v>
          </cell>
          <cell r="I12">
            <v>11566.400000000001</v>
          </cell>
          <cell r="K12" t="str">
            <v>LESTE PENHA</v>
          </cell>
          <cell r="N12">
            <v>16</v>
          </cell>
        </row>
        <row r="13">
          <cell r="E13" t="str">
            <v>KEY CASA</v>
          </cell>
          <cell r="F13">
            <v>161197.35999999999</v>
          </cell>
          <cell r="H13" t="str">
            <v>KEY ZL</v>
          </cell>
          <cell r="I13">
            <v>3075.6</v>
          </cell>
          <cell r="K13" t="str">
            <v>LESTE TATUAPE</v>
          </cell>
          <cell r="N13">
            <v>23</v>
          </cell>
        </row>
        <row r="14">
          <cell r="E14" t="str">
            <v>KEY INTERIOR</v>
          </cell>
          <cell r="F14">
            <v>513142.70000000019</v>
          </cell>
          <cell r="H14" t="str">
            <v>LESTE</v>
          </cell>
          <cell r="I14">
            <v>856.4</v>
          </cell>
          <cell r="K14" t="str">
            <v>NORTE</v>
          </cell>
          <cell r="N14">
            <v>30</v>
          </cell>
        </row>
        <row r="15">
          <cell r="E15" t="str">
            <v>KEY PIRACICABA</v>
          </cell>
          <cell r="F15">
            <v>60082.260000000017</v>
          </cell>
          <cell r="H15" t="str">
            <v>LESTE MOOCA</v>
          </cell>
          <cell r="I15">
            <v>1293</v>
          </cell>
          <cell r="K15" t="str">
            <v>OSASCO</v>
          </cell>
          <cell r="N15">
            <v>45</v>
          </cell>
        </row>
        <row r="16">
          <cell r="E16" t="str">
            <v>KEY SJC</v>
          </cell>
          <cell r="F16">
            <v>40755.899999999994</v>
          </cell>
          <cell r="H16" t="str">
            <v>LESTE PENHA</v>
          </cell>
          <cell r="I16">
            <v>2052.5499999999997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181399.52000000014</v>
          </cell>
          <cell r="H17" t="str">
            <v>LESTE TATUAPE</v>
          </cell>
          <cell r="I17">
            <v>1434.75</v>
          </cell>
          <cell r="K17" t="str">
            <v>SANTO ANDRE</v>
          </cell>
          <cell r="N17">
            <v>22</v>
          </cell>
        </row>
        <row r="18">
          <cell r="E18" t="str">
            <v>KEY ZL</v>
          </cell>
          <cell r="F18">
            <v>206904.88</v>
          </cell>
          <cell r="H18" t="str">
            <v>MOGI</v>
          </cell>
          <cell r="I18">
            <v>2197.6</v>
          </cell>
          <cell r="K18" t="str">
            <v>SJC</v>
          </cell>
          <cell r="N18">
            <v>19</v>
          </cell>
        </row>
        <row r="19">
          <cell r="E19" t="str">
            <v>LESTE</v>
          </cell>
          <cell r="F19">
            <v>50153.310000000019</v>
          </cell>
          <cell r="H19" t="str">
            <v>NORTE</v>
          </cell>
          <cell r="I19">
            <v>11377.999999999998</v>
          </cell>
          <cell r="K19" t="str">
            <v>Total Geral</v>
          </cell>
          <cell r="N19">
            <v>286</v>
          </cell>
        </row>
        <row r="20">
          <cell r="E20" t="str">
            <v>LESTE MOOCA</v>
          </cell>
          <cell r="F20">
            <v>88647.899999999878</v>
          </cell>
          <cell r="H20" t="str">
            <v>OSASCO</v>
          </cell>
          <cell r="I20">
            <v>3754.1</v>
          </cell>
        </row>
        <row r="21">
          <cell r="E21" t="str">
            <v>LESTE PENHA</v>
          </cell>
          <cell r="F21">
            <v>66448.430000000008</v>
          </cell>
          <cell r="H21" t="str">
            <v>PIRITUBA</v>
          </cell>
          <cell r="I21">
            <v>2872.3700000000003</v>
          </cell>
        </row>
        <row r="22">
          <cell r="E22" t="str">
            <v>LESTE TATUAPE</v>
          </cell>
          <cell r="F22">
            <v>53035.3100000001</v>
          </cell>
          <cell r="H22" t="str">
            <v>SANTO ANDRE</v>
          </cell>
          <cell r="I22">
            <v>2181.6</v>
          </cell>
        </row>
        <row r="23">
          <cell r="E23" t="str">
            <v>MOGI</v>
          </cell>
          <cell r="F23">
            <v>30794.440000000057</v>
          </cell>
          <cell r="H23" t="str">
            <v>SBC</v>
          </cell>
          <cell r="I23">
            <v>5748.5499999999984</v>
          </cell>
        </row>
        <row r="24">
          <cell r="E24" t="str">
            <v>NORTE</v>
          </cell>
          <cell r="F24">
            <v>126491.28999999985</v>
          </cell>
          <cell r="H24" t="str">
            <v>SJC</v>
          </cell>
          <cell r="I24">
            <v>1222.75</v>
          </cell>
        </row>
        <row r="25">
          <cell r="E25" t="str">
            <v>OSASCO</v>
          </cell>
          <cell r="F25">
            <v>165483.18</v>
          </cell>
          <cell r="H25" t="str">
            <v>SJC/VALE</v>
          </cell>
          <cell r="I25">
            <v>665.54</v>
          </cell>
        </row>
        <row r="26">
          <cell r="E26" t="str">
            <v>PIRITUBA</v>
          </cell>
          <cell r="F26">
            <v>68864.489999999962</v>
          </cell>
          <cell r="H26" t="str">
            <v>VENDEDOR INTERNO 1</v>
          </cell>
          <cell r="I26">
            <v>1040.82</v>
          </cell>
        </row>
        <row r="27">
          <cell r="E27" t="str">
            <v>SANTO ANDRE</v>
          </cell>
          <cell r="F27">
            <v>78667.129999999946</v>
          </cell>
          <cell r="H27" t="str">
            <v>Total Geral</v>
          </cell>
          <cell r="I27">
            <v>85796.839999999982</v>
          </cell>
        </row>
        <row r="28">
          <cell r="E28" t="str">
            <v>SBC</v>
          </cell>
          <cell r="F28">
            <v>126422.29999999987</v>
          </cell>
        </row>
        <row r="29">
          <cell r="E29" t="str">
            <v>SJC</v>
          </cell>
          <cell r="F29">
            <v>44083.920000000042</v>
          </cell>
        </row>
        <row r="30">
          <cell r="E30" t="str">
            <v>SJC/VALE</v>
          </cell>
          <cell r="F30">
            <v>20737.710000000003</v>
          </cell>
        </row>
        <row r="31">
          <cell r="E31" t="str">
            <v>VENDEDOR INTERNO 1</v>
          </cell>
          <cell r="F31">
            <v>38431.760000000009</v>
          </cell>
        </row>
        <row r="32">
          <cell r="E32" t="str">
            <v>Total Geral</v>
          </cell>
          <cell r="F32">
            <v>2697478.2499999623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topLeftCell="A16" zoomScaleNormal="100" workbookViewId="0">
      <selection activeCell="A29" sqref="A29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150013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2696649.3099999996</v>
      </c>
      <c r="D5" s="2"/>
      <c r="E5" s="4"/>
      <c r="F5" s="4"/>
      <c r="G5" s="4"/>
      <c r="H5" s="4" t="s">
        <v>1</v>
      </c>
      <c r="I5" s="7">
        <f>SUM(J10:J27)</f>
        <v>53180.340000000004</v>
      </c>
      <c r="J5" s="4"/>
      <c r="K5" s="4"/>
      <c r="L5" s="4"/>
      <c r="M5" s="4"/>
      <c r="N5" s="4" t="s">
        <v>1</v>
      </c>
      <c r="O5" s="7">
        <f>SUM(P11:P17)</f>
        <v>32616.5</v>
      </c>
      <c r="P5" s="4"/>
      <c r="Q5" s="4"/>
      <c r="R5" s="4"/>
      <c r="S5" s="4"/>
      <c r="T5" s="4" t="s">
        <v>1</v>
      </c>
      <c r="U5" s="4">
        <f>SUM(V10:V26)</f>
        <v>286</v>
      </c>
      <c r="V5" s="4"/>
      <c r="W5" s="4"/>
    </row>
    <row r="6" spans="1:23" x14ac:dyDescent="0.25">
      <c r="A6" s="4"/>
      <c r="B6" s="4" t="s">
        <v>2</v>
      </c>
      <c r="C6" s="2">
        <f>C4-C5</f>
        <v>2894850.6900000004</v>
      </c>
      <c r="D6" s="2"/>
      <c r="E6" s="4"/>
      <c r="F6" s="4"/>
      <c r="G6" s="4"/>
      <c r="H6" s="4" t="s">
        <v>2</v>
      </c>
      <c r="I6" s="7">
        <f>I4-I5</f>
        <v>96832.66</v>
      </c>
      <c r="J6" s="4"/>
      <c r="K6" s="4"/>
      <c r="L6" s="4"/>
      <c r="M6" s="4"/>
      <c r="N6" s="4" t="s">
        <v>2</v>
      </c>
      <c r="O6" s="7">
        <f>O4-O5</f>
        <v>-32616.5</v>
      </c>
      <c r="P6" s="4"/>
      <c r="Q6" s="4"/>
      <c r="R6" s="4"/>
      <c r="S6" s="4"/>
      <c r="T6" s="4" t="s">
        <v>2</v>
      </c>
      <c r="U6" s="4">
        <f>U4-U5</f>
        <v>472</v>
      </c>
      <c r="V6" s="4"/>
      <c r="W6" s="4"/>
    </row>
    <row r="7" spans="1:23" x14ac:dyDescent="0.25">
      <c r="A7" s="4"/>
      <c r="B7" s="4" t="s">
        <v>3</v>
      </c>
      <c r="C7" s="3">
        <f>1-(C6/C4)</f>
        <v>0.4822765465438611</v>
      </c>
      <c r="D7" s="2"/>
      <c r="E7" s="4"/>
      <c r="F7" s="4"/>
      <c r="G7" s="4"/>
      <c r="H7" s="4" t="s">
        <v>3</v>
      </c>
      <c r="I7" s="3">
        <f>1-(I6/I4)</f>
        <v>0.3545048762440588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0.37730870712401055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26930.750000000011</v>
      </c>
      <c r="E10" s="27">
        <f>Tabela13[[#This Row],[META A]]-Tabela13[[#This Row],[ATINGIDO]]</f>
        <v>37569.249999999985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3754.1</v>
      </c>
      <c r="K10" s="23">
        <f>Tabela5[[#This Row],[COMPROMISSO]]-Tabela5[[#This Row],[ATINGIDO]]</f>
        <v>13245.9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183405.49</v>
      </c>
      <c r="E11" s="24">
        <f>Tabela13[[#This Row],[META A]]-Tabela13[[#This Row],[ATINGIDO]]</f>
        <v>141594.51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11850</v>
      </c>
      <c r="J11" s="22">
        <f>_xlfn.XLOOKUP(Tabela5[[#This Row],[VENDEDOR]],'[1]BASE PYTHON'!$H:$H,'[1]BASE PYTHON'!$I:$I,0)</f>
        <v>11377.999999999998</v>
      </c>
      <c r="K11" s="23">
        <f>Tabela5[[#This Row],[COMPROMISSO]]-Tabela5[[#This Row],[ATINGIDO]]</f>
        <v>472.00000000000182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13637.5</v>
      </c>
      <c r="Q11" s="2">
        <f>O11-P11</f>
        <v>-13637.5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34</v>
      </c>
      <c r="W11" s="19">
        <f t="shared" ref="W11:W20" si="0">U11-V11</f>
        <v>18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100.09</v>
      </c>
      <c r="E12" s="27">
        <f>Tabela13[[#This Row],[META A]]-Tabela13[[#This Row],[ATINGIDO]]</f>
        <v>899.91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9000</v>
      </c>
      <c r="J12" s="22">
        <f>_xlfn.XLOOKUP(Tabela5[[#This Row],[VENDEDOR]],'[1]BASE PYTHON'!$H:$H,'[1]BASE PYTHON'!$I:$I,0)</f>
        <v>2872.3700000000003</v>
      </c>
      <c r="K12" s="23">
        <f>Tabela5[[#This Row],[COMPROMISSO]]-Tabela5[[#This Row],[ATINGIDO]]</f>
        <v>6127.6299999999992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29</v>
      </c>
      <c r="W12" s="19">
        <f t="shared" si="0"/>
        <v>12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37140.380000000012</v>
      </c>
      <c r="E13" s="24">
        <f>Tabela13[[#This Row],[META A]]-Tabela13[[#This Row],[ATINGIDO]]</f>
        <v>52859.619999999988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5748.5499999999984</v>
      </c>
      <c r="K13" s="23">
        <f>Tabela5[[#This Row],[COMPROMISSO]]-Tabela5[[#This Row],[ATINGIDO]]</f>
        <v>9251.4500000000007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3075.6</v>
      </c>
      <c r="Q13" s="2">
        <f t="shared" ref="Q13:Q17" si="1">O13-P13</f>
        <v>-3075.6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112730.67999999986</v>
      </c>
      <c r="E14" s="27">
        <f>Tabela13[[#This Row],[META A]]-Tabela13[[#This Row],[ATINGIDO]]</f>
        <v>160269.32000000012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5324</v>
      </c>
      <c r="J14" s="22">
        <f>_xlfn.XLOOKUP(Tabela5[[#This Row],[VENDEDOR]],'[1]BASE PYTHON'!$H:$H,'[1]BASE PYTHON'!$I:$I,0)</f>
        <v>1434.75</v>
      </c>
      <c r="K14" s="23">
        <f>Tabela5[[#This Row],[COMPROMISSO]]-Tabela5[[#This Row],[ATINGIDO]]</f>
        <v>3889.25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16</v>
      </c>
      <c r="W14" s="19">
        <f t="shared" si="0"/>
        <v>11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40022.410000000025</v>
      </c>
      <c r="E15" s="24">
        <f>Tabela13[[#This Row],[META A]]-Tabela13[[#This Row],[ATINGIDO]]</f>
        <v>37977.589999999975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16000</v>
      </c>
      <c r="J15" s="22">
        <f>_xlfn.XLOOKUP(Tabela5[[#This Row],[VENDEDOR]],'[1]BASE PYTHON'!$H:$H,'[1]BASE PYTHON'!$I:$I,0)</f>
        <v>8353.8999999999978</v>
      </c>
      <c r="K15" s="23">
        <f>Tabela5[[#This Row],[COMPROMISSO]]-Tabela5[[#This Row],[ATINGIDO]]</f>
        <v>7646.1000000000022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11566.400000000001</v>
      </c>
      <c r="Q15" s="2">
        <f t="shared" si="1"/>
        <v>-11566.400000000001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25</v>
      </c>
      <c r="W15" s="19">
        <f>U15-V15</f>
        <v>23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174575.71999999997</v>
      </c>
      <c r="E16" s="27">
        <f>Tabela13[[#This Row],[META A]]-Tabela13[[#This Row],[ATINGIDO]]</f>
        <v>150424.28000000003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12810</v>
      </c>
      <c r="J16" s="22">
        <f>_xlfn.XLOOKUP(Tabela5[[#This Row],[VENDEDOR]],'[1]BASE PYTHON'!$H:$H,'[1]BASE PYTHON'!$I:$I,0)</f>
        <v>2181.6</v>
      </c>
      <c r="K16" s="23">
        <f>Tabela5[[#This Row],[COMPROMISSO]]-Tabela5[[#This Row],[ATINGIDO]]</f>
        <v>10628.4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4337</v>
      </c>
      <c r="Q16" s="2">
        <f t="shared" si="1"/>
        <v>-4337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161197.35999999999</v>
      </c>
      <c r="E17" s="24">
        <f>Tabela13[[#This Row],[META A]]-Tabela13[[#This Row],[ATINGIDO]]</f>
        <v>8802.640000000014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3144</v>
      </c>
      <c r="J17" s="22">
        <f>_xlfn.XLOOKUP(Tabela5[[#This Row],[VENDEDOR]],'[1]BASE PYTHON'!$H:$H,'[1]BASE PYTHON'!$I:$I,0)</f>
        <v>2197.6</v>
      </c>
      <c r="K17" s="23">
        <f>Tabela5[[#This Row],[COMPROMISSO]]-Tabela5[[#This Row],[ATINGIDO]]</f>
        <v>946.40000000000009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513142.70000000019</v>
      </c>
      <c r="E18" s="27">
        <f>Tabela13[[#This Row],[META A]]-Tabela13[[#This Row],[ATINGIDO]]</f>
        <v>436857.29999999981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6216</v>
      </c>
      <c r="J18" s="22">
        <f>_xlfn.XLOOKUP(Tabela5[[#This Row],[VENDEDOR]],'[1]BASE PYTHON'!$H:$H,'[1]BASE PYTHON'!$I:$I,0)</f>
        <v>856.4</v>
      </c>
      <c r="K18" s="23">
        <f>Tabela5[[#This Row],[COMPROMISSO]]-Tabela5[[#This Row],[ATINGIDO]]</f>
        <v>5359.6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30</v>
      </c>
      <c r="W18" s="19">
        <f t="shared" si="0"/>
        <v>15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40755.899999999994</v>
      </c>
      <c r="E19" s="24">
        <f>Tabela13[[#This Row],[META A]]-Tabela13[[#This Row],[ATINGIDO]]</f>
        <v>89244.1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10870</v>
      </c>
      <c r="J19" s="22">
        <f>_xlfn.XLOOKUP(Tabela5[[#This Row],[VENDEDOR]],'[1]BASE PYTHON'!$H:$H,'[1]BASE PYTHON'!$I:$I,0)</f>
        <v>1293</v>
      </c>
      <c r="K19" s="23">
        <f>Tabela5[[#This Row],[COMPROMISSO]]-Tabela5[[#This Row],[ATINGIDO]]</f>
        <v>9577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45</v>
      </c>
      <c r="W19" s="19">
        <f t="shared" si="0"/>
        <v>16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181399.52000000014</v>
      </c>
      <c r="E20" s="27">
        <f>Tabela13[[#This Row],[META A]]-Tabela13[[#This Row],[ATINGIDO]]</f>
        <v>378600.47999999986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3766.8999999999996</v>
      </c>
      <c r="K20" s="23">
        <f>Tabela5[[#This Row],[COMPROMISSO]]-Tabela5[[#This Row],[ATINGIDO]]</f>
        <v>9233.1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16</v>
      </c>
      <c r="W20" s="19">
        <f t="shared" si="0"/>
        <v>23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206904.88</v>
      </c>
      <c r="E21" s="24">
        <f>Tabela13[[#This Row],[META A]]-Tabela13[[#This Row],[ATINGIDO]]</f>
        <v>208095.12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5020</v>
      </c>
      <c r="J21" s="22">
        <f>_xlfn.XLOOKUP(Tabela5[[#This Row],[VENDEDOR]],'[1]BASE PYTHON'!$H:$H,'[1]BASE PYTHON'!$I:$I,0)</f>
        <v>791.7600000000001</v>
      </c>
      <c r="K21" s="23">
        <f>Tabela5[[#This Row],[COMPROMISSO]]-Tabela5[[#This Row],[ATINGIDO]]</f>
        <v>4228.24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266634.81999999983</v>
      </c>
      <c r="Q21" s="7">
        <f>O21-P21</f>
        <v>104956.08909090929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50153.310000000019</v>
      </c>
      <c r="E22" s="27">
        <f>Tabela13[[#This Row],[META A]]-Tabela13[[#This Row],[ATINGIDO]]</f>
        <v>71846.689999999973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8104</v>
      </c>
      <c r="J22" s="22">
        <f>_xlfn.XLOOKUP(Tabela5[[#This Row],[VENDEDOR]],'[1]BASE PYTHON'!$H:$H,'[1]BASE PYTHON'!$I:$I,0)</f>
        <v>2052.5499999999997</v>
      </c>
      <c r="K22" s="23">
        <f>Tabela5[[#This Row],[COMPROMISSO]]-Tabela5[[#This Row],[ATINGIDO]]</f>
        <v>6051.4500000000007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520408.39000000031</v>
      </c>
      <c r="Q22" s="7">
        <f>O22-P22</f>
        <v>-24953.844545454835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22</v>
      </c>
      <c r="W22" s="19">
        <f t="shared" si="2"/>
        <v>18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88647.899999999878</v>
      </c>
      <c r="E23" s="24">
        <f>Tabela13[[#This Row],[META A]]-Tabela13[[#This Row],[ATINGIDO]]</f>
        <v>106352.10000000012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5255</v>
      </c>
      <c r="J23" s="22">
        <f>_xlfn.XLOOKUP(Tabela5[[#This Row],[VENDEDOR]],'[1]BASE PYTHON'!$H:$H,'[1]BASE PYTHON'!$I:$I,0)</f>
        <v>2265.44</v>
      </c>
      <c r="K23" s="23">
        <f>Tabela5[[#This Row],[COMPROMISSO]]-Tabela5[[#This Row],[ATINGIDO]]</f>
        <v>2989.56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490932.8699999997</v>
      </c>
      <c r="Q23" s="7">
        <f>O23-P23</f>
        <v>128385.31181818218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66448.430000000008</v>
      </c>
      <c r="E24" s="27">
        <f>Tabela13[[#This Row],[META A]]-Tabela13[[#This Row],[ATINGIDO]]</f>
        <v>73551.569999999992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3110</v>
      </c>
      <c r="J24" s="22">
        <f>_xlfn.XLOOKUP(Tabela5[[#This Row],[VENDEDOR]],'[1]BASE PYTHON'!$H:$H,'[1]BASE PYTHON'!$I:$I,0)</f>
        <v>1040.82</v>
      </c>
      <c r="K24" s="23">
        <f>Tabela5[[#This Row],[COMPROMISSO]]-Tabela5[[#This Row],[ATINGIDO]]</f>
        <v>2069.1800000000003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19</v>
      </c>
      <c r="W24" s="19">
        <f t="shared" si="2"/>
        <v>18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53035.3100000001</v>
      </c>
      <c r="E25" s="24">
        <f>Tabela13[[#This Row],[META A]]-Tabela13[[#This Row],[ATINGIDO]]</f>
        <v>89464.6899999999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3570</v>
      </c>
      <c r="J25" s="22">
        <f>_xlfn.XLOOKUP(Tabela5[[#This Row],[VENDEDOR]],'[1]BASE PYTHON'!$H:$H,'[1]BASE PYTHON'!$I:$I,0)</f>
        <v>1222.75</v>
      </c>
      <c r="K25" s="23">
        <f>Tabela5[[#This Row],[COMPROMISSO]]-Tabela5[[#This Row],[ATINGIDO]]</f>
        <v>2347.25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23</v>
      </c>
      <c r="W25" s="19">
        <f t="shared" si="2"/>
        <v>28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30794.440000000057</v>
      </c>
      <c r="E26" s="27">
        <f>Tabela13[[#This Row],[META A]]-Tabela13[[#This Row],[ATINGIDO]]</f>
        <v>59205.559999999939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2442</v>
      </c>
      <c r="J26" s="22">
        <f>_xlfn.XLOOKUP(Tabela5[[#This Row],[VENDEDOR]],'[1]BASE PYTHON'!$H:$H,'[1]BASE PYTHON'!$I:$I,0)</f>
        <v>665.54</v>
      </c>
      <c r="K26" s="23">
        <f>Tabela5[[#This Row],[COMPROMISSO]]-Tabela5[[#This Row],[ATINGIDO]]</f>
        <v>1776.46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126491.28999999985</v>
      </c>
      <c r="E27" s="24">
        <f>Tabela13[[#This Row],[META A]]-Tabela13[[#This Row],[ATINGIDO]]</f>
        <v>111008.71000000015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2298</v>
      </c>
      <c r="J27" s="22">
        <f>_xlfn.XLOOKUP(Tabela5[[#This Row],[VENDEDOR]],'[1]BASE PYTHON'!$H:$H,'[1]BASE PYTHON'!$I:$I,0)</f>
        <v>1304.31</v>
      </c>
      <c r="K27" s="23">
        <f>Tabela5[[#This Row],[COMPROMISSO]]-Tabela5[[#This Row],[ATINGIDO]]</f>
        <v>993.69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165483.18</v>
      </c>
      <c r="E28" s="27">
        <f>Tabela13[[#This Row],[META A]]-Tabela13[[#This Row],[ATINGIDO]]</f>
        <v>153016.82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60082.260000000017</v>
      </c>
      <c r="E29" s="24">
        <f>Tabela13[[#This Row],[META A]]-Tabela13[[#This Row],[ATINGIDO]]</f>
        <v>114917.73999999999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68864.489999999962</v>
      </c>
      <c r="E30" s="27">
        <f>Tabela13[[#This Row],[META A]]-Tabela13[[#This Row],[ATINGIDO]]</f>
        <v>65635.510000000038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78667.129999999946</v>
      </c>
      <c r="E31" s="24">
        <f>Tabela13[[#This Row],[META A]]-Tabela13[[#This Row],[ATINGIDO]]</f>
        <v>88332.870000000054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256807.39999999982</v>
      </c>
      <c r="K31" s="7">
        <f>I31-J31</f>
        <v>133942.60000000018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126422.29999999987</v>
      </c>
      <c r="E32" s="27">
        <f>Tabela13[[#This Row],[META A]]-Tabela13[[#This Row],[ATINGIDO]]</f>
        <v>133577.70000000013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501987.34000000299</v>
      </c>
      <c r="K32" s="7">
        <f t="shared" ref="K32:K34" si="4">I32-J32</f>
        <v>19012.659999997006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148</v>
      </c>
      <c r="W32" s="6">
        <f t="shared" si="3"/>
        <v>24.272727272727252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44083.920000000042</v>
      </c>
      <c r="E33" s="24">
        <f>Tabela13[[#This Row],[META A]]-Tabela13[[#This Row],[ATINGIDO]]</f>
        <v>55916.079999999958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511048.24000000337</v>
      </c>
      <c r="K33" s="7">
        <f t="shared" si="4"/>
        <v>140201.75999999663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20737.710000000003</v>
      </c>
      <c r="E34" s="27">
        <f>Tabela13[[#This Row],[META A]]-Tabela13[[#This Row],[ATINGIDO]]</f>
        <v>34262.289999999994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38431.760000000009</v>
      </c>
      <c r="E35" s="24">
        <f>Tabela13[[#This Row],[META A]]-Tabela13[[#This Row],[ATINGIDO]]</f>
        <v>34568.239999999991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545873.70000000158</v>
      </c>
      <c r="E39" s="7">
        <f>C39-D39</f>
        <v>-155123.70000000158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1104662.189999996</v>
      </c>
      <c r="E40" s="7">
        <f t="shared" ref="E40:E42" si="5">C40-D40</f>
        <v>-583662.18999999599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1046942.3600000022</v>
      </c>
      <c r="E41" s="7">
        <f t="shared" si="5"/>
        <v>-395692.3600000022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2026-07-16T14:12:16Z</dcterms:modified>
</cp:coreProperties>
</file>