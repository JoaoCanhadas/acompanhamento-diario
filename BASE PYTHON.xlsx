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B0D47A0C-67AD-4897-9464-9061CE77827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1" i="2"/>
  <c r="V34" i="2"/>
  <c r="V33" i="2"/>
  <c r="V30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1" i="2"/>
  <c r="J31" i="2"/>
  <c r="P25" i="2"/>
  <c r="D41" i="2"/>
  <c r="J34" i="2"/>
  <c r="D40" i="2"/>
  <c r="D43" i="2"/>
  <c r="P24" i="2"/>
  <c r="P23" i="2"/>
  <c r="J32" i="2"/>
  <c r="D42" i="2"/>
  <c r="D44" i="2"/>
  <c r="J35" i="2"/>
  <c r="J33" i="2"/>
  <c r="P2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2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<sst xmlns="http://schemas.openxmlformats.org/spreadsheetml/2006/main" count="215" uniqueCount="54">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</sst>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22/07/2026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39246.379999999976</v>
          </cell>
          <cell r="H5" t="str">
            <v>CAMPINAS</v>
          </cell>
          <cell r="I5">
            <v>4075.6599999999994</v>
          </cell>
        </row>
        <row r="6">
          <cell r="E6" t="str">
            <v>CENTRO</v>
          </cell>
          <cell r="F6">
            <v>260716.2799999995</v>
          </cell>
          <cell r="H6" t="str">
            <v>CENTRO</v>
          </cell>
          <cell r="I6">
            <v>10594.419999999998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2152</v>
          </cell>
          <cell r="K7" t="str">
            <v>Rótulos de Linha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4953.2</v>
          </cell>
          <cell r="K8" t="str">
            <v>CAMPINAS</v>
          </cell>
        </row>
        <row r="9">
          <cell r="E9" t="str">
            <v>INDAIATUBA</v>
          </cell>
          <cell r="F9">
            <v>51198.209999999992</v>
          </cell>
          <cell r="H9" t="str">
            <v>JUNDIAI</v>
          </cell>
          <cell r="I9">
            <v>3373.65</v>
          </cell>
          <cell r="K9" t="str">
            <v>CENTRO</v>
          </cell>
        </row>
        <row r="10">
          <cell r="E10" t="str">
            <v>INTERLAGOS</v>
          </cell>
          <cell r="F10">
            <v>175452.38999999984</v>
          </cell>
          <cell r="H10" t="str">
            <v>KEY ABC</v>
          </cell>
          <cell r="I10">
            <v>2409.6999999999998</v>
          </cell>
          <cell r="K10" t="str">
            <v>INDAIATUBA</v>
          </cell>
        </row>
        <row r="11">
          <cell r="E11" t="str">
            <v>JUNDIAI</v>
          </cell>
          <cell r="F11">
            <v>51759.880000000063</v>
          </cell>
          <cell r="H11" t="str">
            <v>KEY INTERIOR</v>
          </cell>
          <cell r="I11">
            <v>334524.09999999998</v>
          </cell>
          <cell r="K11" t="str">
            <v>INTERLAGOS</v>
          </cell>
        </row>
        <row r="12">
          <cell r="E12" t="str">
            <v>KEY ABC</v>
          </cell>
          <cell r="F12">
            <v>211630.01999999996</v>
          </cell>
          <cell r="H12" t="str">
            <v>KEY PIRACICABA</v>
          </cell>
          <cell r="I12">
            <v>5892</v>
          </cell>
          <cell r="K12" t="str">
            <v>JUNDIAI</v>
          </cell>
        </row>
        <row r="13">
          <cell r="E13" t="str">
            <v>KEY CASA</v>
          </cell>
          <cell r="F13">
            <v>263985.40000000084</v>
          </cell>
          <cell r="H13" t="str">
            <v>KEY SJC</v>
          </cell>
          <cell r="I13">
            <v>26173.7</v>
          </cell>
          <cell r="K13" t="str">
            <v>LESTE</v>
          </cell>
        </row>
        <row r="14">
          <cell r="E14" t="str">
            <v>KEY INTERIOR</v>
          </cell>
          <cell r="F14">
            <v>851393.40000000026</v>
          </cell>
          <cell r="H14" t="str">
            <v>KEY SP</v>
          </cell>
          <cell r="I14">
            <v>4033.8200000000006</v>
          </cell>
          <cell r="K14" t="str">
            <v>LESTE MOOCA</v>
          </cell>
        </row>
        <row r="15">
          <cell r="E15" t="str">
            <v>KEY PIRACICABA</v>
          </cell>
          <cell r="F15">
            <v>87483.25999999998</v>
          </cell>
          <cell r="H15" t="str">
            <v>KEY ZL</v>
          </cell>
          <cell r="I15">
            <v>19933.399999999991</v>
          </cell>
          <cell r="K15" t="str">
            <v>LESTE PENHA</v>
          </cell>
        </row>
        <row r="16">
          <cell r="E16" t="str">
            <v>KEY SJC</v>
          </cell>
          <cell r="F16">
            <v>114220.90000000004</v>
          </cell>
          <cell r="H16" t="str">
            <v>LESTE</v>
          </cell>
          <cell r="I16">
            <v>3543.95</v>
          </cell>
          <cell r="K16" t="str">
            <v>LESTE TATUAPE</v>
          </cell>
        </row>
        <row r="17">
          <cell r="E17" t="str">
            <v>KEY SP</v>
          </cell>
          <cell r="F17">
            <v>266913.34999999992</v>
          </cell>
          <cell r="H17" t="str">
            <v>LESTE MOOCA</v>
          </cell>
          <cell r="I17">
            <v>9469.7999999999975</v>
          </cell>
          <cell r="K17" t="str">
            <v>MOGI</v>
          </cell>
        </row>
        <row r="18">
          <cell r="E18" t="str">
            <v>KEY ZL</v>
          </cell>
          <cell r="F18">
            <v>278371.99999999994</v>
          </cell>
          <cell r="H18" t="str">
            <v>LESTE PENHA</v>
          </cell>
          <cell r="I18">
            <v>6244.4900000000007</v>
          </cell>
          <cell r="K18" t="str">
            <v>NORTE</v>
          </cell>
        </row>
        <row r="19">
          <cell r="E19" t="str">
            <v>LESTE</v>
          </cell>
          <cell r="F19">
            <v>72464.38</v>
          </cell>
          <cell r="H19" t="str">
            <v>LESTE TATUAPE</v>
          </cell>
          <cell r="I19">
            <v>2844.5000000000005</v>
          </cell>
          <cell r="K19" t="str">
            <v>OSASCO</v>
          </cell>
        </row>
        <row r="20">
          <cell r="E20" t="str">
            <v>LESTE MOOCA</v>
          </cell>
          <cell r="F20">
            <v>133853.76499999964</v>
          </cell>
          <cell r="H20" t="str">
            <v>MOGI</v>
          </cell>
          <cell r="I20">
            <v>3569.1000000000004</v>
          </cell>
          <cell r="K20" t="str">
            <v>PIRITUBA</v>
          </cell>
        </row>
        <row r="21">
          <cell r="E21" t="str">
            <v>LESTE PENHA</v>
          </cell>
          <cell r="F21">
            <v>96274.990000000063</v>
          </cell>
          <cell r="H21" t="str">
            <v>NORTE</v>
          </cell>
          <cell r="I21">
            <v>7244.07</v>
          </cell>
          <cell r="K21" t="str">
            <v>SANTO ANDRE</v>
          </cell>
        </row>
        <row r="22">
          <cell r="E22" t="str">
            <v>LESTE TATUAPE</v>
          </cell>
          <cell r="F22">
            <v>84553.079999999842</v>
          </cell>
          <cell r="H22" t="str">
            <v>OSASCO</v>
          </cell>
          <cell r="I22">
            <v>7588.86</v>
          </cell>
          <cell r="K22" t="str">
            <v>SBC</v>
          </cell>
        </row>
        <row r="23">
          <cell r="E23" t="str">
            <v>MOGI</v>
          </cell>
          <cell r="F23">
            <v>49159.000000000095</v>
          </cell>
          <cell r="H23" t="str">
            <v>PIRITUBA</v>
          </cell>
          <cell r="I23">
            <v>3907.3199999999997</v>
          </cell>
          <cell r="K23" t="str">
            <v>SJC</v>
          </cell>
        </row>
        <row r="24">
          <cell r="E24" t="str">
            <v>NORTE</v>
          </cell>
          <cell r="F24">
            <v>163165.17999999976</v>
          </cell>
          <cell r="H24" t="str">
            <v>SANTO ANDRE</v>
          </cell>
          <cell r="I24">
            <v>11473.039999999997</v>
          </cell>
          <cell r="K24" t="str">
            <v>SJC/VALE</v>
          </cell>
        </row>
        <row r="25">
          <cell r="E25" t="str">
            <v>OSASCO</v>
          </cell>
          <cell r="F25">
            <v>236192.97000000015</v>
          </cell>
          <cell r="H25" t="str">
            <v>SBC</v>
          </cell>
          <cell r="I25">
            <v>10432.39</v>
          </cell>
          <cell r="K25" t="str">
            <v>Total Geral</v>
          </cell>
        </row>
        <row r="26">
          <cell r="E26" t="str">
            <v>PIRITUBA</v>
          </cell>
          <cell r="F26">
            <v>92708.429999999935</v>
          </cell>
          <cell r="H26" t="str">
            <v>SJC</v>
          </cell>
          <cell r="I26">
            <v>2316.5</v>
          </cell>
        </row>
        <row r="27">
          <cell r="E27" t="str">
            <v>SANTO ANDRE</v>
          </cell>
          <cell r="F27">
            <v>116320.90999999996</v>
          </cell>
          <cell r="H27" t="str">
            <v>SJC/VALE</v>
          </cell>
          <cell r="I27">
            <v>36.6</v>
          </cell>
        </row>
        <row r="28">
          <cell r="E28" t="str">
            <v>SBC</v>
          </cell>
          <cell r="F28">
            <v>179510.92999999985</v>
          </cell>
          <cell r="H28" t="str">
            <v>VENDEDOR INTERNO 1</v>
          </cell>
          <cell r="I28">
            <v>1333.2999999999997</v>
          </cell>
        </row>
        <row r="29">
          <cell r="E29" t="str">
            <v>SJC</v>
          </cell>
          <cell r="F29">
            <v>58341.390000000087</v>
          </cell>
          <cell r="H29" t="str">
            <v>Total Geral</v>
          </cell>
          <cell r="I29">
            <v>488119.57000000012</v>
          </cell>
        </row>
        <row r="30">
          <cell r="E30" t="str">
            <v>SJC/VALE</v>
          </cell>
          <cell r="F30">
            <v>29667.840000000015</v>
          </cell>
        </row>
        <row r="31">
          <cell r="E31" t="str">
            <v>VENDEDOR INTERNO 1</v>
          </cell>
          <cell r="F31">
            <v>52844.85</v>
          </cell>
        </row>
        <row r="32">
          <cell r="E32" t="str">
            <v>Total Geral</v>
          </cell>
          <cell r="F32">
            <v>4018663.1049999632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4018663.1050000004</v>
      </c>
      <c r="D5" s="2"/>
      <c r="E5" s="4"/>
      <c r="F5" s="4"/>
      <c r="G5" s="4"/>
      <c r="H5" s="4" t="s">
        <v>1</v>
      </c>
      <c r="I5" s="7">
        <f>SUM(J10:J27)</f>
        <v>95152.849999999991</v>
      </c>
      <c r="J5" s="4"/>
      <c r="K5" s="4"/>
      <c r="L5" s="4"/>
      <c r="M5" s="4"/>
      <c r="N5" s="4" t="s">
        <v>1</v>
      </c>
      <c r="O5" s="7">
        <f>SUM(P11:P17)</f>
        <v>387074.72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1573836.8949999996</v>
      </c>
      <c r="D6" s="2"/>
      <c r="E6" s="4"/>
      <c r="F6" s="4"/>
      <c r="G6" s="4"/>
      <c r="H6" s="4" t="s">
        <v>2</v>
      </c>
      <c r="I6" s="7">
        <f>I4-I5</f>
        <v>34847.150000000009</v>
      </c>
      <c r="J6" s="4"/>
      <c r="K6" s="4"/>
      <c r="L6" s="4"/>
      <c r="M6" s="4"/>
      <c r="N6" s="4" t="s">
        <v>2</v>
      </c>
      <c r="O6" s="7">
        <f>O4-O5</f>
        <v>-387074.72</v>
      </c>
      <c r="P6" s="4"/>
      <c r="Q6" s="4"/>
      <c r="R6" s="4"/>
      <c r="S6" s="4"/>
      <c r="T6" s="4" t="s">
        <v>2</v>
      </c>
      <c r="U6" s="4">
        <f>U4-U5</f>
        <v>758</v>
      </c>
      <c r="V6" s="4"/>
      <c r="W6" s="4"/>
    </row>
    <row r="7" spans="1:23" x14ac:dyDescent="0.25">
      <c r="A7" s="4"/>
      <c r="B7" s="4" t="s">
        <v>3</v>
      </c>
      <c r="C7" s="3">
        <f>1-(C6/C4)</f>
        <v>0.71858079660259278</v>
      </c>
      <c r="D7" s="2"/>
      <c r="E7" s="4"/>
      <c r="F7" s="4"/>
      <c r="G7" s="4"/>
      <c r="H7" s="4" t="s">
        <v>3</v>
      </c>
      <c r="I7" s="3">
        <f>1-(I6/I4)</f>
        <v>0.73194499999999996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39246.379999999976</v>
      </c>
      <c r="E10" s="27">
        <f>Tabela13[[#This Row],[META A]]-Tabela13[[#This Row],[ATINGIDO]]</f>
        <v>25253.620000000024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7588.86</v>
      </c>
      <c r="K10" s="23">
        <f>Tabela5[[#This Row],[COMPROMISSO]]-Tabela5[[#This Row],[ATINGIDO]]</f>
        <v>4501.1400000000003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260716.2799999995</v>
      </c>
      <c r="E11" s="24">
        <f>Tabela13[[#This Row],[META A]]-Tabela13[[#This Row],[ATINGIDO]]</f>
        <v>64283.720000000496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7244.07</v>
      </c>
      <c r="K11" s="23">
        <f>Tabela5[[#This Row],[COMPROMISSO]]-Tabela5[[#This Row],[ATINGIDO]]</f>
        <v>3755.9300000000003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2409.6999999999998</v>
      </c>
      <c r="Q11" s="2">
        <f>O11-P11</f>
        <v>-2409.6999999999998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0</v>
      </c>
      <c r="W11" s="19">
        <f t="shared" ref="W11:W20" si="0">U11-V11</f>
        <v>52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3907.3199999999997</v>
      </c>
      <c r="K12" s="23">
        <f>Tabela5[[#This Row],[COMPROMISSO]]-Tabela5[[#This Row],[ATINGIDO]]</f>
        <v>1492.6800000000003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0</v>
      </c>
      <c r="W12" s="19">
        <f t="shared" si="0"/>
        <v>41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51198.209999999992</v>
      </c>
      <c r="E13" s="24">
        <f>Tabela13[[#This Row],[META A]]-Tabela13[[#This Row],[ATINGIDO]]</f>
        <v>38801.790000000008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10432.39</v>
      </c>
      <c r="K13" s="23">
        <f>Tabela5[[#This Row],[COMPROMISSO]]-Tabela5[[#This Row],[ATINGIDO]]</f>
        <v>2567.6100000000006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19933.399999999991</v>
      </c>
      <c r="Q13" s="2">
        <f t="shared" ref="Q13:Q17" si="1">O13-P13</f>
        <v>-19933.399999999991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175452.38999999984</v>
      </c>
      <c r="E14" s="27">
        <f>Tabela13[[#This Row],[META A]]-Tabela13[[#This Row],[ATINGIDO]]</f>
        <v>97547.610000000161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2844.5000000000005</v>
      </c>
      <c r="K14" s="23">
        <f>Tabela5[[#This Row],[COMPROMISSO]]-Tabela5[[#This Row],[ATINGIDO]]</f>
        <v>995.49999999999955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334524.09999999998</v>
      </c>
      <c r="Q14" s="2">
        <f t="shared" si="1"/>
        <v>-334524.09999999998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0</v>
      </c>
      <c r="W14" s="19">
        <f t="shared" si="0"/>
        <v>27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51759.880000000063</v>
      </c>
      <c r="E15" s="24">
        <f>Tabela13[[#This Row],[META A]]-Tabela13[[#This Row],[ATINGIDO]]</f>
        <v>26240.119999999937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10594.419999999998</v>
      </c>
      <c r="K15" s="23">
        <f>Tabela5[[#This Row],[COMPROMISSO]]-Tabela5[[#This Row],[ATINGIDO]]</f>
        <v>4405.5800000000017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4033.8200000000006</v>
      </c>
      <c r="Q15" s="2">
        <f t="shared" si="1"/>
        <v>-4033.8200000000006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0</v>
      </c>
      <c r="W15" s="19">
        <f>U15-V15</f>
        <v>48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211630.01999999996</v>
      </c>
      <c r="E16" s="27">
        <f>Tabela13[[#This Row],[META A]]-Tabela13[[#This Row],[ATINGIDO]]</f>
        <v>113369.98000000004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11473.039999999997</v>
      </c>
      <c r="K16" s="23">
        <f>Tabela5[[#This Row],[COMPROMISSO]]-Tabela5[[#This Row],[ATINGIDO]]</f>
        <v>-1633.0399999999972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26173.7</v>
      </c>
      <c r="Q16" s="2">
        <f t="shared" si="1"/>
        <v>-26173.7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3569.1000000000004</v>
      </c>
      <c r="K17" s="23">
        <f>Tabela5[[#This Row],[COMPROMISSO]]-Tabela5[[#This Row],[ATINGIDO]]</f>
        <v>1280.8999999999996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3543.95</v>
      </c>
      <c r="K18" s="23">
        <f>Tabela5[[#This Row],[COMPROMISSO]]-Tabela5[[#This Row],[ATINGIDO]]</f>
        <v>3296.05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0</v>
      </c>
      <c r="W18" s="19">
        <f t="shared" si="0"/>
        <v>45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9469.7999999999975</v>
      </c>
      <c r="K19" s="23">
        <f>Tabela5[[#This Row],[COMPROMISSO]]-Tabela5[[#This Row],[ATINGIDO]]</f>
        <v>-2349.7999999999975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0</v>
      </c>
      <c r="W19" s="19">
        <f t="shared" si="0"/>
        <v>61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266913.34999999992</v>
      </c>
      <c r="E20" s="27">
        <f>Tabela13[[#This Row],[META A]]-Tabela13[[#This Row],[ATINGIDO]]</f>
        <v>293086.65000000008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4953.2</v>
      </c>
      <c r="K20" s="23">
        <f>Tabela5[[#This Row],[COMPROMISSO]]-Tabela5[[#This Row],[ATINGIDO]]</f>
        <v>10046.799999999999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0</v>
      </c>
      <c r="W20" s="19">
        <f t="shared" si="0"/>
        <v>39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278371.99999999994</v>
      </c>
      <c r="E21" s="24">
        <f>Tabela13[[#This Row],[META A]]-Tabela13[[#This Row],[ATINGIDO]]</f>
        <v>136628.00000000006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3373.65</v>
      </c>
      <c r="K21" s="23">
        <f>Tabela5[[#This Row],[COMPROMISSO]]-Tabela5[[#This Row],[ATINGIDO]]</f>
        <v>1726.35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0</v>
      </c>
      <c r="W21" s="19">
        <f t="shared" ref="W21:W26" si="2">U21-V21</f>
        <v>44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72464.38</v>
      </c>
      <c r="E22" s="27">
        <f>Tabela13[[#This Row],[META A]]-Tabela13[[#This Row],[ATINGIDO]]</f>
        <v>49535.619999999995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6244.4900000000007</v>
      </c>
      <c r="K22" s="23">
        <f>Tabela5[[#This Row],[COMPROMISSO]]-Tabela5[[#This Row],[ATINGIDO]]</f>
        <v>-2924.4900000000007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0</v>
      </c>
      <c r="W22" s="19">
        <f t="shared" si="2"/>
        <v>40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133853.76499999964</v>
      </c>
      <c r="E23" s="24">
        <f>Tabela13[[#This Row],[META A]]-Tabela13[[#This Row],[ATINGIDO]]</f>
        <v>61146.235000000364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2152</v>
      </c>
      <c r="K23" s="23">
        <f>Tabela5[[#This Row],[COMPROMISSO]]-Tabela5[[#This Row],[ATINGIDO]]</f>
        <v>1858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685907.54999999946</v>
      </c>
      <c r="Q23" s="7">
        <f>O23-P23</f>
        <v>-66589.368181817583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96274.990000000063</v>
      </c>
      <c r="E24" s="27">
        <f>Tabela13[[#This Row],[META A]]-Tabela13[[#This Row],[ATINGIDO]]</f>
        <v>43725.009999999937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1333.2999999999997</v>
      </c>
      <c r="K24" s="23">
        <f>Tabela5[[#This Row],[COMPROMISSO]]-Tabela5[[#This Row],[ATINGIDO]]</f>
        <v>3366.7000000000003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549681.20999999973</v>
      </c>
      <c r="Q24" s="7">
        <f>O24-P24</f>
        <v>69636.971818182152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0</v>
      </c>
      <c r="W24" s="19">
        <f t="shared" si="2"/>
        <v>37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84553.079999999842</v>
      </c>
      <c r="E25" s="24">
        <f>Tabela13[[#This Row],[META A]]-Tabela13[[#This Row],[ATINGIDO]]</f>
        <v>57946.920000000158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2316.5</v>
      </c>
      <c r="K25" s="23">
        <f>Tabela5[[#This Row],[COMPROMISSO]]-Tabela5[[#This Row],[ATINGIDO]]</f>
        <v>373.5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0</v>
      </c>
      <c r="W25" s="19">
        <f t="shared" si="2"/>
        <v>51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49159.000000000095</v>
      </c>
      <c r="E26" s="27">
        <f>Tabela13[[#This Row],[META A]]-Tabela13[[#This Row],[ATINGIDO]]</f>
        <v>40840.999999999905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36.6</v>
      </c>
      <c r="K26" s="23">
        <f>Tabela5[[#This Row],[COMPROMISSO]]-Tabela5[[#This Row],[ATINGIDO]]</f>
        <v>3493.4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163165.17999999976</v>
      </c>
      <c r="E27" s="24">
        <f>Tabela13[[#This Row],[META A]]-Tabela13[[#This Row],[ATINGIDO]]</f>
        <v>74334.82000000024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4075.6599999999994</v>
      </c>
      <c r="K27" s="23">
        <f>Tabela5[[#This Row],[COMPROMISSO]]-Tabela5[[#This Row],[ATINGIDO]]</f>
        <v>-1405.6599999999994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236192.97000000015</v>
      </c>
      <c r="E28" s="27">
        <f>Tabela13[[#This Row],[META A]]-Tabela13[[#This Row],[ATINGIDO]]</f>
        <v>82307.029999999853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87483.25999999998</v>
      </c>
      <c r="E29" s="24">
        <f>Tabela13[[#This Row],[META A]]-Tabela13[[#This Row],[ATINGIDO]]</f>
        <v>87516.74000000002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92708.429999999935</v>
      </c>
      <c r="E30" s="27">
        <f>Tabela13[[#This Row],[META A]]-Tabela13[[#This Row],[ATINGIDO]]</f>
        <v>41791.570000000065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116320.90999999996</v>
      </c>
      <c r="E31" s="24">
        <f>Tabela13[[#This Row],[META A]]-Tabela13[[#This Row],[ATINGIDO]]</f>
        <v>50679.09000000004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270334.03999999998</v>
      </c>
      <c r="K31" s="7">
        <f>I31-J31</f>
        <v>120415.96000000002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179510.92999999985</v>
      </c>
      <c r="E32" s="27">
        <f>Tabela13[[#This Row],[META A]]-Tabela13[[#This Row],[ATINGIDO]]</f>
        <v>80489.070000000153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540157.79000000341</v>
      </c>
      <c r="K32" s="7">
        <f t="shared" ref="K32:K34" si="4">I32-J32</f>
        <v>-19157.790000003413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58341.390000000087</v>
      </c>
      <c r="E33" s="24">
        <f>Tabela13[[#This Row],[META A]]-Tabela13[[#This Row],[ATINGIDO]]</f>
        <v>41658.609999999913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700067.99000000325</v>
      </c>
      <c r="K33" s="7">
        <f t="shared" si="4"/>
        <v>-48817.99000000325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184</v>
      </c>
      <c r="W33" s="6">
        <f t="shared" si="3"/>
        <v>-11.727272727272748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29667.840000000015</v>
      </c>
      <c r="E34" s="27">
        <f>Tabela13[[#This Row],[META A]]-Tabela13[[#This Row],[ATINGIDO]]</f>
        <v>25332.159999999985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432871.03500000184</v>
      </c>
      <c r="K34" s="7">
        <f t="shared" si="4"/>
        <v>218378.96499999816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52844.85</v>
      </c>
      <c r="E35" s="24">
        <f>Tabela13[[#This Row],[META A]]-Tabela13[[#This Row],[ATINGIDO]]</f>
        <v>20155.150000000001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545683.80000000168</v>
      </c>
      <c r="E40" s="7">
        <f>C40-D40</f>
        <v>-154933.80000000168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1103755.3899999962</v>
      </c>
      <c r="E41" s="7">
        <f t="shared" ref="E41:E43" si="5">C41-D41</f>
        <v>-582755.38999999617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1386417.7799999891</v>
      </c>
      <c r="E42" s="7">
        <f t="shared" si="5"/>
        <v>-735167.77999998908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982806.13500000234</v>
      </c>
      <c r="E43" s="7">
        <f t="shared" si="5"/>
        <v>-331556.13500000234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2026-07-23T10:21:43Z</dcterms:modified>
</cp:coreProperties>
</file>