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FE4B821-55C4-4629-B841-4C90615F594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E36" i="2" s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2" i="2"/>
  <c r="V30" i="2"/>
  <c r="V31" i="2"/>
  <c r="V34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1" i="2"/>
  <c r="J32" i="2"/>
  <c r="D42" i="2"/>
  <c r="D41" i="2"/>
  <c r="J33" i="2"/>
  <c r="D43" i="2"/>
  <c r="P25" i="2"/>
  <c r="J35" i="2"/>
  <c r="P24" i="2"/>
  <c r="P21" i="2"/>
  <c r="P22" i="2"/>
  <c r="D40" i="2"/>
  <c r="P23" i="2"/>
  <c r="J34" i="2"/>
  <c r="D4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<sst xmlns="http://schemas.openxmlformats.org/spreadsheetml/2006/main" count="215" uniqueCount="54">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</sst>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35170.719999999994</v>
          </cell>
        </row>
        <row r="6">
          <cell r="E6" t="str">
            <v>CENTRO</v>
          </cell>
          <cell r="F6">
            <v>250121.85999999967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</row>
        <row r="8">
          <cell r="E8" t="str">
            <v>IATAGAM JUNIOR</v>
          </cell>
          <cell r="F8">
            <v>151.09</v>
          </cell>
          <cell r="K8" t="str">
            <v>CENTRO</v>
          </cell>
        </row>
        <row r="9">
          <cell r="E9" t="str">
            <v>INDAIATUBA</v>
          </cell>
          <cell r="F9">
            <v>49046.209999999985</v>
          </cell>
          <cell r="K9" t="str">
            <v>INDAIATUBA</v>
          </cell>
        </row>
        <row r="10">
          <cell r="E10" t="str">
            <v>INTERLAGOS</v>
          </cell>
          <cell r="F10">
            <v>170499.18999999986</v>
          </cell>
          <cell r="K10" t="str">
            <v>JUNDIAI</v>
          </cell>
        </row>
        <row r="11">
          <cell r="E11" t="str">
            <v>JUNDIAI</v>
          </cell>
          <cell r="F11">
            <v>48386.230000000061</v>
          </cell>
          <cell r="K11" t="str">
            <v>LESTE</v>
          </cell>
        </row>
        <row r="12">
          <cell r="E12" t="str">
            <v>KEY ABC</v>
          </cell>
          <cell r="F12">
            <v>209220.31999999995</v>
          </cell>
          <cell r="K12" t="str">
            <v>LESTE PENHA</v>
          </cell>
        </row>
        <row r="13">
          <cell r="E13" t="str">
            <v>KEY CASA</v>
          </cell>
          <cell r="F13">
            <v>263985.40000000084</v>
          </cell>
          <cell r="K13" t="str">
            <v>LESTE TATUAPE</v>
          </cell>
        </row>
        <row r="14">
          <cell r="E14" t="str">
            <v>KEY INTERIOR</v>
          </cell>
          <cell r="F14">
            <v>516869.3000000001</v>
          </cell>
          <cell r="K14" t="str">
            <v>NORTE</v>
          </cell>
        </row>
        <row r="15">
          <cell r="E15" t="str">
            <v>KEY PIRACICABA</v>
          </cell>
          <cell r="F15">
            <v>87483.25999999998</v>
          </cell>
          <cell r="K15" t="str">
            <v>OSASCO</v>
          </cell>
        </row>
        <row r="16">
          <cell r="E16" t="str">
            <v>KEY SJC</v>
          </cell>
          <cell r="F16">
            <v>90046.200000000041</v>
          </cell>
          <cell r="K16" t="str">
            <v>PIRITUBA</v>
          </cell>
        </row>
        <row r="17">
          <cell r="E17" t="str">
            <v>KEY SP</v>
          </cell>
          <cell r="F17">
            <v>263197.75</v>
          </cell>
          <cell r="K17" t="str">
            <v>SANTO ANDRE</v>
          </cell>
        </row>
        <row r="18">
          <cell r="E18" t="str">
            <v>KEY ZL</v>
          </cell>
          <cell r="F18">
            <v>258438.59999999986</v>
          </cell>
          <cell r="K18" t="str">
            <v>SJC</v>
          </cell>
        </row>
        <row r="19">
          <cell r="E19" t="str">
            <v>LESTE</v>
          </cell>
          <cell r="F19">
            <v>68920.430000000037</v>
          </cell>
          <cell r="K19" t="str">
            <v>Total Geral</v>
          </cell>
        </row>
        <row r="20">
          <cell r="E20" t="str">
            <v>LESTE MOOCA</v>
          </cell>
          <cell r="F20">
            <v>124383.96499999975</v>
          </cell>
        </row>
        <row r="21">
          <cell r="E21" t="str">
            <v>LESTE PENHA</v>
          </cell>
          <cell r="F21">
            <v>90030.500000000029</v>
          </cell>
        </row>
        <row r="22">
          <cell r="E22" t="str">
            <v>LESTE TATUAPE</v>
          </cell>
          <cell r="F22">
            <v>81708.579999999885</v>
          </cell>
        </row>
        <row r="23">
          <cell r="E23" t="str">
            <v>MOGI</v>
          </cell>
          <cell r="F23">
            <v>45589.900000000074</v>
          </cell>
        </row>
        <row r="24">
          <cell r="E24" t="str">
            <v>NORTE</v>
          </cell>
          <cell r="F24">
            <v>155921.10999999987</v>
          </cell>
        </row>
        <row r="25">
          <cell r="E25" t="str">
            <v>OSASCO</v>
          </cell>
          <cell r="F25">
            <v>228769.10999999967</v>
          </cell>
        </row>
        <row r="26">
          <cell r="E26" t="str">
            <v>PIRITUBA</v>
          </cell>
          <cell r="F26">
            <v>88801.109999999913</v>
          </cell>
        </row>
        <row r="27">
          <cell r="E27" t="str">
            <v>SANTO ANDRE</v>
          </cell>
          <cell r="F27">
            <v>104847.86999999995</v>
          </cell>
        </row>
        <row r="28">
          <cell r="E28" t="str">
            <v>SBC</v>
          </cell>
          <cell r="F28">
            <v>169078.53999999986</v>
          </cell>
        </row>
        <row r="29">
          <cell r="E29" t="str">
            <v>SJC</v>
          </cell>
          <cell r="F29">
            <v>56024.890000000094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51511.549999999988</v>
          </cell>
        </row>
        <row r="32">
          <cell r="E32" t="str">
            <v>Total Geral</v>
          </cell>
          <cell r="F32">
            <v>3538945.7349999724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3538945.7349999999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0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2053554.2650000001</v>
      </c>
      <c r="D6" s="2"/>
      <c r="E6" s="4"/>
      <c r="F6" s="4"/>
      <c r="G6" s="4"/>
      <c r="H6" s="4" t="s">
        <v>2</v>
      </c>
      <c r="I6" s="7">
        <f>I4-I5</f>
        <v>150000</v>
      </c>
      <c r="J6" s="4"/>
      <c r="K6" s="4"/>
      <c r="L6" s="4"/>
      <c r="M6" s="4"/>
      <c r="N6" s="4" t="s">
        <v>2</v>
      </c>
      <c r="O6" s="7">
        <f>O4-O5</f>
        <v>0</v>
      </c>
      <c r="P6" s="4"/>
      <c r="Q6" s="4"/>
      <c r="R6" s="4"/>
      <c r="S6" s="4"/>
      <c r="T6" s="4" t="s">
        <v>2</v>
      </c>
      <c r="U6" s="4">
        <f>U4-U5</f>
        <v>758</v>
      </c>
      <c r="V6" s="4"/>
      <c r="W6" s="4"/>
    </row>
    <row r="7" spans="1:23" x14ac:dyDescent="0.25">
      <c r="A7" s="4"/>
      <c r="B7" s="4" t="s">
        <v>3</v>
      </c>
      <c r="C7" s="3">
        <f>1-(C6/C4)</f>
        <v>0.6328020983459991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35170.719999999994</v>
      </c>
      <c r="E10" s="27">
        <f>Tabela13[[#This Row],[META A]]-Tabela13[[#This Row],[ATINGIDO]]</f>
        <v>29329.280000000006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17000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250121.85999999967</v>
      </c>
      <c r="E11" s="24">
        <f>Tabela13[[#This Row],[META A]]-Tabela13[[#This Row],[ATINGIDO]]</f>
        <v>74878.140000000334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11960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0</v>
      </c>
      <c r="W11" s="19">
        <f t="shared" ref="W11:W20" si="0">U11-V11</f>
        <v>52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9110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0</v>
      </c>
      <c r="W12" s="19">
        <f t="shared" si="0"/>
        <v>41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49046.209999999985</v>
      </c>
      <c r="E13" s="24">
        <f>Tabela13[[#This Row],[META A]]-Tabela13[[#This Row],[ATINGIDO]]</f>
        <v>40953.790000000015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170499.18999999986</v>
      </c>
      <c r="E14" s="27">
        <f>Tabela13[[#This Row],[META A]]-Tabela13[[#This Row],[ATINGIDO]]</f>
        <v>102500.81000000014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4280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0</v>
      </c>
      <c r="W14" s="19">
        <f t="shared" si="0"/>
        <v>27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48386.230000000061</v>
      </c>
      <c r="E15" s="24">
        <f>Tabela13[[#This Row],[META A]]-Tabela13[[#This Row],[ATINGIDO]]</f>
        <v>29613.769999999939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0</v>
      </c>
      <c r="W15" s="19">
        <f>U15-V15</f>
        <v>48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13470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2530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516869.3000000001</v>
      </c>
      <c r="E18" s="27">
        <f>Tabela13[[#This Row],[META A]]-Tabela13[[#This Row],[ATINGIDO]]</f>
        <v>433130.6999999999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0</v>
      </c>
      <c r="W18" s="19">
        <f t="shared" si="0"/>
        <v>45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10910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0</v>
      </c>
      <c r="W19" s="19">
        <f t="shared" si="0"/>
        <v>61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263197.75</v>
      </c>
      <c r="E20" s="27">
        <f>Tabela13[[#This Row],[META A]]-Tabela13[[#This Row],[ATINGIDO]]</f>
        <v>296802.25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13000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0</v>
      </c>
      <c r="W20" s="19">
        <f t="shared" si="0"/>
        <v>39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258438.59999999986</v>
      </c>
      <c r="E21" s="24">
        <f>Tabela13[[#This Row],[META A]]-Tabela13[[#This Row],[ATINGIDO]]</f>
        <v>156561.40000000014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5490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266634.81999999995</v>
      </c>
      <c r="Q21" s="7">
        <f>O21-P21</f>
        <v>104956.08909090917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0</v>
      </c>
      <c r="W21" s="19">
        <f t="shared" ref="W21:W26" si="2">U21-V21</f>
        <v>44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68920.430000000037</v>
      </c>
      <c r="E22" s="27">
        <f>Tabela13[[#This Row],[META A]]-Tabela13[[#This Row],[ATINGIDO]]</f>
        <v>53079.569999999963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7350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519801.59000000026</v>
      </c>
      <c r="Q22" s="7">
        <f>O22-P22</f>
        <v>-24347.044545454788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0</v>
      </c>
      <c r="W22" s="19">
        <f t="shared" si="2"/>
        <v>40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124383.96499999975</v>
      </c>
      <c r="E23" s="24">
        <f>Tabela13[[#This Row],[META A]]-Tabela13[[#This Row],[ATINGIDO]]</f>
        <v>70616.035000000251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5290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661756.44999999937</v>
      </c>
      <c r="Q23" s="7">
        <f>O23-P23</f>
        <v>-42438.26818181749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90030.500000000029</v>
      </c>
      <c r="E24" s="27">
        <f>Tabela13[[#This Row],[META A]]-Tabela13[[#This Row],[ATINGIDO]]</f>
        <v>49969.499999999971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3540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153564.71</v>
      </c>
      <c r="Q24" s="7">
        <f>O24-P24</f>
        <v>465753.47181818192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0</v>
      </c>
      <c r="W24" s="19">
        <f t="shared" si="2"/>
        <v>37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81708.579999999885</v>
      </c>
      <c r="E25" s="24">
        <f>Tabela13[[#This Row],[META A]]-Tabela13[[#This Row],[ATINGIDO]]</f>
        <v>60791.420000000115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3900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0</v>
      </c>
      <c r="W25" s="19">
        <f t="shared" si="2"/>
        <v>51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45589.900000000074</v>
      </c>
      <c r="E26" s="27">
        <f>Tabela13[[#This Row],[META A]]-Tabela13[[#This Row],[ATINGIDO]]</f>
        <v>44410.099999999926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155921.10999999987</v>
      </c>
      <c r="E27" s="24">
        <f>Tabela13[[#This Row],[META A]]-Tabela13[[#This Row],[ATINGIDO]]</f>
        <v>81578.89000000013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2550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228769.10999999967</v>
      </c>
      <c r="E28" s="27">
        <f>Tabela13[[#This Row],[META A]]-Tabela13[[#This Row],[ATINGIDO]]</f>
        <v>89730.890000000334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87483.25999999998</v>
      </c>
      <c r="E29" s="24">
        <f>Tabela13[[#This Row],[META A]]-Tabela13[[#This Row],[ATINGIDO]]</f>
        <v>87516.74000000002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88801.109999999913</v>
      </c>
      <c r="E30" s="27">
        <f>Tabela13[[#This Row],[META A]]-Tabela13[[#This Row],[ATINGIDO]]</f>
        <v>45698.890000000087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104847.86999999995</v>
      </c>
      <c r="E31" s="24">
        <f>Tabela13[[#This Row],[META A]]-Tabela13[[#This Row],[ATINGIDO]]</f>
        <v>62152.130000000048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256617.49999999983</v>
      </c>
      <c r="K31" s="7">
        <f>I31-J31</f>
        <v>134132.50000000017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169078.53999999986</v>
      </c>
      <c r="E32" s="27">
        <f>Tabela13[[#This Row],[META A]]-Tabela13[[#This Row],[ATINGIDO]]</f>
        <v>90921.460000000137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501687.34000000299</v>
      </c>
      <c r="K32" s="7">
        <f t="shared" ref="K32:K34" si="4">I32-J32</f>
        <v>19312.659999997006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56024.890000000094</v>
      </c>
      <c r="E33" s="24">
        <f>Tabela13[[#This Row],[META A]]-Tabela13[[#This Row],[ATINGIDO]]</f>
        <v>43975.109999999906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656209.83000000252</v>
      </c>
      <c r="K33" s="7">
        <f t="shared" si="4"/>
        <v>-4959.8300000025192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81</v>
      </c>
      <c r="W33" s="6">
        <f t="shared" si="3"/>
        <v>91.272727272727252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309572.35000000085</v>
      </c>
      <c r="K34" s="7">
        <f t="shared" si="4"/>
        <v>341677.64999999915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51511.549999999988</v>
      </c>
      <c r="E35" s="24">
        <f>Tabela13[[#This Row],[META A]]-Tabela13[[#This Row],[ATINGIDO]]</f>
        <v>21488.450000000012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1392309.7799999886</v>
      </c>
      <c r="E42" s="7">
        <f t="shared" si="5"/>
        <v>-741059.77999998862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497196.76500000083</v>
      </c>
      <c r="E43" s="7">
        <f t="shared" si="5"/>
        <v>154053.23499999917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2026-07-22T10:32:15Z</dcterms:modified>
</cp:coreProperties>
</file>