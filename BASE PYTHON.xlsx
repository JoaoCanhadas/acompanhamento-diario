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O:\VENDAS\BASE DADOS\IATAGAM\BASES\ACOMPANHAMENTO DIARIO\"/>
    </mc:Choice>
  </mc:AlternateContent>
  <xr:revisionPtr revIDLastSave="0" documentId="13_ncr:1_{523F3A00-42F7-41D0-8F02-318644F30C1D}" xr6:coauthVersionLast="47" xr6:coauthVersionMax="47" xr10:uidLastSave="{00000000-0000-0000-0000-000000000000}"/>
  <bookViews>
    <workbookView xWindow="-120" yWindow="-120" windowWidth="29040" windowHeight="15720" xr2:uid="{FAEB2262-BDE3-4F12-A731-117DAEC20A7D}"/>
  </bookViews>
  <sheets>
    <sheet name="Planilha1" sheetId="2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V10" i="2" l="1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24" i="2"/>
  <c r="V25" i="2"/>
  <c r="V26" i="2"/>
  <c r="U10" i="2"/>
  <c r="U11" i="2"/>
  <c r="U12" i="2"/>
  <c r="U13" i="2"/>
  <c r="U14" i="2"/>
  <c r="U15" i="2"/>
  <c r="U16" i="2"/>
  <c r="U17" i="2"/>
  <c r="U18" i="2"/>
  <c r="U19" i="2"/>
  <c r="U20" i="2"/>
  <c r="U21" i="2"/>
  <c r="U22" i="2"/>
  <c r="U23" i="2"/>
  <c r="U24" i="2"/>
  <c r="U25" i="2"/>
  <c r="U26" i="2"/>
  <c r="P11" i="2"/>
  <c r="P12" i="2"/>
  <c r="P13" i="2"/>
  <c r="P14" i="2"/>
  <c r="P15" i="2"/>
  <c r="P16" i="2"/>
  <c r="P17" i="2"/>
  <c r="O12" i="2" a="1"/>
  <c r="O12" i="2" s="1"/>
  <c r="O13" i="2" a="1"/>
  <c r="O13" i="2" s="1"/>
  <c r="O14" i="2" a="1"/>
  <c r="O14" i="2" s="1"/>
  <c r="O15" i="2" a="1"/>
  <c r="O15" i="2" s="1"/>
  <c r="O16" i="2" a="1"/>
  <c r="O16" i="2" s="1"/>
  <c r="O17" i="2" a="1"/>
  <c r="O17" i="2" s="1"/>
  <c r="O11" i="2" a="1"/>
  <c r="O11" i="2" s="1"/>
  <c r="V33" i="2"/>
  <c r="V32" i="2"/>
  <c r="V30" i="2"/>
  <c r="V31" i="2"/>
  <c r="V34" i="2"/>
  <c r="Q11" i="2" l="1"/>
  <c r="U4" i="2"/>
  <c r="W15" i="2"/>
  <c r="U5" i="2"/>
  <c r="Q12" i="2"/>
  <c r="W10" i="2"/>
  <c r="C10" i="2"/>
  <c r="D10" i="2"/>
  <c r="D11" i="2"/>
  <c r="D12" i="2"/>
  <c r="E12" i="2" s="1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I32" i="2" a="1"/>
  <c r="I32" i="2" s="1"/>
  <c r="I33" i="2" a="1"/>
  <c r="I33" i="2" s="1"/>
  <c r="I34" i="2" a="1"/>
  <c r="I34" i="2" s="1"/>
  <c r="I35" i="2" a="1"/>
  <c r="I35" i="2" s="1"/>
  <c r="I31" i="2" a="1"/>
  <c r="I31" i="2" s="1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C39" i="2" a="1"/>
  <c r="C39" i="2" s="1"/>
  <c r="C40" i="2" a="1"/>
  <c r="C40" i="2" s="1"/>
  <c r="C41" i="2" a="1"/>
  <c r="C41" i="2" s="1"/>
  <c r="C42" i="2" a="1"/>
  <c r="C42" i="2" s="1"/>
  <c r="C43" i="2" a="1"/>
  <c r="C43" i="2" s="1"/>
  <c r="C11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J32" i="2"/>
  <c r="J34" i="2"/>
  <c r="P22" i="2"/>
  <c r="D40" i="2"/>
  <c r="D39" i="2"/>
  <c r="P25" i="2"/>
  <c r="P24" i="2"/>
  <c r="D41" i="2"/>
  <c r="P23" i="2"/>
  <c r="J33" i="2"/>
  <c r="P21" i="2"/>
  <c r="J35" i="2"/>
  <c r="J31" i="2"/>
  <c r="D42" i="2"/>
  <c r="D43" i="2"/>
  <c r="K16" i="2" l="1"/>
  <c r="K20" i="2"/>
  <c r="K19" i="2"/>
  <c r="K12" i="2"/>
  <c r="K27" i="2"/>
  <c r="K11" i="2"/>
  <c r="U6" i="2"/>
  <c r="U7" i="2" s="1"/>
  <c r="E31" i="2"/>
  <c r="E15" i="2"/>
  <c r="K22" i="2"/>
  <c r="K21" i="2"/>
  <c r="K18" i="2"/>
  <c r="K17" i="2"/>
  <c r="K15" i="2"/>
  <c r="K14" i="2"/>
  <c r="K13" i="2"/>
  <c r="K26" i="2"/>
  <c r="K10" i="2"/>
  <c r="K25" i="2"/>
  <c r="K24" i="2"/>
  <c r="K23" i="2"/>
  <c r="E32" i="2"/>
  <c r="E16" i="2"/>
  <c r="K35" i="2"/>
  <c r="E30" i="2"/>
  <c r="E14" i="2"/>
  <c r="E29" i="2"/>
  <c r="E13" i="2"/>
  <c r="E28" i="2"/>
  <c r="E27" i="2"/>
  <c r="E11" i="2"/>
  <c r="E26" i="2"/>
  <c r="E25" i="2"/>
  <c r="E24" i="2"/>
  <c r="E21" i="2"/>
  <c r="E22" i="2"/>
  <c r="E20" i="2"/>
  <c r="E35" i="2"/>
  <c r="E19" i="2"/>
  <c r="E23" i="2"/>
  <c r="E34" i="2"/>
  <c r="E18" i="2"/>
  <c r="E33" i="2"/>
  <c r="E17" i="2"/>
  <c r="C5" i="2"/>
  <c r="E10" i="2"/>
  <c r="E43" i="2" l="1"/>
  <c r="I5" i="2" l="1"/>
  <c r="O4" i="2"/>
  <c r="O5" i="2"/>
  <c r="C4" i="2"/>
  <c r="C6" i="2" s="1"/>
  <c r="C7" i="2" s="1"/>
  <c r="K34" i="2"/>
  <c r="K32" i="2"/>
  <c r="K33" i="2"/>
  <c r="K31" i="2"/>
  <c r="W18" i="2"/>
  <c r="O6" i="2" l="1"/>
  <c r="O7" i="2" s="1"/>
  <c r="W14" i="2" l="1"/>
  <c r="W19" i="2"/>
  <c r="W23" i="2"/>
  <c r="W11" i="2"/>
  <c r="W12" i="2"/>
  <c r="W22" i="2"/>
  <c r="W21" i="2"/>
  <c r="W25" i="2"/>
  <c r="W24" i="2"/>
  <c r="W26" i="2"/>
  <c r="W17" i="2"/>
  <c r="W20" i="2"/>
  <c r="W13" i="2"/>
  <c r="W16" i="2"/>
  <c r="Q13" i="2" l="1"/>
  <c r="Q14" i="2"/>
  <c r="Q15" i="2"/>
  <c r="Q16" i="2"/>
  <c r="Q17" i="2"/>
  <c r="I4" i="2" l="1"/>
  <c r="I6" i="2" s="1"/>
  <c r="I7" i="2" s="1"/>
  <c r="E41" i="2"/>
  <c r="E42" i="2"/>
  <c r="E39" i="2"/>
  <c r="E40" i="2"/>
  <c r="O23" i="2" a="1"/>
  <c r="O23" i="2" s="1"/>
  <c r="Q23" i="2" s="1"/>
  <c r="O24" i="2" a="1"/>
  <c r="O24" i="2" s="1"/>
  <c r="Q24" i="2" s="1"/>
  <c r="O25" i="2" a="1"/>
  <c r="O25" i="2" s="1"/>
  <c r="Q25" i="2" s="1"/>
  <c r="O22" i="2" a="1"/>
  <c r="O22" i="2" s="1"/>
  <c r="Q22" i="2" s="1"/>
  <c r="U30" i="2" l="1" a="1"/>
  <c r="U30" i="2" s="1"/>
  <c r="W30" i="2" s="1"/>
  <c r="U31" i="2" a="1"/>
  <c r="U31" i="2" s="1"/>
  <c r="W31" i="2" s="1"/>
  <c r="U32" i="2" a="1"/>
  <c r="U32" i="2" s="1"/>
  <c r="W32" i="2" s="1"/>
  <c r="U33" i="2" a="1"/>
  <c r="U33" i="2" s="1"/>
  <c r="W33" i="2" s="1"/>
  <c r="U34" i="2" a="1"/>
  <c r="U34" i="2" s="1"/>
  <c r="W34" i="2" s="1"/>
  <c r="O21" i="2" l="1" a="1"/>
  <c r="O21" i="2" s="1"/>
  <c r="Q21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2">
    <metadataType name="XLMDX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metadataStrings count="3">
    <s v="ThisWorkbookDataModel"/>
    <s v="{[Intervalo 2].[DATA].[All]}"/>
    <s v="{[Intervalo 2].[DATA].&amp;[2026-07-16T00:00:00]}"/>
  </metadataStrings>
  <mdxMetadata count="2">
    <mdx n="0" f="s">
      <ms ns="1" c="0"/>
    </mdx>
    <mdx n="0" f="s">
      <ms ns="2" c="0"/>
    </mdx>
  </mdx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<sst xmlns="http://schemas.openxmlformats.org/spreadsheetml/2006/main" count="213" uniqueCount="54">
  <si>
    <t>META DIA</t>
  </si>
  <si>
    <t>ATINGIDO</t>
  </si>
  <si>
    <t>FALTA</t>
  </si>
  <si>
    <t>REALIZADO</t>
  </si>
  <si>
    <t>SEMANA 1</t>
  </si>
  <si>
    <t>VENDEDOR</t>
  </si>
  <si>
    <t>COMPROMISSO</t>
  </si>
  <si>
    <t>CAMPINAS</t>
  </si>
  <si>
    <t>CENTRO</t>
  </si>
  <si>
    <t>INDAIATUBA</t>
  </si>
  <si>
    <t>INTERLAGOS</t>
  </si>
  <si>
    <t>JUNDIAI</t>
  </si>
  <si>
    <t>LESTE</t>
  </si>
  <si>
    <t>LESTE MOOCA</t>
  </si>
  <si>
    <t>LESTE PENHA</t>
  </si>
  <si>
    <t>LESTE TATUAPE</t>
  </si>
  <si>
    <t>MOGI</t>
  </si>
  <si>
    <t>NORTE</t>
  </si>
  <si>
    <t>OSASCO</t>
  </si>
  <si>
    <t>PIRITUBA</t>
  </si>
  <si>
    <t>SANTO ANDRE</t>
  </si>
  <si>
    <t>SBC</t>
  </si>
  <si>
    <t>SJC</t>
  </si>
  <si>
    <t>SJC/VALE</t>
  </si>
  <si>
    <t>VENDEDOR INTERNO 1</t>
  </si>
  <si>
    <t>META</t>
  </si>
  <si>
    <t>KEY ABC</t>
  </si>
  <si>
    <t>KEY PIRACICABA</t>
  </si>
  <si>
    <t>KEY ZL</t>
  </si>
  <si>
    <t>KEY INTERIOR</t>
  </si>
  <si>
    <t>KEY SP</t>
  </si>
  <si>
    <t>KEY SJC</t>
  </si>
  <si>
    <t>KEY CASA</t>
  </si>
  <si>
    <t>META A</t>
  </si>
  <si>
    <t>GERAL</t>
  </si>
  <si>
    <t>VAREJO</t>
  </si>
  <si>
    <t>KEY</t>
  </si>
  <si>
    <t>META SEMANAL</t>
  </si>
  <si>
    <t>META MÊS</t>
  </si>
  <si>
    <t>ECOMMERCE</t>
  </si>
  <si>
    <t>PIRACICABA</t>
  </si>
  <si>
    <t>MOOCA</t>
  </si>
  <si>
    <t>PENHA</t>
  </si>
  <si>
    <t>TATUAPE</t>
  </si>
  <si>
    <t>VALE</t>
  </si>
  <si>
    <t>INTERNO 1</t>
  </si>
  <si>
    <t>REFERENCIA</t>
  </si>
  <si>
    <t>SEMANAL</t>
  </si>
  <si>
    <t>SEMANA 2</t>
  </si>
  <si>
    <t>SEMANA 3</t>
  </si>
  <si>
    <t>SEMANA 4</t>
  </si>
  <si>
    <t>IATAGAM JUNIOR</t>
  </si>
  <si>
    <t>SEMANA 5</t>
  </si>
  <si>
    <t>POSITIVACAO BRIOCHE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</si>
</sst>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6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7"/>
        <bgColor theme="7"/>
      </patternFill>
    </fill>
    <fill>
      <patternFill patternType="solid">
        <fgColor theme="5"/>
        <bgColor theme="5"/>
      </patternFill>
    </fill>
    <fill>
      <patternFill patternType="solid">
        <fgColor theme="4" tint="0.79998168889431442"/>
        <bgColor theme="4" tint="0.79998168889431442"/>
      </patternFill>
    </fill>
  </fills>
  <borders count="8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7" tint="0.39997558519241921"/>
      </top>
      <bottom style="thin">
        <color theme="7" tint="0.39997558519241921"/>
      </bottom>
      <diagonal/>
    </border>
    <border>
      <left/>
      <right/>
      <top style="thin">
        <color theme="5" tint="0.39997558519241921"/>
      </top>
      <bottom style="thin">
        <color theme="5" tint="0.3999755851924192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7" tint="0.39997558519241921"/>
      </top>
      <bottom/>
      <diagonal/>
    </border>
  </borders>
  <cellStyleXfs count="7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29">
    <xf numFmtId="0" fontId="0" fillId="0" borderId="0" xfId="0"/>
    <xf numFmtId="44" fontId="0" fillId="0" borderId="0" xfId="2" applyFont="1"/>
    <xf numFmtId="44" fontId="0" fillId="0" borderId="0" xfId="2" applyFont="1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0" borderId="0" xfId="0" applyAlignment="1">
      <alignment horizontal="center"/>
    </xf>
    <xf numFmtId="1" fontId="0" fillId="0" borderId="0" xfId="2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44" fontId="0" fillId="0" borderId="0" xfId="0" applyNumberFormat="1" applyAlignment="1">
      <alignment horizontal="center"/>
    </xf>
    <xf numFmtId="0" fontId="3" fillId="2" borderId="0" xfId="0" applyFont="1" applyFill="1" applyAlignment="1">
      <alignment horizontal="center"/>
    </xf>
    <xf numFmtId="44" fontId="4" fillId="0" borderId="0" xfId="2" applyFont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3" fillId="6" borderId="4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44" fontId="0" fillId="0" borderId="0" xfId="0" quotePrefix="1" applyNumberFormat="1" applyAlignment="1">
      <alignment horizontal="center"/>
    </xf>
    <xf numFmtId="0" fontId="0" fillId="0" borderId="5" xfId="0" applyBorder="1" applyAlignment="1">
      <alignment horizontal="center"/>
    </xf>
    <xf numFmtId="44" fontId="0" fillId="0" borderId="5" xfId="2" applyFont="1" applyBorder="1" applyAlignment="1">
      <alignment horizontal="center"/>
    </xf>
    <xf numFmtId="0" fontId="3" fillId="0" borderId="0" xfId="0" applyFont="1" applyAlignment="1">
      <alignment horizontal="center"/>
    </xf>
    <xf numFmtId="0" fontId="0" fillId="0" borderId="7" xfId="0" applyBorder="1" applyAlignment="1">
      <alignment horizontal="center"/>
    </xf>
    <xf numFmtId="0" fontId="3" fillId="4" borderId="0" xfId="0" applyFont="1" applyFill="1" applyAlignment="1">
      <alignment horizontal="center"/>
    </xf>
    <xf numFmtId="0" fontId="0" fillId="0" borderId="6" xfId="0" applyBorder="1" applyAlignment="1">
      <alignment horizontal="center"/>
    </xf>
    <xf numFmtId="44" fontId="0" fillId="0" borderId="6" xfId="2" applyFont="1" applyFill="1" applyBorder="1" applyAlignment="1">
      <alignment horizontal="center"/>
    </xf>
    <xf numFmtId="44" fontId="0" fillId="0" borderId="6" xfId="0" applyNumberFormat="1" applyBorder="1" applyAlignment="1">
      <alignment horizontal="center"/>
    </xf>
    <xf numFmtId="44" fontId="0" fillId="0" borderId="5" xfId="0" applyNumberFormat="1" applyBorder="1" applyAlignment="1">
      <alignment horizontal="center"/>
    </xf>
    <xf numFmtId="0" fontId="0" fillId="7" borderId="5" xfId="0" applyFill="1" applyBorder="1" applyAlignment="1">
      <alignment horizontal="center"/>
    </xf>
    <xf numFmtId="44" fontId="0" fillId="7" borderId="5" xfId="2" applyFont="1" applyFill="1" applyBorder="1" applyAlignment="1">
      <alignment horizontal="center"/>
    </xf>
    <xf numFmtId="44" fontId="0" fillId="7" borderId="5" xfId="0" applyNumberFormat="1" applyFill="1" applyBorder="1" applyAlignment="1">
      <alignment horizontal="center"/>
    </xf>
    <xf numFmtId="44" fontId="3" fillId="4" borderId="0" xfId="2" applyFont="1" applyFill="1" applyBorder="1" applyAlignment="1">
      <alignment horizontal="center"/>
    </xf>
  </cellXfs>
  <cellStyles count="7">
    <cellStyle name="Moeda" xfId="2" builtinId="4"/>
    <cellStyle name="Moeda 2" xfId="4" xr:uid="{7DE5F1F3-E6BC-4FE7-8092-9A48A77E68FF}"/>
    <cellStyle name="Moeda 2 2" xfId="6" xr:uid="{5A1B1597-2B4C-4E88-8253-ECA821061BFB}"/>
    <cellStyle name="Moeda 3" xfId="5" xr:uid="{ADFE8EAE-C1CD-4B21-8B9A-EE8DE4CF3F21}"/>
    <cellStyle name="Moeda 4" xfId="3" xr:uid="{34F9FCC7-AAE8-4E87-B57D-864C5EA9E99E}"/>
    <cellStyle name="Normal" xfId="0" builtinId="0"/>
    <cellStyle name="Porcentagem" xfId="1" builtinId="5"/>
  </cellStyles>
  <dxfs count="7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border outline="0">
        <left style="thin">
          <color theme="1"/>
        </left>
        <right style="thin">
          <color theme="1"/>
        </right>
        <top style="thin">
          <color theme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border outline="0">
        <left style="thin">
          <color theme="7" tint="0.39997558519241921"/>
        </left>
        <right style="thin">
          <color theme="7" tint="0.39997558519241921"/>
        </right>
        <top style="thin">
          <color theme="7" tint="0.39997558519241921"/>
        </top>
        <bottom style="thin">
          <color theme="7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Conversor%20CX%20vs%20KG.xlsm" TargetMode="External"/><Relationship Id="rId2" Type="http://schemas.openxmlformats.org/officeDocument/2006/relationships/externalLinkPath" Target="file:///O:\VENDAS\BASE%20DADOS\IATAGAM\BASES\Conversor%20CX%20vs%20KG.xlsm" TargetMode="External"/><Relationship Id="rId1" Type="http://schemas.openxmlformats.org/officeDocument/2006/relationships/externalLinkPath" Target="/VENDAS/BASE%20DADOS/IATAGAM/BASES/Conversor%20CX%20vs%20KG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14H"/>
      <sheetName val="TOTAL"/>
      <sheetName val="VENDA DIA"/>
      <sheetName val="CONVERSOR"/>
      <sheetName val="SENSUM"/>
      <sheetName val="BASE PYTHON"/>
    </sheetNames>
    <sheetDataSet>
      <sheetData sheetId="0"/>
      <sheetData sheetId="1"/>
      <sheetData sheetId="2"/>
      <sheetData sheetId="3"/>
      <sheetData sheetId="4"/>
      <sheetData sheetId="5">
        <row r="1">
          <cell r="E1" t="str">
            <v>GERAL</v>
          </cell>
          <cell r="H1" t="str">
            <v>VAREJO/KEY DIA</v>
          </cell>
          <cell r="K1" t="str">
            <v>POSITIVACAO BRIOCHE</v>
          </cell>
        </row>
        <row r="2">
          <cell r="E2" t="str">
            <v>DATA</v>
          </cell>
          <cell r="F2" t="str" vm="1">
            <v>All</v>
          </cell>
          <cell r="H2" t="str">
            <v>DATA</v>
          </cell>
          <cell r="I2" t="str" vm="2">
            <v>16/07/2026</v>
          </cell>
          <cell r="K2" t="str">
            <v>DATA</v>
          </cell>
        </row>
        <row r="3">
          <cell r="K3" t="str">
            <v>DES_TIPO_OPERACAO</v>
          </cell>
        </row>
        <row r="4">
          <cell r="E4" t="str">
            <v>Rótulos de Linha</v>
          </cell>
          <cell r="F4" t="str">
            <v>Soma de TOTAL</v>
          </cell>
          <cell r="H4" t="str">
            <v>Rótulos de Linha</v>
          </cell>
          <cell r="I4" t="str">
            <v>Soma de TOTAL</v>
          </cell>
          <cell r="K4" t="str">
            <v>PRODUTO</v>
          </cell>
          <cell r="P4" t="str">
            <v>Soma de TOTAL</v>
          </cell>
        </row>
        <row r="5">
          <cell r="E5" t="str">
            <v>CAMPINAS</v>
          </cell>
          <cell r="F5">
            <v>26930.750000000011</v>
          </cell>
          <cell r="H5" t="str">
            <v>CAMPINAS</v>
          </cell>
          <cell r="I5">
            <v>1304.31</v>
          </cell>
        </row>
        <row r="6">
          <cell r="E6" t="str">
            <v>CENTRO</v>
          </cell>
          <cell r="F6">
            <v>181896.29</v>
          </cell>
          <cell r="H6" t="str">
            <v>CENTRO</v>
          </cell>
          <cell r="I6">
            <v>6844.6999999999989</v>
          </cell>
          <cell r="K6" t="str">
            <v>Contagem Distinta de COD_CLIENTE</v>
          </cell>
        </row>
        <row r="7">
          <cell r="E7" t="str">
            <v>ECOMMERCE</v>
          </cell>
          <cell r="F7">
            <v>828.94</v>
          </cell>
          <cell r="H7" t="str">
            <v>INDAIATUBA</v>
          </cell>
          <cell r="I7">
            <v>2016.5</v>
          </cell>
          <cell r="K7" t="str">
            <v>Rótulos de Linha</v>
          </cell>
          <cell r="N7" t="str">
            <v>Total Geral</v>
          </cell>
        </row>
        <row r="8">
          <cell r="E8" t="str">
            <v>IATAGAM JUNIOR</v>
          </cell>
          <cell r="F8">
            <v>100.09</v>
          </cell>
          <cell r="H8" t="str">
            <v>INTERLAGOS</v>
          </cell>
          <cell r="I8">
            <v>2353.0999999999995</v>
          </cell>
          <cell r="K8" t="str">
            <v>CENTRO</v>
          </cell>
          <cell r="N8">
            <v>34</v>
          </cell>
        </row>
        <row r="9">
          <cell r="E9" t="str">
            <v>INDAIATUBA</v>
          </cell>
          <cell r="F9">
            <v>36891.44000000001</v>
          </cell>
          <cell r="H9" t="str">
            <v>JUNDIAI</v>
          </cell>
          <cell r="I9">
            <v>781.7600000000001</v>
          </cell>
          <cell r="K9" t="str">
            <v>INDAIATUBA</v>
          </cell>
          <cell r="N9">
            <v>29</v>
          </cell>
        </row>
        <row r="10">
          <cell r="E10" t="str">
            <v>INTERLAGOS</v>
          </cell>
          <cell r="F10">
            <v>111316.87999999987</v>
          </cell>
          <cell r="H10" t="str">
            <v>KEY ABC</v>
          </cell>
          <cell r="I10">
            <v>13637.5</v>
          </cell>
          <cell r="K10" t="str">
            <v>JUNDIAI</v>
          </cell>
          <cell r="N10">
            <v>16</v>
          </cell>
        </row>
        <row r="11">
          <cell r="E11" t="str">
            <v>JUNDIAI</v>
          </cell>
          <cell r="F11">
            <v>40012.410000000025</v>
          </cell>
          <cell r="H11" t="str">
            <v>KEY SP</v>
          </cell>
          <cell r="I11">
            <v>11566.400000000001</v>
          </cell>
          <cell r="K11" t="str">
            <v>LESTE</v>
          </cell>
          <cell r="N11">
            <v>25</v>
          </cell>
        </row>
        <row r="12">
          <cell r="E12" t="str">
            <v>KEY ABC</v>
          </cell>
          <cell r="F12">
            <v>174575.71999999997</v>
          </cell>
          <cell r="H12" t="str">
            <v>KEY ZL</v>
          </cell>
          <cell r="I12">
            <v>3075.6</v>
          </cell>
          <cell r="K12" t="str">
            <v>LESTE PENHA</v>
          </cell>
          <cell r="N12">
            <v>16</v>
          </cell>
        </row>
        <row r="13">
          <cell r="E13" t="str">
            <v>KEY CASA</v>
          </cell>
          <cell r="F13">
            <v>161197.35999999999</v>
          </cell>
          <cell r="H13" t="str">
            <v>LESTE</v>
          </cell>
          <cell r="I13">
            <v>856.4</v>
          </cell>
          <cell r="K13" t="str">
            <v>LESTE TATUAPE</v>
          </cell>
          <cell r="N13">
            <v>23</v>
          </cell>
        </row>
        <row r="14">
          <cell r="E14" t="str">
            <v>KEY INTERIOR</v>
          </cell>
          <cell r="F14">
            <v>513142.70000000019</v>
          </cell>
          <cell r="H14" t="str">
            <v>LESTE MOOCA</v>
          </cell>
          <cell r="I14">
            <v>1293</v>
          </cell>
          <cell r="K14" t="str">
            <v>NORTE</v>
          </cell>
          <cell r="N14">
            <v>30</v>
          </cell>
        </row>
        <row r="15">
          <cell r="E15" t="str">
            <v>KEY PIRACICABA</v>
          </cell>
          <cell r="F15">
            <v>60082.260000000017</v>
          </cell>
          <cell r="H15" t="str">
            <v>LESTE PENHA</v>
          </cell>
          <cell r="I15">
            <v>996.34999999999991</v>
          </cell>
          <cell r="K15" t="str">
            <v>OSASCO</v>
          </cell>
          <cell r="N15">
            <v>45</v>
          </cell>
        </row>
        <row r="16">
          <cell r="E16" t="str">
            <v>KEY SJC</v>
          </cell>
          <cell r="F16">
            <v>36418.899999999994</v>
          </cell>
          <cell r="H16" t="str">
            <v>LESTE TATUAPE</v>
          </cell>
          <cell r="I16">
            <v>1434.75</v>
          </cell>
          <cell r="K16" t="str">
            <v>PIRITUBA</v>
          </cell>
          <cell r="N16">
            <v>27</v>
          </cell>
        </row>
        <row r="17">
          <cell r="E17" t="str">
            <v>KEY SP</v>
          </cell>
          <cell r="F17">
            <v>181399.52000000014</v>
          </cell>
          <cell r="H17" t="str">
            <v>MOGI</v>
          </cell>
          <cell r="I17">
            <v>2197.6</v>
          </cell>
          <cell r="K17" t="str">
            <v>SANTO ANDRE</v>
          </cell>
          <cell r="N17">
            <v>21</v>
          </cell>
        </row>
        <row r="18">
          <cell r="E18" t="str">
            <v>KEY ZL</v>
          </cell>
          <cell r="F18">
            <v>206904.88</v>
          </cell>
          <cell r="H18" t="str">
            <v>NORTE</v>
          </cell>
          <cell r="I18">
            <v>9723</v>
          </cell>
          <cell r="K18" t="str">
            <v>SJC</v>
          </cell>
          <cell r="N18">
            <v>19</v>
          </cell>
        </row>
        <row r="19">
          <cell r="E19" t="str">
            <v>LESTE</v>
          </cell>
          <cell r="F19">
            <v>50153.310000000019</v>
          </cell>
          <cell r="H19" t="str">
            <v>OSASCO</v>
          </cell>
          <cell r="I19">
            <v>3754.1</v>
          </cell>
          <cell r="K19" t="str">
            <v>Total Geral</v>
          </cell>
          <cell r="N19">
            <v>285</v>
          </cell>
        </row>
        <row r="20">
          <cell r="E20" t="str">
            <v>LESTE MOOCA</v>
          </cell>
          <cell r="F20">
            <v>88647.899999999878</v>
          </cell>
          <cell r="H20" t="str">
            <v>PIRITUBA</v>
          </cell>
          <cell r="I20">
            <v>2872.3700000000003</v>
          </cell>
        </row>
        <row r="21">
          <cell r="E21" t="str">
            <v>LESTE PENHA</v>
          </cell>
          <cell r="F21">
            <v>65392.23</v>
          </cell>
          <cell r="H21" t="str">
            <v>SANTO ANDRE</v>
          </cell>
          <cell r="I21">
            <v>853.1</v>
          </cell>
        </row>
        <row r="22">
          <cell r="E22" t="str">
            <v>LESTE TATUAPE</v>
          </cell>
          <cell r="F22">
            <v>53035.3100000001</v>
          </cell>
          <cell r="H22" t="str">
            <v>SBC</v>
          </cell>
          <cell r="I22">
            <v>5748.5499999999984</v>
          </cell>
        </row>
        <row r="23">
          <cell r="E23" t="str">
            <v>MOGI</v>
          </cell>
          <cell r="F23">
            <v>30794.440000000057</v>
          </cell>
          <cell r="H23" t="str">
            <v>SJC</v>
          </cell>
          <cell r="I23">
            <v>1202.75</v>
          </cell>
        </row>
        <row r="24">
          <cell r="E24" t="str">
            <v>NORTE</v>
          </cell>
          <cell r="F24">
            <v>124836.28999999983</v>
          </cell>
          <cell r="H24" t="str">
            <v>SJC/VALE</v>
          </cell>
          <cell r="I24">
            <v>665.54</v>
          </cell>
        </row>
        <row r="25">
          <cell r="E25" t="str">
            <v>OSASCO</v>
          </cell>
          <cell r="F25">
            <v>165483.18</v>
          </cell>
          <cell r="H25" t="str">
            <v>VENDEDOR INTERNO 1</v>
          </cell>
          <cell r="I25">
            <v>1040.82</v>
          </cell>
        </row>
        <row r="26">
          <cell r="E26" t="str">
            <v>PIRITUBA</v>
          </cell>
          <cell r="F26">
            <v>68864.489999999962</v>
          </cell>
          <cell r="H26" t="str">
            <v>Total Geral</v>
          </cell>
          <cell r="I26">
            <v>74218.2</v>
          </cell>
        </row>
        <row r="27">
          <cell r="E27" t="str">
            <v>SANTO ANDRE</v>
          </cell>
          <cell r="F27">
            <v>77338.629999999946</v>
          </cell>
        </row>
        <row r="28">
          <cell r="E28" t="str">
            <v>SBC</v>
          </cell>
          <cell r="F28">
            <v>126422.29999999987</v>
          </cell>
        </row>
        <row r="29">
          <cell r="E29" t="str">
            <v>SJC</v>
          </cell>
          <cell r="F29">
            <v>44063.920000000042</v>
          </cell>
        </row>
        <row r="30">
          <cell r="E30" t="str">
            <v>SJC/VALE</v>
          </cell>
          <cell r="F30">
            <v>20737.710000000003</v>
          </cell>
        </row>
        <row r="31">
          <cell r="E31" t="str">
            <v>VENDEDOR INTERNO 1</v>
          </cell>
          <cell r="F31">
            <v>38431.760000000009</v>
          </cell>
        </row>
        <row r="32">
          <cell r="E32" t="str">
            <v>Total Geral</v>
          </cell>
          <cell r="F32">
            <v>2685899.6099999631</v>
          </cell>
          <cell r="P32" t="str">
            <v>Soma de TOTAL</v>
          </cell>
        </row>
        <row r="47">
          <cell r="P47" t="str">
            <v>Soma de TOTAL</v>
          </cell>
        </row>
        <row r="85">
          <cell r="P85" t="str">
            <v>Contagem Distinta de COD_CLIENTE</v>
          </cell>
        </row>
        <row r="86">
          <cell r="E86" t="str">
            <v>SEMANA 4</v>
          </cell>
          <cell r="F86" t="str">
            <v>SEMANA 5</v>
          </cell>
        </row>
        <row r="98">
          <cell r="E98" t="str">
            <v>CANAL</v>
          </cell>
        </row>
        <row r="99">
          <cell r="E99" t="str">
            <v>VAREJO</v>
          </cell>
        </row>
        <row r="100">
          <cell r="E100" t="str">
            <v>VAREJO</v>
          </cell>
        </row>
        <row r="101">
          <cell r="E101" t="str">
            <v>VAREJO</v>
          </cell>
        </row>
        <row r="102">
          <cell r="E102" t="str">
            <v>VAREJO</v>
          </cell>
        </row>
        <row r="103">
          <cell r="E103" t="str">
            <v>VAREJO</v>
          </cell>
        </row>
        <row r="104">
          <cell r="E104" t="str">
            <v>VAREJO</v>
          </cell>
        </row>
        <row r="105">
          <cell r="E105" t="str">
            <v>VAREJO</v>
          </cell>
        </row>
        <row r="106">
          <cell r="E106" t="str">
            <v>VAREJO</v>
          </cell>
        </row>
        <row r="107">
          <cell r="E107" t="str">
            <v>VAREJO</v>
          </cell>
        </row>
        <row r="108">
          <cell r="E108" t="str">
            <v>VAREJO</v>
          </cell>
        </row>
        <row r="109">
          <cell r="E109" t="str">
            <v>VAREJO</v>
          </cell>
        </row>
        <row r="110">
          <cell r="E110" t="str">
            <v>VAREJO</v>
          </cell>
        </row>
        <row r="111">
          <cell r="E111" t="str">
            <v>VAREJO</v>
          </cell>
        </row>
        <row r="112">
          <cell r="E112" t="str">
            <v>VAREJO</v>
          </cell>
        </row>
        <row r="113">
          <cell r="E113" t="str">
            <v>VAREJO</v>
          </cell>
        </row>
        <row r="114">
          <cell r="E114" t="str">
            <v>VAREJO</v>
          </cell>
        </row>
        <row r="115">
          <cell r="E115" t="str">
            <v>VAREJO</v>
          </cell>
        </row>
        <row r="116">
          <cell r="E116" t="str">
            <v>VAREJO</v>
          </cell>
        </row>
        <row r="117">
          <cell r="E117" t="str">
            <v>ECOMMERCE</v>
          </cell>
        </row>
        <row r="118">
          <cell r="E118" t="str">
            <v>KEY ACCOUNT</v>
          </cell>
        </row>
        <row r="119">
          <cell r="E119" t="str">
            <v>KEY ACCOUNT</v>
          </cell>
        </row>
        <row r="120">
          <cell r="E120" t="str">
            <v>KEY ACCOUNT</v>
          </cell>
        </row>
        <row r="121">
          <cell r="E121" t="str">
            <v>KEY ACCOUNT</v>
          </cell>
        </row>
        <row r="122">
          <cell r="E122" t="str">
            <v>KEY ACCOUNT</v>
          </cell>
        </row>
        <row r="123">
          <cell r="E123" t="str">
            <v>KEY ACCOUNT</v>
          </cell>
        </row>
        <row r="124">
          <cell r="E124" t="str">
            <v>KEY ACCOUNT</v>
          </cell>
        </row>
      </sheetData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97E85A-DD10-4825-81C1-53CD3989178B}" name="Tabela1" displayName="Tabela1" ref="B4:C7" headerRowCount="0" totalsRowShown="0" headerRowDxfId="77" dataDxfId="76">
  <tableColumns count="2">
    <tableColumn id="1" xr3:uid="{3308613D-E7FC-469E-B078-C5AC910E183B}" name="Coluna1" dataDxfId="75"/>
    <tableColumn id="2" xr3:uid="{C994D666-6174-475E-AE71-1F12062A5225}" name="Coluna2" headerRowDxfId="74" dataDxfId="73" dataCellStyle="Moeda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3157CCA-AE81-44E6-8AC3-6B69E02394E0}" name="Tabela3" displayName="Tabela3" ref="B38:E43" totalsRowShown="0" headerRowDxfId="72" dataDxfId="71">
  <autoFilter ref="B38:E43" xr:uid="{A3157CCA-AE81-44E6-8AC3-6B69E02394E0}">
    <filterColumn colId="0" hiddenButton="1"/>
    <filterColumn colId="1" hiddenButton="1"/>
    <filterColumn colId="2" hiddenButton="1"/>
    <filterColumn colId="3" hiddenButton="1"/>
  </autoFilter>
  <tableColumns count="4">
    <tableColumn id="1" xr3:uid="{D5CFA35F-1C13-42CF-B05C-430BF14AC2B0}" name="SEMANAL" dataDxfId="70"/>
    <tableColumn id="2" xr3:uid="{06063E15-5C9E-4303-B5F6-B9D0B178DB82}" name="META" dataDxfId="69" dataCellStyle="Moeda">
      <calculatedColumnFormula array="1">_xlfn.XLOOKUP(Tabela3[[#This Row],[SEMANAL]],[1]!Tabela9[[#All],[Coluna1]],[1]!Tabela9[[#All],[Coluna2]])</calculatedColumnFormula>
    </tableColumn>
    <tableColumn id="3" xr3:uid="{425F53BB-8CBB-40E8-9773-1C7C39906AD7}" name="REALIZADO" dataDxfId="68" dataCellStyle="Moeda">
      <calculatedColumnFormula>IFERROR(GETPIVOTDATA("[Measures].[Soma de TOTAL 3]",'[1]BASE PYTHON'!$P$47,"[Intervalo 2].[SEMANA]","[Intervalo 2].[SEMANA].&amp;[2]"),0)</calculatedColumnFormula>
    </tableColumn>
    <tableColumn id="4" xr3:uid="{A18F5082-185F-44C4-B163-8A3CBDDA6732}" name="FALTA" dataDxfId="67">
      <calculatedColumnFormula>C39-D39</calculatedColumnFormula>
    </tableColumn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A69D712-8843-4CBF-AD2F-C801E56B1CFC}" name="Tabela4" displayName="Tabela4" ref="H4:I7" headerRowCount="0" totalsRowShown="0" headerRowDxfId="66" dataDxfId="65">
  <tableColumns count="2">
    <tableColumn id="1" xr3:uid="{C661D03F-A79A-4D24-86FD-3574B6E5537D}" name="Coluna1" dataDxfId="64"/>
    <tableColumn id="2" xr3:uid="{7EF7A574-C8A3-4CB7-9C98-86948FE130EB}" name="Coluna2" headerRowDxfId="63" dataDxfId="6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75040F9-F863-450B-ACF9-7CEC08A64AB4}" name="Tabela6" displayName="Tabela6" ref="H30:K35" totalsRowShown="0" headerRowDxfId="61" dataDxfId="60">
  <autoFilter ref="H30:K35" xr:uid="{A75040F9-F863-450B-ACF9-7CEC08A64AB4}">
    <filterColumn colId="0" hiddenButton="1"/>
    <filterColumn colId="1" hiddenButton="1"/>
    <filterColumn colId="2" hiddenButton="1"/>
    <filterColumn colId="3" hiddenButton="1"/>
  </autoFilter>
  <tableColumns count="4">
    <tableColumn id="1" xr3:uid="{14E3BD3B-54B0-47BF-931C-064E12741C86}" name="SEMANAL" dataDxfId="59"/>
    <tableColumn id="2" xr3:uid="{67CE9FE2-AA11-4BD4-9F34-EDC9123EA89F}" name="META" dataDxfId="58" dataCellStyle="Moeda">
      <calculatedColumnFormula array="1">_xlfn.XLOOKUP(Tabela6[[#This Row],[SEMANAL]],[1]!Tabela9[[#All],[Coluna1]],[1]!Tabela9[[#All],[Coluna2]])</calculatedColumnFormula>
    </tableColumn>
    <tableColumn id="3" xr3:uid="{14D3AA11-9DFC-420F-8F5A-5002E14D4AAA}" name="REALIZADO" dataDxfId="57">
      <calculatedColumnFormula>IFERROR(GETPIVOTDATA("[Measures].[Soma de TOTAL 3]",'[1]BASE PYTHON'!$P$4,"[Intervalo 2].[SEMANA]","[Intervalo 2].[SEMANA].&amp;[2]"),0)</calculatedColumnFormula>
    </tableColumn>
    <tableColumn id="4" xr3:uid="{16DC2DF3-76D8-4A80-B29C-E276BB17D8FF}" name="FALTA" dataDxfId="56">
      <calculatedColumnFormula>I31-J31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D5C0B8F-3138-4FD4-9A83-375E8D4AC464}" name="Tabela7" displayName="Tabela7" ref="N4:O7" headerRowCount="0" totalsRowShown="0" headerRowDxfId="55" dataDxfId="54">
  <tableColumns count="2">
    <tableColumn id="1" xr3:uid="{0139F26F-4C9F-4E96-9F64-C5C5B271DCA9}" name="Coluna1" dataDxfId="53"/>
    <tableColumn id="2" xr3:uid="{1DA3E17F-38EB-4042-B2F0-3DFB7629A3F5}" name="Coluna2" headerRowDxfId="52" dataDxfId="51"/>
  </tableColumns>
  <tableStyleInfo name="TableStyleMedium3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7A5A608-D233-46F9-8E75-B1963DE71BC6}" name="Tabela8" displayName="Tabela8" ref="M10:Q17" totalsRowShown="0" headerRowDxfId="50" dataDxfId="49" dataCellStyle="Moeda">
  <autoFilter ref="M10:Q17" xr:uid="{87A5A608-D233-46F9-8E75-B1963DE71BC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EE89D966-6315-4DB4-9927-EEB09B51F44E}" name="VENDEDOR" dataDxfId="48"/>
    <tableColumn id="2" xr3:uid="{0B55D821-52F8-4CE2-9F16-C5BCDBCE53AC}" name="REFERENCIA" dataDxfId="47"/>
    <tableColumn id="3" xr3:uid="{B5D24BF0-392E-420D-BB1D-3FED1D3383B5}" name="COMPROMISSO" dataDxfId="46" dataCellStyle="Moeda">
      <calculatedColumnFormula array="1">IFERROR(_xlfn.XLOOKUP(M11,[1]!Tabela3[[#All],[VENDEDOR]],INDEX([1]!Tabela3[#All],0,MATCH($O$9,[1]!Tabela3[#Headers],0))),0)</calculatedColumnFormula>
    </tableColumn>
    <tableColumn id="4" xr3:uid="{92C88D8B-4724-4B0F-86B9-CEB8CCE813E5}" name="ATINGIDO" dataDxfId="45" dataCellStyle="Moeda">
      <calculatedColumnFormula>_xlfn.XLOOKUP(Tabela8[[#This Row],[VENDEDOR]],'[1]BASE PYTHON'!$H:$H,'[1]BASE PYTHON'!$I:$I,0)</calculatedColumnFormula>
    </tableColumn>
    <tableColumn id="5" xr3:uid="{CA195FA3-3822-41FA-8A93-2D86914C048E}" name="FALTA" dataDxfId="44" dataCellStyle="Moeda">
      <calculatedColumnFormula>O11-P11</calculatedColumnFormula>
    </tableColumn>
  </tableColumns>
  <tableStyleInfo name="TableStyleMedium3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D6BA5FD-BBE8-4A7A-9B76-3F3F6D1F10E9}" name="Tabela9" displayName="Tabela9" ref="N20:Q25" totalsRowShown="0" headerRowDxfId="43" dataDxfId="42">
  <autoFilter ref="N20:Q25" xr:uid="{3D6BA5FD-BBE8-4A7A-9B76-3F3F6D1F10E9}">
    <filterColumn colId="0" hiddenButton="1"/>
    <filterColumn colId="1" hiddenButton="1"/>
    <filterColumn colId="2" hiddenButton="1"/>
    <filterColumn colId="3" hiddenButton="1"/>
  </autoFilter>
  <tableColumns count="4">
    <tableColumn id="1" xr3:uid="{985251B0-0E07-4E60-9774-18D0D763437D}" name="SEMANAL" dataDxfId="41"/>
    <tableColumn id="2" xr3:uid="{7B11DBA8-6FBD-4B67-BDA9-6624DF753EFD}" name="META" dataDxfId="40" dataCellStyle="Moeda">
      <calculatedColumnFormula array="1">_xlfn.XLOOKUP(Tabela9[[#This Row],[SEMANAL]],[1]!Tabela10[[#All],[Coluna1]],[1]!Tabela10[[#All],[Coluna2]])</calculatedColumnFormula>
    </tableColumn>
    <tableColumn id="3" xr3:uid="{0B727490-D536-4FC5-B857-CD92C459F1FB}" name="REALIZADO" dataDxfId="39"/>
    <tableColumn id="4" xr3:uid="{84544AF4-5466-4CAC-A349-7B2C804BDA05}" name="FALTA" dataDxfId="38">
      <calculatedColumnFormula>O21-P21</calculatedColumnFormula>
    </tableColumn>
  </tableColumns>
  <tableStyleInfo name="TableStyleMedium3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7AAFC688-3718-400A-9213-0DC213191E8B}" name="Tabela10" displayName="Tabela10" ref="T4:U7" headerRowCount="0" totalsRowShown="0" headerRowDxfId="37" dataDxfId="36">
  <tableColumns count="2">
    <tableColumn id="1" xr3:uid="{870B59CA-1EA4-4CA9-BDCF-4A342A313131}" name="Coluna1" dataDxfId="35"/>
    <tableColumn id="2" xr3:uid="{6FE31DF2-1DB4-4D4B-8783-48EA07B43B53}" name="Coluna2" dataDxfId="34"/>
  </tableColumns>
  <tableStyleInfo name="TableStyleMedium5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15FC431-91F7-4B09-9000-61CB68A149E7}" name="Tabela12" displayName="Tabela12" ref="T29:W34" totalsRowShown="0" headerRowDxfId="33" dataDxfId="32">
  <autoFilter ref="T29:W34" xr:uid="{A15FC431-91F7-4B09-9000-61CB68A149E7}">
    <filterColumn colId="0" hiddenButton="1"/>
    <filterColumn colId="1" hiddenButton="1"/>
    <filterColumn colId="2" hiddenButton="1"/>
    <filterColumn colId="3" hiddenButton="1"/>
  </autoFilter>
  <tableColumns count="4">
    <tableColumn id="1" xr3:uid="{65A441BB-28F2-4C4D-8CD8-F9F9788A0656}" name="SEMANAL" dataDxfId="31"/>
    <tableColumn id="2" xr3:uid="{B849FCBC-ED0F-47D9-B4E7-149FFE3500D9}" name="META" dataDxfId="30" dataCellStyle="Moeda">
      <calculatedColumnFormula array="1">_xlfn.XLOOKUP(Tabela12[[#This Row],[SEMANAL]],[1]!Tabela11[[#All],[Coluna1]],[1]!Tabela11[[#All],[Coluna2]])</calculatedColumnFormula>
    </tableColumn>
    <tableColumn id="3" xr3:uid="{A81AB4FC-EF49-4A93-8229-1B0CBFC88744}" name="REALIZADO" dataDxfId="29">
      <calculatedColumnFormula>IFERROR(GETPIVOTDATA("[Measures].[Contagem Distinta de COD_CLIENTE]",'[1]BASE PYTHON'!$P$85,"[Intervalo 2].[PARAMETRO]","[Intervalo 2].[PARAMETRO].&amp;[DIA]","[Intervalo 2].[SEMANA]","[Intervalo 2].[SEMANA].&amp;[2]"),0)</calculatedColumnFormula>
    </tableColumn>
    <tableColumn id="4" xr3:uid="{13865A0A-FFF3-4F90-A201-753948DC8E26}" name="FALTA" dataDxfId="28">
      <calculatedColumnFormula>U30-V30</calculatedColumnFormula>
    </tableColumn>
  </tableColumns>
  <tableStyleInfo name="TableStyleMedium5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74935CD-63EE-45D7-AA45-CFFFE79EAC7D}" name="Tabela2" displayName="Tabela2" ref="S9:W26" totalsRowShown="0" headerRowDxfId="27" dataDxfId="26" tableBorderDxfId="25">
  <autoFilter ref="S9:W26" xr:uid="{874935CD-63EE-45D7-AA45-CFFFE79EAC7D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96702934-C966-496F-B51E-ADD7BF9BB7D8}" name="VENDEDOR" dataDxfId="24"/>
    <tableColumn id="2" xr3:uid="{E2D85F5C-4525-4FA4-B813-A1322F5C254D}" name="REFERENCIA" dataDxfId="23"/>
    <tableColumn id="3" xr3:uid="{53C55BB3-DDD4-47EF-87D5-552E4D02B5BA}" name="META A" dataDxfId="22">
      <calculatedColumnFormula>_xlfn.XLOOKUP(Tabela2[[#This Row],[VENDEDOR]],[1]!Tabela5[VENDEDOR],[1]!Tabela5[META A])</calculatedColumnFormula>
    </tableColumn>
    <tableColumn id="4" xr3:uid="{018C7BF7-4C79-4668-95B2-CBF2E10B657D}" name="ATINGIDO" dataDxfId="21">
      <calculatedColumnFormula>_xlfn.XLOOKUP(Tabela2[[#This Row],[VENDEDOR]],'[1]BASE PYTHON'!$K:$K,'[1]BASE PYTHON'!$N:$N,0)</calculatedColumnFormula>
    </tableColumn>
    <tableColumn id="5" xr3:uid="{37E12533-09AB-4B65-AEC8-6BB07B5CC2B1}" name="FALTA" dataDxfId="20">
      <calculatedColumnFormula>U10-V10</calculatedColumnFormula>
    </tableColumn>
  </tableColumns>
  <tableStyleInfo name="TableStyleMedium5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3745920-1197-4A81-B558-958DBAB19EA3}" name="Tabela5" displayName="Tabela5" ref="G9:K27" totalsRowShown="0" headerRowDxfId="19" dataDxfId="18" tableBorderDxfId="17">
  <autoFilter ref="G9:K27" xr:uid="{E3745920-1197-4A81-B558-958DBAB19EA3}"/>
  <tableColumns count="5">
    <tableColumn id="1" xr3:uid="{D324C7DB-F877-4A7E-BC26-EF8905C85433}" name="VENDEDOR" dataDxfId="16"/>
    <tableColumn id="2" xr3:uid="{A71A6478-3B31-4F54-A10C-E6EC00E95E0B}" name="REFERENCIA" dataDxfId="15"/>
    <tableColumn id="3" xr3:uid="{9F5EDCDD-D442-4FBE-9C74-26084F24EFCB}" name="COMPROMISSO" dataDxfId="14" dataCellStyle="Moeda">
      <calculatedColumnFormula>_xlfn.XLOOKUP(Tabela5[[#This Row],[VENDEDOR]],[1]!Tabela1[VENDEDOR],[1]!Tabela1[VALOR])</calculatedColumnFormula>
    </tableColumn>
    <tableColumn id="4" xr3:uid="{2E4F9793-0E4B-42F0-B595-748F8481D0D0}" name="ATINGIDO" dataDxfId="13" dataCellStyle="Moeda">
      <calculatedColumnFormula>_xlfn.XLOOKUP(Tabela5[[#This Row],[VENDEDOR]],'[1]BASE PYTHON'!$H:$H,'[1]BASE PYTHON'!$I:$I,0)</calculatedColumnFormula>
    </tableColumn>
    <tableColumn id="5" xr3:uid="{3CEFD09C-EF55-4119-A139-BD17682D2B73}" name="FALTA" dataDxfId="12">
      <calculatedColumnFormula>Tabela5[[#This Row],[COMPROMISSO]]-Tabela5[[#This Row],[ATINGIDO]]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3A7104A0-4D5E-4CED-9364-119005653576}" name="Tabela13" displayName="Tabela13" ref="A9:E35" headerRowDxfId="11" tableBorderDxfId="10">
  <autoFilter ref="A9:E35" xr:uid="{3A7104A0-4D5E-4CED-9364-11900565357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50EE0FE5-ADD7-4A3A-9DF8-D52FFFCF08DA}" name="VENDEDOR" totalsRowLabel="Total" dataDxfId="9" totalsRowDxfId="8"/>
    <tableColumn id="2" xr3:uid="{4F0BAF4D-D0FC-4B7C-8FF4-8DDD6505FDA1}" name="REFERENCIA" dataDxfId="7" totalsRowDxfId="6"/>
    <tableColumn id="3" xr3:uid="{CCB341E8-8BC2-4209-AEA0-D6F26BFCB356}" name="META A" dataDxfId="5" totalsRowDxfId="4" dataCellStyle="Moeda">
      <calculatedColumnFormula>_xlfn.XLOOKUP(Tabela13[[#This Row],[VENDEDOR]],[1]!Tabela2[VENDEDOR],[1]!Tabela2[META A])</calculatedColumnFormula>
    </tableColumn>
    <tableColumn id="4" xr3:uid="{9AA985E6-33FD-40FD-9473-5AF6B4D03030}" name="ATINGIDO" dataDxfId="3" totalsRowDxfId="2" dataCellStyle="Moeda">
      <calculatedColumnFormula>_xlfn.XLOOKUP(Tabela13[[#This Row],[VENDEDOR]],'[1]BASE PYTHON'!$E:$E,'[1]BASE PYTHON'!$F:$F,0)</calculatedColumnFormula>
    </tableColumn>
    <tableColumn id="5" xr3:uid="{7B8A46E1-DE6F-44C0-A6C8-83887563A4C0}" name="FALTA" totalsRowFunction="sum" dataDxfId="1" totalsRowDxfId="0">
      <calculatedColumnFormula>Tabela13[[#This Row],[META A]]-Tabela13[[#This Row],[ATINGIDO]]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12" Type="http://schemas.openxmlformats.org/officeDocument/2006/relationships/table" Target="../tables/table12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11" Type="http://schemas.openxmlformats.org/officeDocument/2006/relationships/table" Target="../tables/table11.xml"/><Relationship Id="rId5" Type="http://schemas.openxmlformats.org/officeDocument/2006/relationships/table" Target="../tables/table5.xml"/><Relationship Id="rId10" Type="http://schemas.openxmlformats.org/officeDocument/2006/relationships/table" Target="../tables/table10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29905-7DAF-4BE5-BDE6-DF5442C33639}">
  <dimension ref="A1:W43"/>
  <sheetViews>
    <sheetView showGridLines="0" tabSelected="1" zoomScaleNormal="100" workbookViewId="0">
      <selection activeCell="F7" sqref="F7"/>
    </sheetView>
  </sheetViews>
  <sheetFormatPr defaultRowHeight="15" x14ac:dyDescent="0.25"/>
  <cols>
    <col min="1" max="1" width="26.5703125" bestFit="1" customWidth="1"/>
    <col min="2" max="2" width="21.140625" bestFit="1" customWidth="1"/>
    <col min="3" max="3" width="23.28515625" style="2" bestFit="1" customWidth="1"/>
    <col min="4" max="4" width="24.42578125" style="1" bestFit="1" customWidth="1"/>
    <col min="5" max="5" width="19.42578125" bestFit="1" customWidth="1"/>
    <col min="6" max="6" width="9.140625" customWidth="1"/>
    <col min="7" max="7" width="26.5703125" bestFit="1" customWidth="1"/>
    <col min="8" max="8" width="18.28515625" bestFit="1" customWidth="1"/>
    <col min="9" max="9" width="23.85546875" customWidth="1"/>
    <col min="10" max="11" width="17.28515625" bestFit="1" customWidth="1"/>
    <col min="13" max="13" width="19.140625" bestFit="1" customWidth="1"/>
    <col min="14" max="14" width="21.140625" bestFit="1" customWidth="1"/>
    <col min="15" max="15" width="22.7109375" bestFit="1" customWidth="1"/>
    <col min="16" max="17" width="17.28515625" bestFit="1" customWidth="1"/>
    <col min="18" max="18" width="11" customWidth="1"/>
    <col min="19" max="19" width="19.85546875" bestFit="1" customWidth="1"/>
    <col min="20" max="20" width="33.42578125" bestFit="1" customWidth="1"/>
    <col min="21" max="21" width="13.85546875" customWidth="1"/>
    <col min="22" max="22" width="17.28515625" bestFit="1" customWidth="1"/>
    <col min="23" max="23" width="12.140625" customWidth="1"/>
  </cols>
  <sheetData>
    <row r="1" spans="1:23" ht="21" x14ac:dyDescent="0.35">
      <c r="A1" s="4"/>
      <c r="B1" s="13" t="s">
        <v>34</v>
      </c>
      <c r="C1" s="9"/>
      <c r="D1" s="9"/>
      <c r="E1" s="14"/>
      <c r="F1" s="14"/>
      <c r="G1" s="14"/>
      <c r="H1" s="10" t="s">
        <v>35</v>
      </c>
      <c r="I1" s="14"/>
      <c r="J1" s="14"/>
      <c r="K1" s="14"/>
      <c r="L1" s="14"/>
      <c r="M1" s="14"/>
      <c r="N1" s="11" t="s">
        <v>36</v>
      </c>
      <c r="O1" s="14"/>
      <c r="P1" s="14"/>
      <c r="Q1" s="14"/>
      <c r="R1" s="14"/>
      <c r="S1" s="14"/>
      <c r="T1" s="12" t="s">
        <v>53</v>
      </c>
      <c r="U1" s="14"/>
      <c r="V1" s="4"/>
      <c r="W1" s="4"/>
    </row>
    <row r="2" spans="1:23" x14ac:dyDescent="0.25">
      <c r="A2" s="4"/>
      <c r="B2" s="4"/>
      <c r="D2" s="2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</row>
    <row r="3" spans="1:23" x14ac:dyDescent="0.25">
      <c r="A3" s="4"/>
      <c r="B3" s="4"/>
      <c r="C3" s="4"/>
      <c r="D3" s="2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</row>
    <row r="4" spans="1:23" x14ac:dyDescent="0.25">
      <c r="A4" s="4"/>
      <c r="B4" s="4" t="s">
        <v>38</v>
      </c>
      <c r="C4" s="2">
        <f>SUM(C10:C35)</f>
        <v>5591500</v>
      </c>
      <c r="D4" s="2"/>
      <c r="E4" s="4"/>
      <c r="F4" s="4"/>
      <c r="G4" s="4"/>
      <c r="H4" s="4" t="s">
        <v>0</v>
      </c>
      <c r="I4" s="7">
        <f>SUM(I10:I27)</f>
        <v>150013</v>
      </c>
      <c r="J4" s="4"/>
      <c r="K4" s="4"/>
      <c r="L4" s="4"/>
      <c r="M4" s="4"/>
      <c r="N4" s="4" t="s">
        <v>37</v>
      </c>
      <c r="O4" s="7">
        <f>SUM(O11:O17)</f>
        <v>0</v>
      </c>
      <c r="P4" s="4"/>
      <c r="Q4" s="4"/>
      <c r="R4" s="4"/>
      <c r="S4" s="4"/>
      <c r="T4" s="4" t="s">
        <v>38</v>
      </c>
      <c r="U4" s="4">
        <f>SUM(U10:U26)</f>
        <v>758</v>
      </c>
      <c r="V4" s="4"/>
      <c r="W4" s="4"/>
    </row>
    <row r="5" spans="1:23" x14ac:dyDescent="0.25">
      <c r="A5" s="4"/>
      <c r="B5" s="4" t="s">
        <v>1</v>
      </c>
      <c r="C5" s="2">
        <f>SUM(D10:D35)</f>
        <v>2624988.4099999992</v>
      </c>
      <c r="D5" s="2"/>
      <c r="E5" s="4"/>
      <c r="F5" s="4"/>
      <c r="G5" s="4"/>
      <c r="H5" s="4" t="s">
        <v>1</v>
      </c>
      <c r="I5" s="7">
        <f>SUM(J10:J27)</f>
        <v>45938.7</v>
      </c>
      <c r="J5" s="4"/>
      <c r="K5" s="4"/>
      <c r="L5" s="4"/>
      <c r="M5" s="4"/>
      <c r="N5" s="4" t="s">
        <v>1</v>
      </c>
      <c r="O5" s="7">
        <f>SUM(P11:P17)</f>
        <v>28279.5</v>
      </c>
      <c r="P5" s="4"/>
      <c r="Q5" s="4"/>
      <c r="R5" s="4"/>
      <c r="S5" s="4"/>
      <c r="T5" s="4" t="s">
        <v>1</v>
      </c>
      <c r="U5" s="4">
        <f>SUM(V10:V26)</f>
        <v>285</v>
      </c>
      <c r="V5" s="4"/>
      <c r="W5" s="4"/>
    </row>
    <row r="6" spans="1:23" x14ac:dyDescent="0.25">
      <c r="A6" s="4"/>
      <c r="B6" s="4" t="s">
        <v>2</v>
      </c>
      <c r="C6" s="2">
        <f>C4-C5</f>
        <v>2966511.5900000008</v>
      </c>
      <c r="D6" s="2"/>
      <c r="E6" s="4"/>
      <c r="F6" s="4"/>
      <c r="G6" s="4"/>
      <c r="H6" s="4" t="s">
        <v>2</v>
      </c>
      <c r="I6" s="7">
        <f>I4-I5</f>
        <v>104074.3</v>
      </c>
      <c r="J6" s="4"/>
      <c r="K6" s="4"/>
      <c r="L6" s="4"/>
      <c r="M6" s="4"/>
      <c r="N6" s="4" t="s">
        <v>2</v>
      </c>
      <c r="O6" s="7">
        <f>O4-O5</f>
        <v>-28279.5</v>
      </c>
      <c r="P6" s="4"/>
      <c r="Q6" s="4"/>
      <c r="R6" s="4"/>
      <c r="S6" s="4"/>
      <c r="T6" s="4" t="s">
        <v>2</v>
      </c>
      <c r="U6" s="4">
        <f>U4-U5</f>
        <v>473</v>
      </c>
      <c r="V6" s="4"/>
      <c r="W6" s="4"/>
    </row>
    <row r="7" spans="1:23" x14ac:dyDescent="0.25">
      <c r="A7" s="4"/>
      <c r="B7" s="4" t="s">
        <v>3</v>
      </c>
      <c r="C7" s="3">
        <f>1-(C6/C4)</f>
        <v>0.46946050433693987</v>
      </c>
      <c r="D7" s="2"/>
      <c r="E7" s="4"/>
      <c r="F7" s="4"/>
      <c r="G7" s="4"/>
      <c r="H7" s="4" t="s">
        <v>3</v>
      </c>
      <c r="I7" s="3">
        <f>1-(I6/I4)</f>
        <v>0.30623145994013845</v>
      </c>
      <c r="J7" s="4"/>
      <c r="K7" s="4"/>
      <c r="L7" s="4"/>
      <c r="M7" s="4"/>
      <c r="N7" s="4" t="s">
        <v>3</v>
      </c>
      <c r="O7" s="3" t="e">
        <f>1-(O6/O4)</f>
        <v>#DIV/0!</v>
      </c>
      <c r="P7" s="4"/>
      <c r="Q7" s="4"/>
      <c r="R7" s="4"/>
      <c r="S7" s="4"/>
      <c r="T7" s="4" t="s">
        <v>3</v>
      </c>
      <c r="U7" s="3">
        <f>1-(U6/U4)</f>
        <v>0.37598944591029027</v>
      </c>
      <c r="V7" s="4"/>
      <c r="W7" s="4"/>
    </row>
    <row r="8" spans="1:23" x14ac:dyDescent="0.25">
      <c r="A8" s="4"/>
      <c r="B8" s="4"/>
      <c r="D8" s="2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</row>
    <row r="9" spans="1:23" x14ac:dyDescent="0.25">
      <c r="A9" s="20" t="s">
        <v>5</v>
      </c>
      <c r="B9" s="20" t="s">
        <v>46</v>
      </c>
      <c r="C9" s="28" t="s">
        <v>33</v>
      </c>
      <c r="D9" s="28" t="s">
        <v>1</v>
      </c>
      <c r="E9" s="20" t="s">
        <v>2</v>
      </c>
      <c r="F9" s="4"/>
      <c r="G9" s="18" t="s">
        <v>5</v>
      </c>
      <c r="H9" s="18" t="s">
        <v>46</v>
      </c>
      <c r="I9" s="18" t="s">
        <v>6</v>
      </c>
      <c r="J9" s="18" t="s">
        <v>1</v>
      </c>
      <c r="K9" s="18" t="s">
        <v>2</v>
      </c>
      <c r="L9" s="4"/>
      <c r="M9" s="4"/>
      <c r="N9" s="4"/>
      <c r="O9" s="8" t="s">
        <v>4</v>
      </c>
      <c r="P9" s="4"/>
      <c r="Q9" s="4"/>
      <c r="R9" s="4"/>
      <c r="S9" s="18" t="s">
        <v>5</v>
      </c>
      <c r="T9" s="18" t="s">
        <v>46</v>
      </c>
      <c r="U9" s="18" t="s">
        <v>33</v>
      </c>
      <c r="V9" s="18" t="s">
        <v>1</v>
      </c>
      <c r="W9" s="18" t="s">
        <v>2</v>
      </c>
    </row>
    <row r="10" spans="1:23" x14ac:dyDescent="0.25">
      <c r="A10" s="25" t="s">
        <v>7</v>
      </c>
      <c r="B10" s="25" t="s">
        <v>7</v>
      </c>
      <c r="C10" s="26">
        <f>_xlfn.XLOOKUP(Tabela13[[#This Row],[VENDEDOR]],[1]!Tabela2[VENDEDOR],[1]!Tabela2[META A])</f>
        <v>64500</v>
      </c>
      <c r="D10" s="26">
        <f>_xlfn.XLOOKUP(Tabela13[[#This Row],[VENDEDOR]],'[1]BASE PYTHON'!$E:$E,'[1]BASE PYTHON'!$F:$F,0)</f>
        <v>26930.750000000011</v>
      </c>
      <c r="E10" s="27">
        <f>Tabela13[[#This Row],[META A]]-Tabela13[[#This Row],[ATINGIDO]]</f>
        <v>37569.249999999985</v>
      </c>
      <c r="F10" s="4"/>
      <c r="G10" s="21" t="s">
        <v>18</v>
      </c>
      <c r="H10" s="21" t="s">
        <v>18</v>
      </c>
      <c r="I10" s="22">
        <f>_xlfn.XLOOKUP(Tabela5[[#This Row],[VENDEDOR]],[1]!Tabela1[VENDEDOR],[1]!Tabela1[VALOR])</f>
        <v>17000</v>
      </c>
      <c r="J10" s="22">
        <f>_xlfn.XLOOKUP(Tabela5[[#This Row],[VENDEDOR]],'[1]BASE PYTHON'!$H:$H,'[1]BASE PYTHON'!$I:$I,0)</f>
        <v>3754.1</v>
      </c>
      <c r="K10" s="23">
        <f>Tabela5[[#This Row],[COMPROMISSO]]-Tabela5[[#This Row],[ATINGIDO]]</f>
        <v>13245.9</v>
      </c>
      <c r="L10" s="4"/>
      <c r="M10" s="4" t="s">
        <v>5</v>
      </c>
      <c r="N10" s="4" t="s">
        <v>46</v>
      </c>
      <c r="O10" s="4" t="s">
        <v>6</v>
      </c>
      <c r="P10" s="4" t="s">
        <v>1</v>
      </c>
      <c r="Q10" s="4" t="s">
        <v>2</v>
      </c>
      <c r="R10" s="2"/>
      <c r="S10" s="19" t="s">
        <v>7</v>
      </c>
      <c r="T10" s="19" t="s">
        <v>7</v>
      </c>
      <c r="U10" s="19">
        <f>_xlfn.XLOOKUP(Tabela2[[#This Row],[VENDEDOR]],[1]!Tabela5[VENDEDOR],[1]!Tabela5[META A])</f>
        <v>36</v>
      </c>
      <c r="V10" s="19">
        <f>_xlfn.XLOOKUP(Tabela2[[#This Row],[VENDEDOR]],'[1]BASE PYTHON'!$K:$K,'[1]BASE PYTHON'!$N:$N,0)</f>
        <v>0</v>
      </c>
      <c r="W10" s="19">
        <f>U10-V10</f>
        <v>36</v>
      </c>
    </row>
    <row r="11" spans="1:23" x14ac:dyDescent="0.25">
      <c r="A11" s="16" t="s">
        <v>8</v>
      </c>
      <c r="B11" s="16" t="s">
        <v>8</v>
      </c>
      <c r="C11" s="17">
        <f>_xlfn.XLOOKUP(Tabela13[[#This Row],[VENDEDOR]],[1]!Tabela2[VENDEDOR],[1]!Tabela2[META A])</f>
        <v>325000</v>
      </c>
      <c r="D11" s="17">
        <f>_xlfn.XLOOKUP(Tabela13[[#This Row],[VENDEDOR]],'[1]BASE PYTHON'!$E:$E,'[1]BASE PYTHON'!$F:$F,0)</f>
        <v>181896.29</v>
      </c>
      <c r="E11" s="24">
        <f>Tabela13[[#This Row],[META A]]-Tabela13[[#This Row],[ATINGIDO]]</f>
        <v>143103.71</v>
      </c>
      <c r="F11" s="4"/>
      <c r="G11" s="21" t="s">
        <v>17</v>
      </c>
      <c r="H11" s="21" t="s">
        <v>17</v>
      </c>
      <c r="I11" s="22">
        <f>_xlfn.XLOOKUP(Tabela5[[#This Row],[VENDEDOR]],[1]!Tabela1[VENDEDOR],[1]!Tabela1[VALOR])</f>
        <v>11850</v>
      </c>
      <c r="J11" s="22">
        <f>_xlfn.XLOOKUP(Tabela5[[#This Row],[VENDEDOR]],'[1]BASE PYTHON'!$H:$H,'[1]BASE PYTHON'!$I:$I,0)</f>
        <v>9723</v>
      </c>
      <c r="K11" s="23">
        <f>Tabela5[[#This Row],[COMPROMISSO]]-Tabela5[[#This Row],[ATINGIDO]]</f>
        <v>2127</v>
      </c>
      <c r="L11" s="4"/>
      <c r="M11" s="4" t="s">
        <v>26</v>
      </c>
      <c r="N11" s="4" t="s">
        <v>26</v>
      </c>
      <c r="O11" s="2" cm="1">
        <f t="array" ref="O11">IFERROR(_xlfn.XLOOKUP(M11,[1]!Tabela3[[#All],[VENDEDOR]],INDEX([1]!Tabela3[#All],0,MATCH($O$9,[1]!Tabela3[#Headers],0))),0)</f>
        <v>0</v>
      </c>
      <c r="P11" s="2">
        <f>_xlfn.XLOOKUP(Tabela8[[#This Row],[VENDEDOR]],'[1]BASE PYTHON'!$H:$H,'[1]BASE PYTHON'!$I:$I,0)</f>
        <v>13637.5</v>
      </c>
      <c r="Q11" s="2">
        <f>O11-P11</f>
        <v>-13637.5</v>
      </c>
      <c r="R11" s="2"/>
      <c r="S11" s="19" t="s">
        <v>8</v>
      </c>
      <c r="T11" s="19" t="s">
        <v>8</v>
      </c>
      <c r="U11" s="19">
        <f>_xlfn.XLOOKUP(Tabela2[[#This Row],[VENDEDOR]],[1]!Tabela5[VENDEDOR],[1]!Tabela5[META A])</f>
        <v>52</v>
      </c>
      <c r="V11" s="19">
        <f>_xlfn.XLOOKUP(Tabela2[[#This Row],[VENDEDOR]],'[1]BASE PYTHON'!$K:$K,'[1]BASE PYTHON'!$N:$N,0)</f>
        <v>34</v>
      </c>
      <c r="W11" s="19">
        <f t="shared" ref="W11:W20" si="0">U11-V11</f>
        <v>18</v>
      </c>
    </row>
    <row r="12" spans="1:23" x14ac:dyDescent="0.25">
      <c r="A12" s="25" t="s">
        <v>51</v>
      </c>
      <c r="B12" s="25" t="s">
        <v>39</v>
      </c>
      <c r="C12" s="26">
        <v>1000</v>
      </c>
      <c r="D12" s="26">
        <f>_xlfn.XLOOKUP(Tabela13[[#This Row],[VENDEDOR]],'[1]BASE PYTHON'!$E:$E,'[1]BASE PYTHON'!$F:$F,0)</f>
        <v>100.09</v>
      </c>
      <c r="E12" s="27">
        <f>Tabela13[[#This Row],[META A]]-Tabela13[[#This Row],[ATINGIDO]]</f>
        <v>899.91</v>
      </c>
      <c r="F12" s="4"/>
      <c r="G12" s="21" t="s">
        <v>19</v>
      </c>
      <c r="H12" s="21" t="s">
        <v>19</v>
      </c>
      <c r="I12" s="22">
        <f>_xlfn.XLOOKUP(Tabela5[[#This Row],[VENDEDOR]],[1]!Tabela1[VENDEDOR],[1]!Tabela1[VALOR])</f>
        <v>9000</v>
      </c>
      <c r="J12" s="22">
        <f>_xlfn.XLOOKUP(Tabela5[[#This Row],[VENDEDOR]],'[1]BASE PYTHON'!$H:$H,'[1]BASE PYTHON'!$I:$I,0)</f>
        <v>2872.3700000000003</v>
      </c>
      <c r="K12" s="23">
        <f>Tabela5[[#This Row],[COMPROMISSO]]-Tabela5[[#This Row],[ATINGIDO]]</f>
        <v>6127.6299999999992</v>
      </c>
      <c r="L12" s="4"/>
      <c r="M12" s="4" t="s">
        <v>40</v>
      </c>
      <c r="N12" s="4" t="s">
        <v>27</v>
      </c>
      <c r="O12" s="2" cm="1">
        <f t="array" ref="O12">IFERROR(_xlfn.XLOOKUP(M12,[1]!Tabela3[[#All],[VENDEDOR]],INDEX([1]!Tabela3[#All],0,MATCH($O$9,[1]!Tabela3[#Headers],0))),0)</f>
        <v>0</v>
      </c>
      <c r="P12" s="2">
        <f>_xlfn.XLOOKUP(Tabela8[[#This Row],[VENDEDOR]],'[1]BASE PYTHON'!$H:$H,'[1]BASE PYTHON'!$I:$I,0)</f>
        <v>0</v>
      </c>
      <c r="Q12" s="2">
        <f>O12-P12</f>
        <v>0</v>
      </c>
      <c r="R12" s="2"/>
      <c r="S12" s="19" t="s">
        <v>9</v>
      </c>
      <c r="T12" s="19" t="s">
        <v>9</v>
      </c>
      <c r="U12" s="19">
        <f>_xlfn.XLOOKUP(Tabela2[[#This Row],[VENDEDOR]],[1]!Tabela5[VENDEDOR],[1]!Tabela5[META A])</f>
        <v>41</v>
      </c>
      <c r="V12" s="19">
        <f>_xlfn.XLOOKUP(Tabela2[[#This Row],[VENDEDOR]],'[1]BASE PYTHON'!$K:$K,'[1]BASE PYTHON'!$N:$N,0)</f>
        <v>29</v>
      </c>
      <c r="W12" s="19">
        <f t="shared" si="0"/>
        <v>12</v>
      </c>
    </row>
    <row r="13" spans="1:23" x14ac:dyDescent="0.25">
      <c r="A13" s="16" t="s">
        <v>9</v>
      </c>
      <c r="B13" s="16" t="s">
        <v>9</v>
      </c>
      <c r="C13" s="17">
        <f>_xlfn.XLOOKUP(Tabela13[[#This Row],[VENDEDOR]],[1]!Tabela2[VENDEDOR],[1]!Tabela2[META A])</f>
        <v>90000</v>
      </c>
      <c r="D13" s="17">
        <f>_xlfn.XLOOKUP(Tabela13[[#This Row],[VENDEDOR]],'[1]BASE PYTHON'!$E:$E,'[1]BASE PYTHON'!$F:$F,0)</f>
        <v>36891.44000000001</v>
      </c>
      <c r="E13" s="24">
        <f>Tabela13[[#This Row],[META A]]-Tabela13[[#This Row],[ATINGIDO]]</f>
        <v>53108.55999999999</v>
      </c>
      <c r="F13" s="4"/>
      <c r="G13" s="21" t="s">
        <v>21</v>
      </c>
      <c r="H13" s="21" t="s">
        <v>21</v>
      </c>
      <c r="I13" s="22">
        <f>_xlfn.XLOOKUP(Tabela5[[#This Row],[VENDEDOR]],[1]!Tabela1[VENDEDOR],[1]!Tabela1[VALOR])</f>
        <v>15000</v>
      </c>
      <c r="J13" s="22">
        <f>_xlfn.XLOOKUP(Tabela5[[#This Row],[VENDEDOR]],'[1]BASE PYTHON'!$H:$H,'[1]BASE PYTHON'!$I:$I,0)</f>
        <v>5748.5499999999984</v>
      </c>
      <c r="K13" s="23">
        <f>Tabela5[[#This Row],[COMPROMISSO]]-Tabela5[[#This Row],[ATINGIDO]]</f>
        <v>9251.4500000000007</v>
      </c>
      <c r="L13" s="4"/>
      <c r="M13" s="4" t="s">
        <v>28</v>
      </c>
      <c r="N13" s="4" t="s">
        <v>28</v>
      </c>
      <c r="O13" s="2" cm="1">
        <f t="array" ref="O13">IFERROR(_xlfn.XLOOKUP(M13,[1]!Tabela3[[#All],[VENDEDOR]],INDEX([1]!Tabela3[#All],0,MATCH($O$9,[1]!Tabela3[#Headers],0))),0)</f>
        <v>0</v>
      </c>
      <c r="P13" s="2">
        <f>_xlfn.XLOOKUP(Tabela8[[#This Row],[VENDEDOR]],'[1]BASE PYTHON'!$H:$H,'[1]BASE PYTHON'!$I:$I,0)</f>
        <v>3075.6</v>
      </c>
      <c r="Q13" s="2">
        <f t="shared" ref="Q13:Q17" si="1">O13-P13</f>
        <v>-3075.6</v>
      </c>
      <c r="R13" s="2"/>
      <c r="S13" s="19" t="s">
        <v>10</v>
      </c>
      <c r="T13" s="19" t="s">
        <v>10</v>
      </c>
      <c r="U13" s="19">
        <f>_xlfn.XLOOKUP(Tabela2[[#This Row],[VENDEDOR]],[1]!Tabela5[VENDEDOR],[1]!Tabela5[META A])</f>
        <v>59</v>
      </c>
      <c r="V13" s="19">
        <f>_xlfn.XLOOKUP(Tabela2[[#This Row],[VENDEDOR]],'[1]BASE PYTHON'!$K:$K,'[1]BASE PYTHON'!$N:$N,0)</f>
        <v>0</v>
      </c>
      <c r="W13" s="19">
        <f t="shared" si="0"/>
        <v>59</v>
      </c>
    </row>
    <row r="14" spans="1:23" x14ac:dyDescent="0.25">
      <c r="A14" s="25" t="s">
        <v>10</v>
      </c>
      <c r="B14" s="25" t="s">
        <v>10</v>
      </c>
      <c r="C14" s="26">
        <f>_xlfn.XLOOKUP(Tabela13[[#This Row],[VENDEDOR]],[1]!Tabela2[VENDEDOR],[1]!Tabela2[META A])</f>
        <v>273000</v>
      </c>
      <c r="D14" s="26">
        <f>_xlfn.XLOOKUP(Tabela13[[#This Row],[VENDEDOR]],'[1]BASE PYTHON'!$E:$E,'[1]BASE PYTHON'!$F:$F,0)</f>
        <v>111316.87999999987</v>
      </c>
      <c r="E14" s="27">
        <f>Tabela13[[#This Row],[META A]]-Tabela13[[#This Row],[ATINGIDO]]</f>
        <v>161683.12000000011</v>
      </c>
      <c r="F14" s="4"/>
      <c r="G14" s="21" t="s">
        <v>15</v>
      </c>
      <c r="H14" s="21" t="s">
        <v>43</v>
      </c>
      <c r="I14" s="22">
        <f>_xlfn.XLOOKUP(Tabela5[[#This Row],[VENDEDOR]],[1]!Tabela1[VENDEDOR],[1]!Tabela1[VALOR])</f>
        <v>5324</v>
      </c>
      <c r="J14" s="22">
        <f>_xlfn.XLOOKUP(Tabela5[[#This Row],[VENDEDOR]],'[1]BASE PYTHON'!$H:$H,'[1]BASE PYTHON'!$I:$I,0)</f>
        <v>1434.75</v>
      </c>
      <c r="K14" s="23">
        <f>Tabela5[[#This Row],[COMPROMISSO]]-Tabela5[[#This Row],[ATINGIDO]]</f>
        <v>3889.25</v>
      </c>
      <c r="L14" s="4"/>
      <c r="M14" s="4" t="s">
        <v>29</v>
      </c>
      <c r="N14" s="4" t="s">
        <v>29</v>
      </c>
      <c r="O14" s="2" cm="1">
        <f t="array" ref="O14">IFERROR(_xlfn.XLOOKUP(M14,[1]!Tabela3[[#All],[VENDEDOR]],INDEX([1]!Tabela3[#All],0,MATCH($O$9,[1]!Tabela3[#Headers],0))),0)</f>
        <v>0</v>
      </c>
      <c r="P14" s="2">
        <f>_xlfn.XLOOKUP(Tabela8[[#This Row],[VENDEDOR]],'[1]BASE PYTHON'!$H:$H,'[1]BASE PYTHON'!$I:$I,0)</f>
        <v>0</v>
      </c>
      <c r="Q14" s="2">
        <f t="shared" si="1"/>
        <v>0</v>
      </c>
      <c r="R14" s="2"/>
      <c r="S14" s="19" t="s">
        <v>11</v>
      </c>
      <c r="T14" s="19" t="s">
        <v>11</v>
      </c>
      <c r="U14" s="19">
        <f>_xlfn.XLOOKUP(Tabela2[[#This Row],[VENDEDOR]],[1]!Tabela5[VENDEDOR],[1]!Tabela5[META A])</f>
        <v>27</v>
      </c>
      <c r="V14" s="19">
        <f>_xlfn.XLOOKUP(Tabela2[[#This Row],[VENDEDOR]],'[1]BASE PYTHON'!$K:$K,'[1]BASE PYTHON'!$N:$N,0)</f>
        <v>16</v>
      </c>
      <c r="W14" s="19">
        <f t="shared" si="0"/>
        <v>11</v>
      </c>
    </row>
    <row r="15" spans="1:23" x14ac:dyDescent="0.25">
      <c r="A15" s="16" t="s">
        <v>11</v>
      </c>
      <c r="B15" s="16" t="s">
        <v>11</v>
      </c>
      <c r="C15" s="17">
        <f>_xlfn.XLOOKUP(Tabela13[[#This Row],[VENDEDOR]],[1]!Tabela2[VENDEDOR],[1]!Tabela2[META A])</f>
        <v>78000</v>
      </c>
      <c r="D15" s="17">
        <f>_xlfn.XLOOKUP(Tabela13[[#This Row],[VENDEDOR]],'[1]BASE PYTHON'!$E:$E,'[1]BASE PYTHON'!$F:$F,0)</f>
        <v>40012.410000000025</v>
      </c>
      <c r="E15" s="24">
        <f>Tabela13[[#This Row],[META A]]-Tabela13[[#This Row],[ATINGIDO]]</f>
        <v>37987.589999999975</v>
      </c>
      <c r="F15" s="4"/>
      <c r="G15" s="21" t="s">
        <v>8</v>
      </c>
      <c r="H15" s="21" t="s">
        <v>8</v>
      </c>
      <c r="I15" s="22">
        <f>_xlfn.XLOOKUP(Tabela5[[#This Row],[VENDEDOR]],[1]!Tabela1[VENDEDOR],[1]!Tabela1[VALOR])</f>
        <v>16000</v>
      </c>
      <c r="J15" s="22">
        <f>_xlfn.XLOOKUP(Tabela5[[#This Row],[VENDEDOR]],'[1]BASE PYTHON'!$H:$H,'[1]BASE PYTHON'!$I:$I,0)</f>
        <v>6844.6999999999989</v>
      </c>
      <c r="K15" s="23">
        <f>Tabela5[[#This Row],[COMPROMISSO]]-Tabela5[[#This Row],[ATINGIDO]]</f>
        <v>9155.3000000000011</v>
      </c>
      <c r="L15" s="4"/>
      <c r="M15" s="4" t="s">
        <v>30</v>
      </c>
      <c r="N15" s="4" t="s">
        <v>30</v>
      </c>
      <c r="O15" s="2" cm="1">
        <f t="array" ref="O15">IFERROR(_xlfn.XLOOKUP(M15,[1]!Tabela3[[#All],[VENDEDOR]],INDEX([1]!Tabela3[#All],0,MATCH($O$9,[1]!Tabela3[#Headers],0))),0)</f>
        <v>0</v>
      </c>
      <c r="P15" s="2">
        <f>_xlfn.XLOOKUP(Tabela8[[#This Row],[VENDEDOR]],'[1]BASE PYTHON'!$H:$H,'[1]BASE PYTHON'!$I:$I,0)</f>
        <v>11566.400000000001</v>
      </c>
      <c r="Q15" s="2">
        <f t="shared" si="1"/>
        <v>-11566.400000000001</v>
      </c>
      <c r="R15" s="2"/>
      <c r="S15" s="19" t="s">
        <v>12</v>
      </c>
      <c r="T15" s="19" t="s">
        <v>12</v>
      </c>
      <c r="U15" s="19">
        <f>_xlfn.XLOOKUP(Tabela2[[#This Row],[VENDEDOR]],[1]!Tabela5[VENDEDOR],[1]!Tabela5[META A])</f>
        <v>48</v>
      </c>
      <c r="V15" s="19">
        <f>_xlfn.XLOOKUP(Tabela2[[#This Row],[VENDEDOR]],'[1]BASE PYTHON'!$K:$K,'[1]BASE PYTHON'!$N:$N,0)</f>
        <v>25</v>
      </c>
      <c r="W15" s="19">
        <f>U15-V15</f>
        <v>23</v>
      </c>
    </row>
    <row r="16" spans="1:23" x14ac:dyDescent="0.25">
      <c r="A16" s="25" t="s">
        <v>26</v>
      </c>
      <c r="B16" s="25" t="s">
        <v>26</v>
      </c>
      <c r="C16" s="26">
        <f>_xlfn.XLOOKUP(Tabela13[[#This Row],[VENDEDOR]],[1]!Tabela2[VENDEDOR],[1]!Tabela2[META A])</f>
        <v>325000</v>
      </c>
      <c r="D16" s="26">
        <f>_xlfn.XLOOKUP(Tabela13[[#This Row],[VENDEDOR]],'[1]BASE PYTHON'!$E:$E,'[1]BASE PYTHON'!$F:$F,0)</f>
        <v>174575.71999999997</v>
      </c>
      <c r="E16" s="27">
        <f>Tabela13[[#This Row],[META A]]-Tabela13[[#This Row],[ATINGIDO]]</f>
        <v>150424.28000000003</v>
      </c>
      <c r="F16" s="4"/>
      <c r="G16" s="21" t="s">
        <v>20</v>
      </c>
      <c r="H16" s="21" t="s">
        <v>20</v>
      </c>
      <c r="I16" s="22">
        <f>_xlfn.XLOOKUP(Tabela5[[#This Row],[VENDEDOR]],[1]!Tabela1[VENDEDOR],[1]!Tabela1[VALOR])</f>
        <v>12810</v>
      </c>
      <c r="J16" s="22">
        <f>_xlfn.XLOOKUP(Tabela5[[#This Row],[VENDEDOR]],'[1]BASE PYTHON'!$H:$H,'[1]BASE PYTHON'!$I:$I,0)</f>
        <v>853.1</v>
      </c>
      <c r="K16" s="23">
        <f>Tabela5[[#This Row],[COMPROMISSO]]-Tabela5[[#This Row],[ATINGIDO]]</f>
        <v>11956.9</v>
      </c>
      <c r="L16" s="4"/>
      <c r="M16" s="4" t="s">
        <v>31</v>
      </c>
      <c r="N16" s="4" t="s">
        <v>31</v>
      </c>
      <c r="O16" s="2" cm="1">
        <f t="array" ref="O16">IFERROR(_xlfn.XLOOKUP(M16,[1]!Tabela3[[#All],[VENDEDOR]],INDEX([1]!Tabela3[#All],0,MATCH($O$9,[1]!Tabela3[#Headers],0))),0)</f>
        <v>0</v>
      </c>
      <c r="P16" s="2">
        <f>_xlfn.XLOOKUP(Tabela8[[#This Row],[VENDEDOR]],'[1]BASE PYTHON'!$H:$H,'[1]BASE PYTHON'!$I:$I,0)</f>
        <v>0</v>
      </c>
      <c r="Q16" s="2">
        <f t="shared" si="1"/>
        <v>0</v>
      </c>
      <c r="R16" s="2"/>
      <c r="S16" s="19" t="s">
        <v>16</v>
      </c>
      <c r="T16" s="19" t="s">
        <v>16</v>
      </c>
      <c r="U16" s="19">
        <f>_xlfn.XLOOKUP(Tabela2[[#This Row],[VENDEDOR]],[1]!Tabela5[VENDEDOR],[1]!Tabela5[META A])</f>
        <v>39</v>
      </c>
      <c r="V16" s="19">
        <f>_xlfn.XLOOKUP(Tabela2[[#This Row],[VENDEDOR]],'[1]BASE PYTHON'!$K:$K,'[1]BASE PYTHON'!$N:$N,0)</f>
        <v>0</v>
      </c>
      <c r="W16" s="19">
        <f t="shared" si="0"/>
        <v>39</v>
      </c>
    </row>
    <row r="17" spans="1:23" x14ac:dyDescent="0.25">
      <c r="A17" s="16" t="s">
        <v>32</v>
      </c>
      <c r="B17" s="16" t="s">
        <v>32</v>
      </c>
      <c r="C17" s="17">
        <f>_xlfn.XLOOKUP(Tabela13[[#This Row],[VENDEDOR]],[1]!Tabela2[VENDEDOR],[1]!Tabela2[META A])</f>
        <v>170000</v>
      </c>
      <c r="D17" s="17">
        <f>_xlfn.XLOOKUP(Tabela13[[#This Row],[VENDEDOR]],'[1]BASE PYTHON'!$E:$E,'[1]BASE PYTHON'!$F:$F,0)</f>
        <v>161197.35999999999</v>
      </c>
      <c r="E17" s="24">
        <f>Tabela13[[#This Row],[META A]]-Tabela13[[#This Row],[ATINGIDO]]</f>
        <v>8802.640000000014</v>
      </c>
      <c r="F17" s="4"/>
      <c r="G17" s="21" t="s">
        <v>16</v>
      </c>
      <c r="H17" s="21" t="s">
        <v>16</v>
      </c>
      <c r="I17" s="22">
        <f>_xlfn.XLOOKUP(Tabela5[[#This Row],[VENDEDOR]],[1]!Tabela1[VENDEDOR],[1]!Tabela1[VALOR])</f>
        <v>3144</v>
      </c>
      <c r="J17" s="22">
        <f>_xlfn.XLOOKUP(Tabela5[[#This Row],[VENDEDOR]],'[1]BASE PYTHON'!$H:$H,'[1]BASE PYTHON'!$I:$I,0)</f>
        <v>2197.6</v>
      </c>
      <c r="K17" s="23">
        <f>Tabela5[[#This Row],[COMPROMISSO]]-Tabela5[[#This Row],[ATINGIDO]]</f>
        <v>946.40000000000009</v>
      </c>
      <c r="L17" s="15"/>
      <c r="M17" s="4" t="s">
        <v>32</v>
      </c>
      <c r="N17" s="4" t="s">
        <v>32</v>
      </c>
      <c r="O17" s="2" cm="1">
        <f t="array" ref="O17">IFERROR(_xlfn.XLOOKUP(M17,[1]!Tabela3[[#All],[VENDEDOR]],INDEX([1]!Tabela3[#All],0,MATCH($O$9,[1]!Tabela3[#Headers],0))),0)</f>
        <v>0</v>
      </c>
      <c r="P17" s="2">
        <f>_xlfn.XLOOKUP(Tabela8[[#This Row],[VENDEDOR]],'[1]BASE PYTHON'!$H:$H,'[1]BASE PYTHON'!$I:$I,0)</f>
        <v>0</v>
      </c>
      <c r="Q17" s="2">
        <f t="shared" si="1"/>
        <v>0</v>
      </c>
      <c r="R17" s="2"/>
      <c r="S17" s="19" t="s">
        <v>13</v>
      </c>
      <c r="T17" s="19" t="s">
        <v>41</v>
      </c>
      <c r="U17" s="19">
        <f>_xlfn.XLOOKUP(Tabela2[[#This Row],[VENDEDOR]],[1]!Tabela5[VENDEDOR],[1]!Tabela5[META A])</f>
        <v>49</v>
      </c>
      <c r="V17" s="19">
        <f>_xlfn.XLOOKUP(Tabela2[[#This Row],[VENDEDOR]],'[1]BASE PYTHON'!$K:$K,'[1]BASE PYTHON'!$N:$N,0)</f>
        <v>0</v>
      </c>
      <c r="W17" s="19">
        <f t="shared" si="0"/>
        <v>49</v>
      </c>
    </row>
    <row r="18" spans="1:23" x14ac:dyDescent="0.25">
      <c r="A18" s="25" t="s">
        <v>29</v>
      </c>
      <c r="B18" s="25" t="s">
        <v>29</v>
      </c>
      <c r="C18" s="26">
        <f>_xlfn.XLOOKUP(Tabela13[[#This Row],[VENDEDOR]],[1]!Tabela2[VENDEDOR],[1]!Tabela2[META A])</f>
        <v>950000</v>
      </c>
      <c r="D18" s="26">
        <f>_xlfn.XLOOKUP(Tabela13[[#This Row],[VENDEDOR]],'[1]BASE PYTHON'!$E:$E,'[1]BASE PYTHON'!$F:$F,0)</f>
        <v>513142.70000000019</v>
      </c>
      <c r="E18" s="27">
        <f>Tabela13[[#This Row],[META A]]-Tabela13[[#This Row],[ATINGIDO]]</f>
        <v>436857.29999999981</v>
      </c>
      <c r="F18" s="4"/>
      <c r="G18" s="21" t="s">
        <v>12</v>
      </c>
      <c r="H18" s="21" t="s">
        <v>12</v>
      </c>
      <c r="I18" s="22">
        <f>_xlfn.XLOOKUP(Tabela5[[#This Row],[VENDEDOR]],[1]!Tabela1[VENDEDOR],[1]!Tabela1[VALOR])</f>
        <v>6216</v>
      </c>
      <c r="J18" s="22">
        <f>_xlfn.XLOOKUP(Tabela5[[#This Row],[VENDEDOR]],'[1]BASE PYTHON'!$H:$H,'[1]BASE PYTHON'!$I:$I,0)</f>
        <v>856.4</v>
      </c>
      <c r="K18" s="23">
        <f>Tabela5[[#This Row],[COMPROMISSO]]-Tabela5[[#This Row],[ATINGIDO]]</f>
        <v>5359.6</v>
      </c>
      <c r="L18" s="4"/>
      <c r="M18" s="15"/>
      <c r="N18" s="4"/>
      <c r="O18" s="4"/>
      <c r="P18" s="2"/>
      <c r="Q18" s="2"/>
      <c r="R18" s="4"/>
      <c r="S18" s="19" t="s">
        <v>17</v>
      </c>
      <c r="T18" s="19" t="s">
        <v>17</v>
      </c>
      <c r="U18" s="19">
        <f>_xlfn.XLOOKUP(Tabela2[[#This Row],[VENDEDOR]],[1]!Tabela5[VENDEDOR],[1]!Tabela5[META A])</f>
        <v>45</v>
      </c>
      <c r="V18" s="19">
        <f>_xlfn.XLOOKUP(Tabela2[[#This Row],[VENDEDOR]],'[1]BASE PYTHON'!$K:$K,'[1]BASE PYTHON'!$N:$N,0)</f>
        <v>30</v>
      </c>
      <c r="W18" s="19">
        <f t="shared" si="0"/>
        <v>15</v>
      </c>
    </row>
    <row r="19" spans="1:23" x14ac:dyDescent="0.25">
      <c r="A19" s="16" t="s">
        <v>31</v>
      </c>
      <c r="B19" s="16" t="s">
        <v>31</v>
      </c>
      <c r="C19" s="17">
        <f>_xlfn.XLOOKUP(Tabela13[[#This Row],[VENDEDOR]],[1]!Tabela2[VENDEDOR],[1]!Tabela2[META A])</f>
        <v>130000</v>
      </c>
      <c r="D19" s="17">
        <f>_xlfn.XLOOKUP(Tabela13[[#This Row],[VENDEDOR]],'[1]BASE PYTHON'!$E:$E,'[1]BASE PYTHON'!$F:$F,0)</f>
        <v>36418.899999999994</v>
      </c>
      <c r="E19" s="24">
        <f>Tabela13[[#This Row],[META A]]-Tabela13[[#This Row],[ATINGIDO]]</f>
        <v>93581.1</v>
      </c>
      <c r="F19" s="4"/>
      <c r="G19" s="21" t="s">
        <v>13</v>
      </c>
      <c r="H19" s="21" t="s">
        <v>41</v>
      </c>
      <c r="I19" s="22">
        <f>_xlfn.XLOOKUP(Tabela5[[#This Row],[VENDEDOR]],[1]!Tabela1[VENDEDOR],[1]!Tabela1[VALOR])</f>
        <v>10870</v>
      </c>
      <c r="J19" s="22">
        <f>_xlfn.XLOOKUP(Tabela5[[#This Row],[VENDEDOR]],'[1]BASE PYTHON'!$H:$H,'[1]BASE PYTHON'!$I:$I,0)</f>
        <v>1293</v>
      </c>
      <c r="K19" s="23">
        <f>Tabela5[[#This Row],[COMPROMISSO]]-Tabela5[[#This Row],[ATINGIDO]]</f>
        <v>9577</v>
      </c>
      <c r="L19" s="4"/>
      <c r="M19" s="4"/>
      <c r="R19" s="4"/>
      <c r="S19" s="19" t="s">
        <v>18</v>
      </c>
      <c r="T19" s="19" t="s">
        <v>18</v>
      </c>
      <c r="U19" s="19">
        <f>_xlfn.XLOOKUP(Tabela2[[#This Row],[VENDEDOR]],[1]!Tabela5[VENDEDOR],[1]!Tabela5[META A])</f>
        <v>61</v>
      </c>
      <c r="V19" s="19">
        <f>_xlfn.XLOOKUP(Tabela2[[#This Row],[VENDEDOR]],'[1]BASE PYTHON'!$K:$K,'[1]BASE PYTHON'!$N:$N,0)</f>
        <v>45</v>
      </c>
      <c r="W19" s="19">
        <f t="shared" si="0"/>
        <v>16</v>
      </c>
    </row>
    <row r="20" spans="1:23" x14ac:dyDescent="0.25">
      <c r="A20" s="25" t="s">
        <v>30</v>
      </c>
      <c r="B20" s="25" t="s">
        <v>30</v>
      </c>
      <c r="C20" s="26">
        <f>_xlfn.XLOOKUP(Tabela13[[#This Row],[VENDEDOR]],[1]!Tabela2[VENDEDOR],[1]!Tabela2[META A])</f>
        <v>560000</v>
      </c>
      <c r="D20" s="26">
        <f>_xlfn.XLOOKUP(Tabela13[[#This Row],[VENDEDOR]],'[1]BASE PYTHON'!$E:$E,'[1]BASE PYTHON'!$F:$F,0)</f>
        <v>181399.52000000014</v>
      </c>
      <c r="E20" s="27">
        <f>Tabela13[[#This Row],[META A]]-Tabela13[[#This Row],[ATINGIDO]]</f>
        <v>378600.47999999986</v>
      </c>
      <c r="F20" s="4"/>
      <c r="G20" s="21" t="s">
        <v>10</v>
      </c>
      <c r="H20" s="21" t="s">
        <v>10</v>
      </c>
      <c r="I20" s="22">
        <f>_xlfn.XLOOKUP(Tabela5[[#This Row],[VENDEDOR]],[1]!Tabela1[VENDEDOR],[1]!Tabela1[VALOR])</f>
        <v>13000</v>
      </c>
      <c r="J20" s="22">
        <f>_xlfn.XLOOKUP(Tabela5[[#This Row],[VENDEDOR]],'[1]BASE PYTHON'!$H:$H,'[1]BASE PYTHON'!$I:$I,0)</f>
        <v>2353.0999999999995</v>
      </c>
      <c r="K20" s="23">
        <f>Tabela5[[#This Row],[COMPROMISSO]]-Tabela5[[#This Row],[ATINGIDO]]</f>
        <v>10646.900000000001</v>
      </c>
      <c r="L20" s="4"/>
      <c r="M20" s="4"/>
      <c r="N20" s="4" t="s">
        <v>47</v>
      </c>
      <c r="O20" s="4" t="s">
        <v>25</v>
      </c>
      <c r="P20" s="4" t="s">
        <v>3</v>
      </c>
      <c r="Q20" s="4" t="s">
        <v>2</v>
      </c>
      <c r="R20" s="4"/>
      <c r="S20" s="19" t="s">
        <v>14</v>
      </c>
      <c r="T20" s="19" t="s">
        <v>42</v>
      </c>
      <c r="U20" s="19">
        <f>_xlfn.XLOOKUP(Tabela2[[#This Row],[VENDEDOR]],[1]!Tabela5[VENDEDOR],[1]!Tabela5[META A])</f>
        <v>39</v>
      </c>
      <c r="V20" s="19">
        <f>_xlfn.XLOOKUP(Tabela2[[#This Row],[VENDEDOR]],'[1]BASE PYTHON'!$K:$K,'[1]BASE PYTHON'!$N:$N,0)</f>
        <v>16</v>
      </c>
      <c r="W20" s="19">
        <f t="shared" si="0"/>
        <v>23</v>
      </c>
    </row>
    <row r="21" spans="1:23" x14ac:dyDescent="0.25">
      <c r="A21" s="16" t="s">
        <v>28</v>
      </c>
      <c r="B21" s="16" t="s">
        <v>28</v>
      </c>
      <c r="C21" s="17">
        <f>_xlfn.XLOOKUP(Tabela13[[#This Row],[VENDEDOR]],[1]!Tabela2[VENDEDOR],[1]!Tabela2[META A])</f>
        <v>415000</v>
      </c>
      <c r="D21" s="17">
        <f>_xlfn.XLOOKUP(Tabela13[[#This Row],[VENDEDOR]],'[1]BASE PYTHON'!$E:$E,'[1]BASE PYTHON'!$F:$F,0)</f>
        <v>206904.88</v>
      </c>
      <c r="E21" s="24">
        <f>Tabela13[[#This Row],[META A]]-Tabela13[[#This Row],[ATINGIDO]]</f>
        <v>208095.12</v>
      </c>
      <c r="F21" s="4"/>
      <c r="G21" s="21" t="s">
        <v>11</v>
      </c>
      <c r="H21" s="21" t="s">
        <v>11</v>
      </c>
      <c r="I21" s="22">
        <f>_xlfn.XLOOKUP(Tabela5[[#This Row],[VENDEDOR]],[1]!Tabela1[VENDEDOR],[1]!Tabela1[VALOR])</f>
        <v>5020</v>
      </c>
      <c r="J21" s="22">
        <f>_xlfn.XLOOKUP(Tabela5[[#This Row],[VENDEDOR]],'[1]BASE PYTHON'!$H:$H,'[1]BASE PYTHON'!$I:$I,0)</f>
        <v>781.7600000000001</v>
      </c>
      <c r="K21" s="23">
        <f>Tabela5[[#This Row],[COMPROMISSO]]-Tabela5[[#This Row],[ATINGIDO]]</f>
        <v>4238.24</v>
      </c>
      <c r="L21" s="4"/>
      <c r="M21" s="4"/>
      <c r="N21" s="4" t="s">
        <v>4</v>
      </c>
      <c r="O21" s="2" cm="1">
        <f t="array" ref="O21">_xlfn.XLOOKUP(Tabela9[[#This Row],[SEMANAL]],[1]!Tabela10[[#All],[Coluna1]],[1]!Tabela10[[#All],[Coluna2]])</f>
        <v>371590.90909090912</v>
      </c>
      <c r="P21" s="2">
        <f>IFERROR(GETPIVOTDATA("[Measures].[Soma de TOTAL 3]",'[1]BASE PYTHON'!$P$32,"[Intervalo 2].[SEMANA]","[Intervalo 2].[SEMANA].&amp;[1]"),0)</f>
        <v>266634.81999999983</v>
      </c>
      <c r="Q21" s="7">
        <f>O21-P21</f>
        <v>104956.08909090929</v>
      </c>
      <c r="R21" s="4"/>
      <c r="S21" s="19" t="s">
        <v>19</v>
      </c>
      <c r="T21" s="19" t="s">
        <v>19</v>
      </c>
      <c r="U21" s="19">
        <f>_xlfn.XLOOKUP(Tabela2[[#This Row],[VENDEDOR]],[1]!Tabela5[VENDEDOR],[1]!Tabela5[META A])</f>
        <v>44</v>
      </c>
      <c r="V21" s="19">
        <f>_xlfn.XLOOKUP(Tabela2[[#This Row],[VENDEDOR]],'[1]BASE PYTHON'!$K:$K,'[1]BASE PYTHON'!$N:$N,0)</f>
        <v>27</v>
      </c>
      <c r="W21" s="19">
        <f t="shared" ref="W21:W26" si="2">U21-V21</f>
        <v>17</v>
      </c>
    </row>
    <row r="22" spans="1:23" x14ac:dyDescent="0.25">
      <c r="A22" s="25" t="s">
        <v>12</v>
      </c>
      <c r="B22" s="25" t="s">
        <v>12</v>
      </c>
      <c r="C22" s="26">
        <f>_xlfn.XLOOKUP(Tabela13[[#This Row],[VENDEDOR]],[1]!Tabela2[VENDEDOR],[1]!Tabela2[META A])</f>
        <v>122000</v>
      </c>
      <c r="D22" s="26">
        <f>_xlfn.XLOOKUP(Tabela13[[#This Row],[VENDEDOR]],'[1]BASE PYTHON'!$E:$E,'[1]BASE PYTHON'!$F:$F,0)</f>
        <v>50153.310000000019</v>
      </c>
      <c r="E22" s="27">
        <f>Tabela13[[#This Row],[META A]]-Tabela13[[#This Row],[ATINGIDO]]</f>
        <v>71846.689999999973</v>
      </c>
      <c r="F22" s="4"/>
      <c r="G22" s="21" t="s">
        <v>14</v>
      </c>
      <c r="H22" s="21" t="s">
        <v>14</v>
      </c>
      <c r="I22" s="22">
        <f>_xlfn.XLOOKUP(Tabela5[[#This Row],[VENDEDOR]],[1]!Tabela1[VENDEDOR],[1]!Tabela1[VALOR])</f>
        <v>8104</v>
      </c>
      <c r="J22" s="22">
        <f>_xlfn.XLOOKUP(Tabela5[[#This Row],[VENDEDOR]],'[1]BASE PYTHON'!$H:$H,'[1]BASE PYTHON'!$I:$I,0)</f>
        <v>996.34999999999991</v>
      </c>
      <c r="K22" s="23">
        <f>Tabela5[[#This Row],[COMPROMISSO]]-Tabela5[[#This Row],[ATINGIDO]]</f>
        <v>7107.65</v>
      </c>
      <c r="L22" s="4"/>
      <c r="M22" s="4"/>
      <c r="N22" s="4" t="s">
        <v>48</v>
      </c>
      <c r="O22" s="2" cm="1">
        <f t="array" ref="O22">_xlfn.XLOOKUP(Tabela9[[#This Row],[SEMANAL]],[1]!Tabela10[[#All],[Coluna1]],[1]!Tabela10[[#All],[Coluna2]])</f>
        <v>495454.54545454547</v>
      </c>
      <c r="P22" s="7">
        <f>IFERROR(GETPIVOTDATA("[Measures].[Soma de TOTAL 3]",'[1]BASE PYTHON'!$P$32,"[Intervalo 2].[SEMANA]","[Intervalo 2].[SEMANA].&amp;[2]"),0)</f>
        <v>520408.39000000031</v>
      </c>
      <c r="Q22" s="7">
        <f>O22-P22</f>
        <v>-24953.844545454835</v>
      </c>
      <c r="R22" s="4"/>
      <c r="S22" s="19" t="s">
        <v>20</v>
      </c>
      <c r="T22" s="19" t="s">
        <v>20</v>
      </c>
      <c r="U22" s="19">
        <f>_xlfn.XLOOKUP(Tabela2[[#This Row],[VENDEDOR]],[1]!Tabela5[VENDEDOR],[1]!Tabela5[META A])</f>
        <v>40</v>
      </c>
      <c r="V22" s="19">
        <f>_xlfn.XLOOKUP(Tabela2[[#This Row],[VENDEDOR]],'[1]BASE PYTHON'!$K:$K,'[1]BASE PYTHON'!$N:$N,0)</f>
        <v>21</v>
      </c>
      <c r="W22" s="19">
        <f t="shared" si="2"/>
        <v>19</v>
      </c>
    </row>
    <row r="23" spans="1:23" x14ac:dyDescent="0.25">
      <c r="A23" s="16" t="s">
        <v>13</v>
      </c>
      <c r="B23" s="16" t="s">
        <v>41</v>
      </c>
      <c r="C23" s="17">
        <f>_xlfn.XLOOKUP(Tabela13[[#This Row],[VENDEDOR]],[1]!Tabela2[VENDEDOR],[1]!Tabela2[META A])</f>
        <v>195000</v>
      </c>
      <c r="D23" s="17">
        <f>_xlfn.XLOOKUP(Tabela13[[#This Row],[VENDEDOR]],'[1]BASE PYTHON'!$E:$E,'[1]BASE PYTHON'!$F:$F,0)</f>
        <v>88647.899999999878</v>
      </c>
      <c r="E23" s="24">
        <f>Tabela13[[#This Row],[META A]]-Tabela13[[#This Row],[ATINGIDO]]</f>
        <v>106352.10000000012</v>
      </c>
      <c r="F23" s="4"/>
      <c r="G23" s="21" t="s">
        <v>9</v>
      </c>
      <c r="H23" s="21" t="s">
        <v>9</v>
      </c>
      <c r="I23" s="22">
        <f>_xlfn.XLOOKUP(Tabela5[[#This Row],[VENDEDOR]],[1]!Tabela1[VENDEDOR],[1]!Tabela1[VALOR])</f>
        <v>5255</v>
      </c>
      <c r="J23" s="22">
        <f>_xlfn.XLOOKUP(Tabela5[[#This Row],[VENDEDOR]],'[1]BASE PYTHON'!$H:$H,'[1]BASE PYTHON'!$I:$I,0)</f>
        <v>2016.5</v>
      </c>
      <c r="K23" s="23">
        <f>Tabela5[[#This Row],[COMPROMISSO]]-Tabela5[[#This Row],[ATINGIDO]]</f>
        <v>3238.5</v>
      </c>
      <c r="L23" s="4"/>
      <c r="M23" s="4"/>
      <c r="N23" s="4" t="s">
        <v>49</v>
      </c>
      <c r="O23" s="2" cm="1">
        <f t="array" ref="O23">_xlfn.XLOOKUP(Tabela9[[#This Row],[SEMANAL]],[1]!Tabela10[[#All],[Coluna1]],[1]!Tabela10[[#All],[Coluna2]])</f>
        <v>619318.18181818188</v>
      </c>
      <c r="P23" s="7">
        <f>IFERROR(GETPIVOTDATA("[Measures].[Soma de TOTAL 3]",'[1]BASE PYTHON'!$P$32,"[Intervalo 2].[SEMANA]","[Intervalo 2].[SEMANA].&amp;[3]"),0)</f>
        <v>486595.86999999976</v>
      </c>
      <c r="Q23" s="7">
        <f>O23-P23</f>
        <v>132722.31181818212</v>
      </c>
      <c r="R23" s="4"/>
      <c r="S23" s="19" t="s">
        <v>21</v>
      </c>
      <c r="T23" s="19" t="s">
        <v>21</v>
      </c>
      <c r="U23" s="19">
        <f>_xlfn.XLOOKUP(Tabela2[[#This Row],[VENDEDOR]],[1]!Tabela5[VENDEDOR],[1]!Tabela5[META A])</f>
        <v>55</v>
      </c>
      <c r="V23" s="19">
        <f>_xlfn.XLOOKUP(Tabela2[[#This Row],[VENDEDOR]],'[1]BASE PYTHON'!$K:$K,'[1]BASE PYTHON'!$N:$N,0)</f>
        <v>0</v>
      </c>
      <c r="W23" s="19">
        <f t="shared" si="2"/>
        <v>55</v>
      </c>
    </row>
    <row r="24" spans="1:23" x14ac:dyDescent="0.25">
      <c r="A24" s="25" t="s">
        <v>14</v>
      </c>
      <c r="B24" s="25" t="s">
        <v>42</v>
      </c>
      <c r="C24" s="26">
        <f>_xlfn.XLOOKUP(Tabela13[[#This Row],[VENDEDOR]],[1]!Tabela2[VENDEDOR],[1]!Tabela2[META A])</f>
        <v>140000</v>
      </c>
      <c r="D24" s="26">
        <f>_xlfn.XLOOKUP(Tabela13[[#This Row],[VENDEDOR]],'[1]BASE PYTHON'!$E:$E,'[1]BASE PYTHON'!$F:$F,0)</f>
        <v>65392.23</v>
      </c>
      <c r="E24" s="27">
        <f>Tabela13[[#This Row],[META A]]-Tabela13[[#This Row],[ATINGIDO]]</f>
        <v>74607.76999999999</v>
      </c>
      <c r="F24" s="4"/>
      <c r="G24" s="21" t="s">
        <v>24</v>
      </c>
      <c r="H24" s="21" t="s">
        <v>45</v>
      </c>
      <c r="I24" s="22">
        <f>_xlfn.XLOOKUP(Tabela5[[#This Row],[VENDEDOR]],[1]!Tabela1[VENDEDOR],[1]!Tabela1[VALOR])</f>
        <v>3110</v>
      </c>
      <c r="J24" s="22">
        <f>_xlfn.XLOOKUP(Tabela5[[#This Row],[VENDEDOR]],'[1]BASE PYTHON'!$H:$H,'[1]BASE PYTHON'!$I:$I,0)</f>
        <v>1040.82</v>
      </c>
      <c r="K24" s="23">
        <f>Tabela5[[#This Row],[COMPROMISSO]]-Tabela5[[#This Row],[ATINGIDO]]</f>
        <v>2069.1800000000003</v>
      </c>
      <c r="L24" s="4"/>
      <c r="M24" s="4"/>
      <c r="N24" s="4" t="s">
        <v>50</v>
      </c>
      <c r="O24" s="2" cm="1">
        <f t="array" ref="O24">_xlfn.XLOOKUP(Tabela9[[#This Row],[SEMANAL]],[1]!Tabela10[[#All],[Coluna1]],[1]!Tabela10[[#All],[Coluna2]])</f>
        <v>619318.18181818188</v>
      </c>
      <c r="P24" s="7">
        <f>IFERROR(GETPIVOTDATA("[Measures].[Soma de TOTAL 3]",'[1]BASE PYTHON'!$P$32,"[Intervalo 2].[SEMANA]","[Intervalo 2].[SEMANA].&amp;[4]"),0)</f>
        <v>0</v>
      </c>
      <c r="Q24" s="7">
        <f>O24-P24</f>
        <v>619318.18181818188</v>
      </c>
      <c r="R24" s="4"/>
      <c r="S24" s="19" t="s">
        <v>22</v>
      </c>
      <c r="T24" s="19" t="s">
        <v>22</v>
      </c>
      <c r="U24" s="19">
        <f>_xlfn.XLOOKUP(Tabela2[[#This Row],[VENDEDOR]],[1]!Tabela5[VENDEDOR],[1]!Tabela5[META A])</f>
        <v>37</v>
      </c>
      <c r="V24" s="19">
        <f>_xlfn.XLOOKUP(Tabela2[[#This Row],[VENDEDOR]],'[1]BASE PYTHON'!$K:$K,'[1]BASE PYTHON'!$N:$N,0)</f>
        <v>19</v>
      </c>
      <c r="W24" s="19">
        <f t="shared" si="2"/>
        <v>18</v>
      </c>
    </row>
    <row r="25" spans="1:23" x14ac:dyDescent="0.25">
      <c r="A25" s="16" t="s">
        <v>15</v>
      </c>
      <c r="B25" s="16" t="s">
        <v>43</v>
      </c>
      <c r="C25" s="17">
        <f>_xlfn.XLOOKUP(Tabela13[[#This Row],[VENDEDOR]],[1]!Tabela2[VENDEDOR],[1]!Tabela2[META A])</f>
        <v>142500</v>
      </c>
      <c r="D25" s="17">
        <f>_xlfn.XLOOKUP(Tabela13[[#This Row],[VENDEDOR]],'[1]BASE PYTHON'!$E:$E,'[1]BASE PYTHON'!$F:$F,0)</f>
        <v>53035.3100000001</v>
      </c>
      <c r="E25" s="24">
        <f>Tabela13[[#This Row],[META A]]-Tabela13[[#This Row],[ATINGIDO]]</f>
        <v>89464.6899999999</v>
      </c>
      <c r="F25" s="4"/>
      <c r="G25" s="21" t="s">
        <v>22</v>
      </c>
      <c r="H25" s="21" t="s">
        <v>22</v>
      </c>
      <c r="I25" s="22">
        <f>_xlfn.XLOOKUP(Tabela5[[#This Row],[VENDEDOR]],[1]!Tabela1[VENDEDOR],[1]!Tabela1[VALOR])</f>
        <v>3570</v>
      </c>
      <c r="J25" s="22">
        <f>_xlfn.XLOOKUP(Tabela5[[#This Row],[VENDEDOR]],'[1]BASE PYTHON'!$H:$H,'[1]BASE PYTHON'!$I:$I,0)</f>
        <v>1202.75</v>
      </c>
      <c r="K25" s="23">
        <f>Tabela5[[#This Row],[COMPROMISSO]]-Tabela5[[#This Row],[ATINGIDO]]</f>
        <v>2367.25</v>
      </c>
      <c r="L25" s="4"/>
      <c r="M25" s="4"/>
      <c r="N25" s="4" t="s">
        <v>52</v>
      </c>
      <c r="O25" s="2" cm="1">
        <f t="array" ref="O25">_xlfn.XLOOKUP(Tabela9[[#This Row],[SEMANAL]],[1]!Tabela10[[#All],[Coluna1]],[1]!Tabela10[[#All],[Coluna2]])</f>
        <v>619318.18181818188</v>
      </c>
      <c r="P25" s="7">
        <f>IFERROR(GETPIVOTDATA("[Measures].[Soma de TOTAL 3]",'[1]BASE PYTHON'!$P$32,"[Intervalo 2].[SEMANA]","[Intervalo 2].[SEMANA].&amp;[5]"),0)</f>
        <v>0</v>
      </c>
      <c r="Q25" s="7">
        <f>O25-P25</f>
        <v>619318.18181818188</v>
      </c>
      <c r="R25" s="4"/>
      <c r="S25" s="19" t="s">
        <v>15</v>
      </c>
      <c r="T25" s="19" t="s">
        <v>43</v>
      </c>
      <c r="U25" s="19">
        <f>_xlfn.XLOOKUP(Tabela2[[#This Row],[VENDEDOR]],[1]!Tabela5[VENDEDOR],[1]!Tabela5[META A])</f>
        <v>51</v>
      </c>
      <c r="V25" s="19">
        <f>_xlfn.XLOOKUP(Tabela2[[#This Row],[VENDEDOR]],'[1]BASE PYTHON'!$K:$K,'[1]BASE PYTHON'!$N:$N,0)</f>
        <v>23</v>
      </c>
      <c r="W25" s="19">
        <f t="shared" si="2"/>
        <v>28</v>
      </c>
    </row>
    <row r="26" spans="1:23" x14ac:dyDescent="0.25">
      <c r="A26" s="25" t="s">
        <v>16</v>
      </c>
      <c r="B26" s="25" t="s">
        <v>16</v>
      </c>
      <c r="C26" s="26">
        <f>_xlfn.XLOOKUP(Tabela13[[#This Row],[VENDEDOR]],[1]!Tabela2[VENDEDOR],[1]!Tabela2[META A])</f>
        <v>90000</v>
      </c>
      <c r="D26" s="26">
        <f>_xlfn.XLOOKUP(Tabela13[[#This Row],[VENDEDOR]],'[1]BASE PYTHON'!$E:$E,'[1]BASE PYTHON'!$F:$F,0)</f>
        <v>30794.440000000057</v>
      </c>
      <c r="E26" s="27">
        <f>Tabela13[[#This Row],[META A]]-Tabela13[[#This Row],[ATINGIDO]]</f>
        <v>59205.559999999939</v>
      </c>
      <c r="F26" s="4"/>
      <c r="G26" s="21" t="s">
        <v>23</v>
      </c>
      <c r="H26" s="21" t="s">
        <v>44</v>
      </c>
      <c r="I26" s="22">
        <f>_xlfn.XLOOKUP(Tabela5[[#This Row],[VENDEDOR]],[1]!Tabela1[VENDEDOR],[1]!Tabela1[VALOR])</f>
        <v>2442</v>
      </c>
      <c r="J26" s="22">
        <f>_xlfn.XLOOKUP(Tabela5[[#This Row],[VENDEDOR]],'[1]BASE PYTHON'!$H:$H,'[1]BASE PYTHON'!$I:$I,0)</f>
        <v>665.54</v>
      </c>
      <c r="K26" s="23">
        <f>Tabela5[[#This Row],[COMPROMISSO]]-Tabela5[[#This Row],[ATINGIDO]]</f>
        <v>1776.46</v>
      </c>
      <c r="L26" s="4"/>
      <c r="M26" s="4"/>
      <c r="N26" s="4"/>
      <c r="O26" s="2"/>
      <c r="P26" s="4"/>
      <c r="Q26" s="4"/>
      <c r="R26" s="4"/>
      <c r="S26" s="19" t="s">
        <v>23</v>
      </c>
      <c r="T26" s="19" t="s">
        <v>44</v>
      </c>
      <c r="U26" s="19">
        <f>_xlfn.XLOOKUP(Tabela2[[#This Row],[VENDEDOR]],[1]!Tabela5[VENDEDOR],[1]!Tabela5[META A])</f>
        <v>35</v>
      </c>
      <c r="V26" s="19">
        <f>_xlfn.XLOOKUP(Tabela2[[#This Row],[VENDEDOR]],'[1]BASE PYTHON'!$K:$K,'[1]BASE PYTHON'!$N:$N,0)</f>
        <v>0</v>
      </c>
      <c r="W26" s="19">
        <f t="shared" si="2"/>
        <v>35</v>
      </c>
    </row>
    <row r="27" spans="1:23" x14ac:dyDescent="0.25">
      <c r="A27" s="16" t="s">
        <v>17</v>
      </c>
      <c r="B27" s="16" t="s">
        <v>17</v>
      </c>
      <c r="C27" s="17">
        <f>_xlfn.XLOOKUP(Tabela13[[#This Row],[VENDEDOR]],[1]!Tabela2[VENDEDOR],[1]!Tabela2[META A])</f>
        <v>237500</v>
      </c>
      <c r="D27" s="17">
        <f>_xlfn.XLOOKUP(Tabela13[[#This Row],[VENDEDOR]],'[1]BASE PYTHON'!$E:$E,'[1]BASE PYTHON'!$F:$F,0)</f>
        <v>124836.28999999983</v>
      </c>
      <c r="E27" s="24">
        <f>Tabela13[[#This Row],[META A]]-Tabela13[[#This Row],[ATINGIDO]]</f>
        <v>112663.71000000017</v>
      </c>
      <c r="F27" s="4"/>
      <c r="G27" s="21" t="s">
        <v>7</v>
      </c>
      <c r="H27" s="21" t="s">
        <v>7</v>
      </c>
      <c r="I27" s="22">
        <f>_xlfn.XLOOKUP(Tabela5[[#This Row],[VENDEDOR]],[1]!Tabela1[VENDEDOR],[1]!Tabela1[VALOR])</f>
        <v>2298</v>
      </c>
      <c r="J27" s="22">
        <f>_xlfn.XLOOKUP(Tabela5[[#This Row],[VENDEDOR]],'[1]BASE PYTHON'!$H:$H,'[1]BASE PYTHON'!$I:$I,0)</f>
        <v>1304.31</v>
      </c>
      <c r="K27" s="23">
        <f>Tabela5[[#This Row],[COMPROMISSO]]-Tabela5[[#This Row],[ATINGIDO]]</f>
        <v>993.69</v>
      </c>
      <c r="L27" s="4"/>
      <c r="M27" s="4"/>
      <c r="N27" s="4"/>
      <c r="O27" s="4"/>
      <c r="P27" s="4"/>
      <c r="Q27" s="4"/>
      <c r="R27" s="4"/>
    </row>
    <row r="28" spans="1:23" x14ac:dyDescent="0.25">
      <c r="A28" s="25" t="s">
        <v>18</v>
      </c>
      <c r="B28" s="25" t="s">
        <v>18</v>
      </c>
      <c r="C28" s="26">
        <f>_xlfn.XLOOKUP(Tabela13[[#This Row],[VENDEDOR]],[1]!Tabela2[VENDEDOR],[1]!Tabela2[META A])</f>
        <v>318500</v>
      </c>
      <c r="D28" s="26">
        <f>_xlfn.XLOOKUP(Tabela13[[#This Row],[VENDEDOR]],'[1]BASE PYTHON'!$E:$E,'[1]BASE PYTHON'!$F:$F,0)</f>
        <v>165483.18</v>
      </c>
      <c r="E28" s="27">
        <f>Tabela13[[#This Row],[META A]]-Tabela13[[#This Row],[ATINGIDO]]</f>
        <v>153016.82</v>
      </c>
      <c r="F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</row>
    <row r="29" spans="1:23" x14ac:dyDescent="0.25">
      <c r="A29" s="16" t="s">
        <v>40</v>
      </c>
      <c r="B29" s="16" t="s">
        <v>27</v>
      </c>
      <c r="C29" s="17">
        <f>_xlfn.XLOOKUP(Tabela13[[#This Row],[VENDEDOR]],[1]!Tabela2[VENDEDOR],[1]!Tabela2[META A])</f>
        <v>175000</v>
      </c>
      <c r="D29" s="17">
        <f>_xlfn.XLOOKUP(Tabela13[[#This Row],[VENDEDOR]],'[1]BASE PYTHON'!$E:$E,'[1]BASE PYTHON'!$F:$F,0)</f>
        <v>0</v>
      </c>
      <c r="E29" s="24">
        <f>Tabela13[[#This Row],[META A]]-Tabela13[[#This Row],[ATINGIDO]]</f>
        <v>175000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 t="s">
        <v>47</v>
      </c>
      <c r="U29" s="4" t="s">
        <v>25</v>
      </c>
      <c r="V29" s="4" t="s">
        <v>3</v>
      </c>
      <c r="W29" s="4" t="s">
        <v>2</v>
      </c>
    </row>
    <row r="30" spans="1:23" x14ac:dyDescent="0.25">
      <c r="A30" s="25" t="s">
        <v>19</v>
      </c>
      <c r="B30" s="25" t="s">
        <v>19</v>
      </c>
      <c r="C30" s="26">
        <f>_xlfn.XLOOKUP(Tabela13[[#This Row],[VENDEDOR]],[1]!Tabela2[VENDEDOR],[1]!Tabela2[META A])</f>
        <v>134500</v>
      </c>
      <c r="D30" s="26">
        <f>_xlfn.XLOOKUP(Tabela13[[#This Row],[VENDEDOR]],'[1]BASE PYTHON'!$E:$E,'[1]BASE PYTHON'!$F:$F,0)</f>
        <v>68864.489999999962</v>
      </c>
      <c r="E30" s="27">
        <f>Tabela13[[#This Row],[META A]]-Tabela13[[#This Row],[ATINGIDO]]</f>
        <v>65635.510000000038</v>
      </c>
      <c r="F30" s="4"/>
      <c r="G30" s="4"/>
      <c r="H30" s="4" t="s">
        <v>47</v>
      </c>
      <c r="I30" s="4" t="s">
        <v>25</v>
      </c>
      <c r="J30" s="4" t="s">
        <v>3</v>
      </c>
      <c r="K30" s="4" t="s">
        <v>2</v>
      </c>
      <c r="L30" s="4"/>
      <c r="M30" s="4"/>
      <c r="N30" s="4"/>
      <c r="O30" s="4"/>
      <c r="P30" s="4"/>
      <c r="Q30" s="4"/>
      <c r="R30" s="4"/>
      <c r="S30" s="4"/>
      <c r="T30" s="4" t="s">
        <v>4</v>
      </c>
      <c r="U30" s="5" cm="1">
        <f t="array" ref="U30">_xlfn.XLOOKUP(Tabela12[[#This Row],[SEMANAL]],[1]!Tabela11[[#All],[Coluna1]],[1]!Tabela11[[#All],[Coluna2]])</f>
        <v>103.36363636363636</v>
      </c>
      <c r="V30" s="5">
        <f>IFERROR(GETPIVOTDATA("[Measures].[Contagem Distinta de COD_CLIENTE]",'[1]BASE PYTHON'!$P$85,"[Intervalo 2].[SEMANA]","[Intervalo 2].[SEMANA].&amp;[1]"),0)</f>
        <v>79</v>
      </c>
      <c r="W30" s="6">
        <f>U30-V30</f>
        <v>24.36363636363636</v>
      </c>
    </row>
    <row r="31" spans="1:23" x14ac:dyDescent="0.25">
      <c r="A31" s="16" t="s">
        <v>20</v>
      </c>
      <c r="B31" s="16" t="s">
        <v>20</v>
      </c>
      <c r="C31" s="17">
        <f>_xlfn.XLOOKUP(Tabela13[[#This Row],[VENDEDOR]],[1]!Tabela2[VENDEDOR],[1]!Tabela2[META A])</f>
        <v>167000</v>
      </c>
      <c r="D31" s="17">
        <f>_xlfn.XLOOKUP(Tabela13[[#This Row],[VENDEDOR]],'[1]BASE PYTHON'!$E:$E,'[1]BASE PYTHON'!$F:$F,0)</f>
        <v>77338.629999999946</v>
      </c>
      <c r="E31" s="24">
        <f>Tabela13[[#This Row],[META A]]-Tabela13[[#This Row],[ATINGIDO]]</f>
        <v>89661.370000000054</v>
      </c>
      <c r="F31" s="4"/>
      <c r="G31" s="4"/>
      <c r="H31" s="4" t="s">
        <v>4</v>
      </c>
      <c r="I31" s="2" cm="1">
        <f t="array" ref="I31">_xlfn.XLOOKUP(Tabela6[[#This Row],[SEMANAL]],[1]!Tabela9[[#All],[Coluna1]],[1]!Tabela9[[#All],[Coluna2]])</f>
        <v>390750</v>
      </c>
      <c r="J31" s="2">
        <f>IFERROR(GETPIVOTDATA("[Measures].[Soma de TOTAL 3]",'[1]BASE PYTHON'!$P$4,"[Intervalo 2].[SEMANA]","[Intervalo 2].[SEMANA].&amp;[1]"),0)</f>
        <v>256807.39999999982</v>
      </c>
      <c r="K31" s="7">
        <f>I31-J31</f>
        <v>133942.60000000018</v>
      </c>
      <c r="L31" s="4"/>
      <c r="M31" s="4"/>
      <c r="N31" s="4"/>
      <c r="O31" s="4"/>
      <c r="P31" s="4"/>
      <c r="Q31" s="4"/>
      <c r="R31" s="4"/>
      <c r="S31" s="4"/>
      <c r="T31" s="4" t="s">
        <v>48</v>
      </c>
      <c r="U31" s="5" cm="1">
        <f t="array" ref="U31">_xlfn.XLOOKUP(Tabela12[[#This Row],[SEMANAL]],[1]!Tabela11[[#All],[Coluna1]],[1]!Tabela11[[#All],[Coluna2]])</f>
        <v>137.81818181818181</v>
      </c>
      <c r="V31" s="6">
        <f>IFERROR(GETPIVOTDATA("[Measures].[Contagem Distinta de COD_CLIENTE]",'[1]BASE PYTHON'!$P$85,"[Intervalo 2].[SEMANA]","[Intervalo 2].[SEMANA].&amp;[2]"),0)</f>
        <v>132</v>
      </c>
      <c r="W31" s="6">
        <f t="shared" ref="W31:W33" si="3">U31-V31</f>
        <v>5.818181818181813</v>
      </c>
    </row>
    <row r="32" spans="1:23" x14ac:dyDescent="0.25">
      <c r="A32" s="25" t="s">
        <v>21</v>
      </c>
      <c r="B32" s="25" t="s">
        <v>21</v>
      </c>
      <c r="C32" s="26">
        <f>_xlfn.XLOOKUP(Tabela13[[#This Row],[VENDEDOR]],[1]!Tabela2[VENDEDOR],[1]!Tabela2[META A])</f>
        <v>260000</v>
      </c>
      <c r="D32" s="26">
        <f>_xlfn.XLOOKUP(Tabela13[[#This Row],[VENDEDOR]],'[1]BASE PYTHON'!$E:$E,'[1]BASE PYTHON'!$F:$F,0)</f>
        <v>126422.29999999987</v>
      </c>
      <c r="E32" s="27">
        <f>Tabela13[[#This Row],[META A]]-Tabela13[[#This Row],[ATINGIDO]]</f>
        <v>133577.70000000013</v>
      </c>
      <c r="F32" s="4"/>
      <c r="G32" s="4"/>
      <c r="H32" s="4" t="s">
        <v>48</v>
      </c>
      <c r="I32" s="2" cm="1">
        <f t="array" ref="I32">_xlfn.XLOOKUP(Tabela6[[#This Row],[SEMANAL]],[1]!Tabela9[[#All],[Coluna1]],[1]!Tabela9[[#All],[Coluna2]])</f>
        <v>521000</v>
      </c>
      <c r="J32" s="7">
        <f>IFERROR(GETPIVOTDATA("[Measures].[Soma de TOTAL 3]",'[1]BASE PYTHON'!$P$4,"[Intervalo 2].[SEMANA]","[Intervalo 2].[SEMANA].&amp;[2]"),0)</f>
        <v>501987.34000000299</v>
      </c>
      <c r="K32" s="7">
        <f t="shared" ref="K32:K34" si="4">I32-J32</f>
        <v>19012.659999997006</v>
      </c>
      <c r="L32" s="4"/>
      <c r="M32" s="4"/>
      <c r="N32" s="4"/>
      <c r="O32" s="4"/>
      <c r="P32" s="4"/>
      <c r="Q32" s="4"/>
      <c r="R32" s="4"/>
      <c r="S32" s="4"/>
      <c r="T32" s="4" t="s">
        <v>49</v>
      </c>
      <c r="U32" s="5" cm="1">
        <f t="array" ref="U32">_xlfn.XLOOKUP(Tabela12[[#This Row],[SEMANAL]],[1]!Tabela11[[#All],[Coluna1]],[1]!Tabela11[[#All],[Coluna2]])</f>
        <v>172.27272727272725</v>
      </c>
      <c r="V32" s="6">
        <f>IFERROR(GETPIVOTDATA("[Measures].[Contagem Distinta de COD_CLIENTE]",'[1]BASE PYTHON'!$P$85,"[Intervalo 2].[SEMANA]","[Intervalo 2].[SEMANA].&amp;[3]"),0)</f>
        <v>145</v>
      </c>
      <c r="W32" s="6">
        <f t="shared" si="3"/>
        <v>27.272727272727252</v>
      </c>
    </row>
    <row r="33" spans="1:23" x14ac:dyDescent="0.25">
      <c r="A33" s="16" t="s">
        <v>22</v>
      </c>
      <c r="B33" s="16" t="s">
        <v>22</v>
      </c>
      <c r="C33" s="17">
        <f>_xlfn.XLOOKUP(Tabela13[[#This Row],[VENDEDOR]],[1]!Tabela2[VENDEDOR],[1]!Tabela2[META A])</f>
        <v>100000</v>
      </c>
      <c r="D33" s="17">
        <f>_xlfn.XLOOKUP(Tabela13[[#This Row],[VENDEDOR]],'[1]BASE PYTHON'!$E:$E,'[1]BASE PYTHON'!$F:$F,0)</f>
        <v>44063.920000000042</v>
      </c>
      <c r="E33" s="24">
        <f>Tabela13[[#This Row],[META A]]-Tabela13[[#This Row],[ATINGIDO]]</f>
        <v>55936.079999999958</v>
      </c>
      <c r="F33" s="4"/>
      <c r="G33" s="4"/>
      <c r="H33" s="4" t="s">
        <v>49</v>
      </c>
      <c r="I33" s="2" cm="1">
        <f t="array" ref="I33">_xlfn.XLOOKUP(Tabela6[[#This Row],[SEMANAL]],[1]!Tabela9[[#All],[Coluna1]],[1]!Tabela9[[#All],[Coluna2]])</f>
        <v>651250</v>
      </c>
      <c r="J33" s="7">
        <f>IFERROR(GETPIVOTDATA("[Measures].[Soma de TOTAL 3]",'[1]BASE PYTHON'!$P$4,"[Intervalo 2].[SEMANA]","[Intervalo 2].[SEMANA].&amp;[3]"),0)</f>
        <v>503806.60000000341</v>
      </c>
      <c r="K33" s="7">
        <f t="shared" si="4"/>
        <v>147443.39999999659</v>
      </c>
      <c r="L33" s="4"/>
      <c r="M33" s="4"/>
      <c r="N33" s="4"/>
      <c r="O33" s="4"/>
      <c r="P33" s="4"/>
      <c r="Q33" s="4"/>
      <c r="R33" s="4"/>
      <c r="S33" s="4"/>
      <c r="T33" s="4" t="s">
        <v>50</v>
      </c>
      <c r="U33" s="5" cm="1">
        <f t="array" ref="U33">_xlfn.XLOOKUP(Tabela12[[#This Row],[SEMANAL]],[1]!Tabela11[[#All],[Coluna1]],[1]!Tabela11[[#All],[Coluna2]])</f>
        <v>172.27272727272725</v>
      </c>
      <c r="V33" s="6">
        <f>IFERROR(GETPIVOTDATA("[Measures].[Contagem Distinta de COD_CLIENTE]",'[1]BASE PYTHON'!$P$85,"[Intervalo 2].[SEMANA]","[Intervalo 2].[SEMANA].&amp;[4]"),0)</f>
        <v>0</v>
      </c>
      <c r="W33" s="6">
        <f t="shared" si="3"/>
        <v>172.27272727272725</v>
      </c>
    </row>
    <row r="34" spans="1:23" x14ac:dyDescent="0.25">
      <c r="A34" s="25" t="s">
        <v>23</v>
      </c>
      <c r="B34" s="25" t="s">
        <v>44</v>
      </c>
      <c r="C34" s="26">
        <f>_xlfn.XLOOKUP(Tabela13[[#This Row],[VENDEDOR]],[1]!Tabela2[VENDEDOR],[1]!Tabela2[META A])</f>
        <v>55000</v>
      </c>
      <c r="D34" s="26">
        <f>_xlfn.XLOOKUP(Tabela13[[#This Row],[VENDEDOR]],'[1]BASE PYTHON'!$E:$E,'[1]BASE PYTHON'!$F:$F,0)</f>
        <v>20737.710000000003</v>
      </c>
      <c r="E34" s="27">
        <f>Tabela13[[#This Row],[META A]]-Tabela13[[#This Row],[ATINGIDO]]</f>
        <v>34262.289999999994</v>
      </c>
      <c r="F34" s="4"/>
      <c r="G34" s="4"/>
      <c r="H34" s="4" t="s">
        <v>50</v>
      </c>
      <c r="I34" s="2" cm="1">
        <f t="array" ref="I34">_xlfn.XLOOKUP(Tabela6[[#This Row],[SEMANAL]],[1]!Tabela9[[#All],[Coluna1]],[1]!Tabela9[[#All],[Coluna2]])</f>
        <v>651250</v>
      </c>
      <c r="J34" s="7">
        <f>IFERROR(GETPIVOTDATA("[Measures].[Soma de TOTAL 3]",'[1]BASE PYTHON'!$P$4,"[Intervalo 2].[SEMANA]","[Intervalo 2].[SEMANA].&amp;[4]"),0)</f>
        <v>0</v>
      </c>
      <c r="K34" s="7">
        <f t="shared" si="4"/>
        <v>651250</v>
      </c>
      <c r="L34" s="4"/>
      <c r="M34" s="4"/>
      <c r="N34" s="4"/>
      <c r="O34" s="4"/>
      <c r="P34" s="4"/>
      <c r="Q34" s="4"/>
      <c r="R34" s="4"/>
      <c r="S34" s="4"/>
      <c r="T34" s="4" t="s">
        <v>52</v>
      </c>
      <c r="U34" s="5" cm="1">
        <f t="array" ref="U34">_xlfn.XLOOKUP(Tabela12[[#This Row],[SEMANAL]],[1]!Tabela11[[#All],[Coluna1]],[1]!Tabela11[[#All],[Coluna2]])</f>
        <v>172.27272727272725</v>
      </c>
      <c r="V34" s="6">
        <f>IFERROR(GETPIVOTDATA("[Measures].[Contagem Distinta de COD_CLIENTE]",'[1]BASE PYTHON'!$P$85,"[Intervalo 2].[SEMANA]","[Intervalo 2].[SEMANA].&amp;[5]"),0)</f>
        <v>0</v>
      </c>
      <c r="W34" s="6">
        <f>U34-V34</f>
        <v>172.27272727272725</v>
      </c>
    </row>
    <row r="35" spans="1:23" x14ac:dyDescent="0.25">
      <c r="A35" s="16" t="s">
        <v>24</v>
      </c>
      <c r="B35" s="16" t="s">
        <v>45</v>
      </c>
      <c r="C35" s="17">
        <f>_xlfn.XLOOKUP(Tabela13[[#This Row],[VENDEDOR]],[1]!Tabela2[VENDEDOR],[1]!Tabela2[META A])</f>
        <v>73000</v>
      </c>
      <c r="D35" s="17">
        <f>_xlfn.XLOOKUP(Tabela13[[#This Row],[VENDEDOR]],'[1]BASE PYTHON'!$E:$E,'[1]BASE PYTHON'!$F:$F,0)</f>
        <v>38431.760000000009</v>
      </c>
      <c r="E35" s="24">
        <f>Tabela13[[#This Row],[META A]]-Tabela13[[#This Row],[ATINGIDO]]</f>
        <v>34568.239999999991</v>
      </c>
      <c r="F35" s="4"/>
      <c r="G35" s="4"/>
      <c r="H35" s="4" t="s">
        <v>52</v>
      </c>
      <c r="I35" s="2" cm="1">
        <f t="array" ref="I35">_xlfn.XLOOKUP(Tabela6[[#This Row],[SEMANAL]],[1]!Tabela9[[#All],[Coluna1]],[1]!Tabela9[[#All],[Coluna2]])</f>
        <v>651250</v>
      </c>
      <c r="J35" s="7">
        <f>IFERROR(GETPIVOTDATA("[Measures].[Soma de TOTAL 3]",'[1]BASE PYTHON'!$P$4,"[Intervalo 2].[SEMANA]","[Intervalo 2].[SEMANA].&amp;[5]"),0)</f>
        <v>0</v>
      </c>
      <c r="K35" s="7">
        <f>I35-J35</f>
        <v>651250</v>
      </c>
      <c r="L35" s="4"/>
      <c r="M35" s="4"/>
      <c r="N35" s="4"/>
      <c r="O35" s="4"/>
      <c r="P35" s="4"/>
      <c r="Q35" s="4"/>
      <c r="R35" s="4"/>
      <c r="S35" s="4"/>
      <c r="T35" s="4"/>
      <c r="U35" s="2"/>
      <c r="V35" s="4"/>
      <c r="W35" s="4"/>
    </row>
    <row r="36" spans="1:23" x14ac:dyDescent="0.25">
      <c r="C36"/>
      <c r="D36"/>
      <c r="F36" s="4"/>
      <c r="G36" s="4"/>
      <c r="H36" s="4"/>
      <c r="I36" s="2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2"/>
      <c r="V36" s="4"/>
      <c r="W36" s="4"/>
    </row>
    <row r="37" spans="1:23" x14ac:dyDescent="0.25"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</row>
    <row r="38" spans="1:23" x14ac:dyDescent="0.25">
      <c r="A38" s="4"/>
      <c r="B38" s="4" t="s">
        <v>47</v>
      </c>
      <c r="C38" s="4" t="s">
        <v>25</v>
      </c>
      <c r="D38" s="4" t="s">
        <v>3</v>
      </c>
      <c r="E38" s="4" t="s">
        <v>2</v>
      </c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</row>
    <row r="39" spans="1:23" x14ac:dyDescent="0.25">
      <c r="A39" s="4"/>
      <c r="B39" s="4" t="s">
        <v>4</v>
      </c>
      <c r="C39" s="2" cm="1">
        <f t="array" ref="C39">_xlfn.XLOOKUP(Tabela3[[#This Row],[SEMANAL]],[1]!Tabela9[[#All],[Coluna1]],[1]!Tabela9[[#All],[Coluna2]])</f>
        <v>390750</v>
      </c>
      <c r="D39" s="2">
        <f>IFERROR(GETPIVOTDATA("[Measures].[Soma de TOTAL 3]",'[1]BASE PYTHON'!$P$47,"[Intervalo 2].[SEMANA]","[Intervalo 2].[SEMANA].&amp;[1]"),0)</f>
        <v>545873.70000000158</v>
      </c>
      <c r="E39" s="7">
        <f>C39-D39</f>
        <v>-155123.70000000158</v>
      </c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</row>
    <row r="40" spans="1:23" x14ac:dyDescent="0.25">
      <c r="A40" s="4"/>
      <c r="B40" s="4" t="s">
        <v>48</v>
      </c>
      <c r="C40" s="2" cm="1">
        <f t="array" ref="C40">_xlfn.XLOOKUP(Tabela3[[#This Row],[SEMANAL]],[1]!Tabela9[[#All],[Coluna1]],[1]!Tabela9[[#All],[Coluna2]])</f>
        <v>521000</v>
      </c>
      <c r="D40" s="2">
        <f>IFERROR(GETPIVOTDATA("[Measures].[Soma de TOTAL 3]",'[1]BASE PYTHON'!$P$47,"[Intervalo 2].[SEMANA]","[Intervalo 2].[SEMANA].&amp;[2]"),0)</f>
        <v>1104662.189999996</v>
      </c>
      <c r="E40" s="7">
        <f t="shared" ref="E40:E42" si="5">C40-D40</f>
        <v>-583662.18999999599</v>
      </c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</row>
    <row r="41" spans="1:23" x14ac:dyDescent="0.25">
      <c r="A41" s="4"/>
      <c r="B41" s="4" t="s">
        <v>49</v>
      </c>
      <c r="C41" s="2" cm="1">
        <f t="array" ref="C41">_xlfn.XLOOKUP(Tabela3[[#This Row],[SEMANAL]],[1]!Tabela9[[#All],[Coluna1]],[1]!Tabela9[[#All],[Coluna2]])</f>
        <v>651250</v>
      </c>
      <c r="D41" s="2">
        <f>IFERROR(GETPIVOTDATA("[Measures].[Soma de TOTAL 3]",'[1]BASE PYTHON'!$P$47,"[Intervalo 2].[SEMANA]","[Intervalo 2].[SEMANA].&amp;[3]"),0)</f>
        <v>1035363.7200000017</v>
      </c>
      <c r="E41" s="7">
        <f t="shared" si="5"/>
        <v>-384113.72000000172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</row>
    <row r="42" spans="1:23" x14ac:dyDescent="0.25">
      <c r="A42" s="4"/>
      <c r="B42" s="4" t="s">
        <v>50</v>
      </c>
      <c r="C42" s="2" cm="1">
        <f t="array" ref="C42">_xlfn.XLOOKUP(Tabela3[[#This Row],[SEMANAL]],[1]!Tabela9[[#All],[Coluna1]],[1]!Tabela9[[#All],[Coluna2]])</f>
        <v>651250</v>
      </c>
      <c r="D42" s="2">
        <f>IFERROR(GETPIVOTDATA("[Measures].[Soma de TOTAL 3]",'[1]BASE PYTHON'!$P$47,"[Intervalo 2].[SEMANA]","[Intervalo 2].[SEMANA].&amp;[4]"),0)</f>
        <v>0</v>
      </c>
      <c r="E42" s="7">
        <f t="shared" si="5"/>
        <v>651250</v>
      </c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</row>
    <row r="43" spans="1:23" x14ac:dyDescent="0.25">
      <c r="A43" s="4"/>
      <c r="B43" s="4" t="s">
        <v>52</v>
      </c>
      <c r="C43" s="2" cm="1">
        <f t="array" ref="C43">_xlfn.XLOOKUP(Tabela3[[#This Row],[SEMANAL]],[1]!Tabela9[[#All],[Coluna1]],[1]!Tabela9[[#All],[Coluna2]])</f>
        <v>651250</v>
      </c>
      <c r="D43" s="2">
        <f>IFERROR(GETPIVOTDATA("[Measures].[Soma de TOTAL 3]",'[1]BASE PYTHON'!$P$47,"[Intervalo 2].[SEMANA]","[Intervalo 2].[SEMANA].&amp;[5]"),0)</f>
        <v>0</v>
      </c>
      <c r="E43" s="7">
        <f t="shared" ref="E43" si="6">C43-D43</f>
        <v>651250</v>
      </c>
    </row>
  </sheetData>
  <phoneticPr fontId="2" type="noConversion"/>
  <pageMargins left="0.511811024" right="0.511811024" top="0.78740157499999996" bottom="0.78740157499999996" header="0.31496062000000002" footer="0.31496062000000002"/>
  <tableParts count="12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iatagam Comercio LTDA</dc:creator>
  <cp:lastModifiedBy>iatagam Comercio LTDA</cp:lastModifiedBy>
  <dcterms:created xsi:type="dcterms:W3CDTF">2026-05-05T18:00:23Z</dcterms:created>
  <dcterms:modified xsi:type="dcterms:W3CDTF">2026-07-16T13:59:26Z</dcterms:modified>
</cp:coreProperties>
</file>