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860F3145-CC1F-48B4-B21E-008AB29A0F7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P24" i="2"/>
  <c r="D43" i="2"/>
  <c r="P23" i="2"/>
  <c r="D42" i="2"/>
  <c r="P22" i="2"/>
  <c r="P21" i="2"/>
  <c r="D40" i="2"/>
  <c r="P17" i="2"/>
  <c r="J35" i="2"/>
  <c r="P16" i="2"/>
  <c r="J34" i="2"/>
  <c r="P15" i="2"/>
  <c r="J33" i="2"/>
  <c r="P14" i="2"/>
  <c r="P25" i="2"/>
  <c r="J32" i="2"/>
  <c r="P13" i="2"/>
  <c r="J31" i="2"/>
  <c r="P12" i="2"/>
  <c r="V34" i="2"/>
  <c r="P11" i="2"/>
  <c r="V33" i="2"/>
  <c r="V32" i="2"/>
  <c r="V31" i="2"/>
  <c r="V30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<sst xmlns="http://schemas.openxmlformats.org/spreadsheetml/2006/main" count="215" uniqueCount="54">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</sst>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8759.119999999999</v>
          </cell>
          <cell r="H5" t="str">
            <v>CAMPINAS</v>
          </cell>
          <cell r="I5">
            <v>3551</v>
          </cell>
        </row>
        <row r="6">
          <cell r="E6" t="str">
            <v>CENTRO</v>
          </cell>
          <cell r="F6">
            <v>56419.540000000023</v>
          </cell>
          <cell r="H6" t="str">
            <v>CENTRO</v>
          </cell>
          <cell r="I6">
            <v>8929.15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1232.3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INTERLAGOS</v>
          </cell>
          <cell r="I8">
            <v>5066.5</v>
          </cell>
          <cell r="K8" t="str">
            <v>CAMPINAS</v>
          </cell>
          <cell r="N8">
            <v>7</v>
          </cell>
        </row>
        <row r="9">
          <cell r="E9" t="str">
            <v>INDAIATUBA</v>
          </cell>
          <cell r="F9">
            <v>17394.659999999996</v>
          </cell>
          <cell r="H9" t="str">
            <v>JUNDIAI</v>
          </cell>
          <cell r="I9">
            <v>289.8</v>
          </cell>
          <cell r="K9" t="str">
            <v>CENTRO</v>
          </cell>
          <cell r="N9">
            <v>17</v>
          </cell>
        </row>
        <row r="10">
          <cell r="E10" t="str">
            <v>INTERLAGOS</v>
          </cell>
          <cell r="F10">
            <v>33475.840000000018</v>
          </cell>
          <cell r="H10" t="str">
            <v>KEY CASA</v>
          </cell>
          <cell r="I10">
            <v>18680.400000000009</v>
          </cell>
          <cell r="K10" t="str">
            <v>INDAIATUBA</v>
          </cell>
          <cell r="N10">
            <v>11</v>
          </cell>
        </row>
        <row r="11">
          <cell r="E11" t="str">
            <v>JUNDIAI</v>
          </cell>
          <cell r="F11">
            <v>11113.399999999998</v>
          </cell>
          <cell r="H11" t="str">
            <v>KEY SP</v>
          </cell>
          <cell r="I11">
            <v>0</v>
          </cell>
          <cell r="K11" t="str">
            <v>INTERLAGOS</v>
          </cell>
          <cell r="N11">
            <v>15</v>
          </cell>
        </row>
        <row r="12">
          <cell r="E12" t="str">
            <v>KEY ABC</v>
          </cell>
          <cell r="F12">
            <v>11521.5</v>
          </cell>
          <cell r="H12" t="str">
            <v>LESTE</v>
          </cell>
          <cell r="I12">
            <v>4697.6499999999996</v>
          </cell>
          <cell r="K12" t="str">
            <v>JUNDIAI</v>
          </cell>
          <cell r="N12">
            <v>3</v>
          </cell>
        </row>
        <row r="13">
          <cell r="E13" t="str">
            <v>KEY CASA</v>
          </cell>
          <cell r="F13">
            <v>92245.69</v>
          </cell>
          <cell r="H13" t="str">
            <v>LESTE MOOCA</v>
          </cell>
          <cell r="I13">
            <v>7437.7199999999993</v>
          </cell>
          <cell r="K13" t="str">
            <v>LESTE</v>
          </cell>
          <cell r="N13">
            <v>8</v>
          </cell>
        </row>
        <row r="14">
          <cell r="E14" t="str">
            <v>KEY INTERIOR</v>
          </cell>
          <cell r="F14">
            <v>152169.9</v>
          </cell>
          <cell r="H14" t="str">
            <v>LESTE PENHA</v>
          </cell>
          <cell r="I14">
            <v>1657.9</v>
          </cell>
          <cell r="K14" t="str">
            <v>LESTE MOOCA</v>
          </cell>
          <cell r="N14">
            <v>11</v>
          </cell>
        </row>
        <row r="15">
          <cell r="E15" t="str">
            <v>KEY PIRACICABA</v>
          </cell>
          <cell r="F15">
            <v>0</v>
          </cell>
          <cell r="H15" t="str">
            <v>LESTE TATUAPE</v>
          </cell>
          <cell r="I15">
            <v>474.70000000000005</v>
          </cell>
          <cell r="K15" t="str">
            <v>LESTE PENHA</v>
          </cell>
          <cell r="N15">
            <v>4</v>
          </cell>
        </row>
        <row r="16">
          <cell r="E16" t="str">
            <v>KEY SJC</v>
          </cell>
          <cell r="F16">
            <v>1785.3999999999999</v>
          </cell>
          <cell r="H16" t="str">
            <v>MOGI</v>
          </cell>
          <cell r="I16">
            <v>777.01</v>
          </cell>
          <cell r="K16" t="str">
            <v>LESTE TATUAPE</v>
          </cell>
          <cell r="N16">
            <v>6</v>
          </cell>
        </row>
        <row r="17">
          <cell r="E17" t="str">
            <v>KEY SP</v>
          </cell>
          <cell r="F17">
            <v>31364.199999999997</v>
          </cell>
          <cell r="H17" t="str">
            <v>NORTE</v>
          </cell>
          <cell r="I17">
            <v>2256.6</v>
          </cell>
          <cell r="K17" t="str">
            <v>MOGI</v>
          </cell>
          <cell r="N17">
            <v>1</v>
          </cell>
        </row>
        <row r="18">
          <cell r="E18" t="str">
            <v>KEY ZL</v>
          </cell>
          <cell r="F18">
            <v>41755.370000000003</v>
          </cell>
          <cell r="H18" t="str">
            <v>OSASCO</v>
          </cell>
          <cell r="I18">
            <v>9869.6299999999992</v>
          </cell>
          <cell r="K18" t="str">
            <v>NORTE</v>
          </cell>
          <cell r="N18">
            <v>13</v>
          </cell>
        </row>
        <row r="19">
          <cell r="E19" t="str">
            <v>LESTE</v>
          </cell>
          <cell r="F19">
            <v>15016.779999999992</v>
          </cell>
          <cell r="H19" t="str">
            <v>PIRITUBA</v>
          </cell>
          <cell r="I19">
            <v>546.70000000000005</v>
          </cell>
          <cell r="K19" t="str">
            <v>OSASCO</v>
          </cell>
          <cell r="N19">
            <v>16</v>
          </cell>
        </row>
        <row r="20">
          <cell r="E20" t="str">
            <v>LESTE MOOCA</v>
          </cell>
          <cell r="F20">
            <v>29509.840000000007</v>
          </cell>
          <cell r="H20" t="str">
            <v>SANTO ANDRE</v>
          </cell>
          <cell r="I20">
            <v>3678.8</v>
          </cell>
          <cell r="K20" t="str">
            <v>PIRITUBA</v>
          </cell>
          <cell r="N20">
            <v>6</v>
          </cell>
        </row>
        <row r="21">
          <cell r="E21" t="str">
            <v>LESTE PENHA</v>
          </cell>
          <cell r="F21">
            <v>12650.73</v>
          </cell>
          <cell r="H21" t="str">
            <v>SBC</v>
          </cell>
          <cell r="I21">
            <v>8619.8499999999967</v>
          </cell>
          <cell r="K21" t="str">
            <v>SANTO ANDRE</v>
          </cell>
          <cell r="N21">
            <v>8</v>
          </cell>
        </row>
        <row r="22">
          <cell r="E22" t="str">
            <v>LESTE TATUAPE</v>
          </cell>
          <cell r="F22">
            <v>11039.89</v>
          </cell>
          <cell r="H22" t="str">
            <v>SJC</v>
          </cell>
          <cell r="I22">
            <v>194.8</v>
          </cell>
          <cell r="K22" t="str">
            <v>SBC</v>
          </cell>
          <cell r="N22">
            <v>10</v>
          </cell>
        </row>
        <row r="23">
          <cell r="E23" t="str">
            <v>MOGI</v>
          </cell>
          <cell r="F23">
            <v>5329.18</v>
          </cell>
          <cell r="H23" t="str">
            <v>SJC/VALE</v>
          </cell>
          <cell r="I23">
            <v>589.70000000000005</v>
          </cell>
          <cell r="K23" t="str">
            <v>SJC</v>
          </cell>
          <cell r="N23">
            <v>6</v>
          </cell>
        </row>
        <row r="24">
          <cell r="E24" t="str">
            <v>NORTE</v>
          </cell>
          <cell r="F24">
            <v>42652.860000000022</v>
          </cell>
          <cell r="H24" t="str">
            <v>VENDEDOR INTERNO 1</v>
          </cell>
          <cell r="I24">
            <v>225</v>
          </cell>
          <cell r="K24" t="str">
            <v>SJC/VALE</v>
          </cell>
          <cell r="N24">
            <v>10</v>
          </cell>
        </row>
        <row r="25">
          <cell r="E25" t="str">
            <v>OSASCO</v>
          </cell>
          <cell r="F25">
            <v>50610.320000000014</v>
          </cell>
          <cell r="H25" t="str">
            <v>Total Geral</v>
          </cell>
          <cell r="I25">
            <v>78775.209999999934</v>
          </cell>
          <cell r="K25" t="str">
            <v>Total Geral</v>
          </cell>
          <cell r="N25">
            <v>152</v>
          </cell>
        </row>
        <row r="26">
          <cell r="E26" t="str">
            <v>PIRITUBA</v>
          </cell>
          <cell r="F26">
            <v>15589.76</v>
          </cell>
        </row>
        <row r="27">
          <cell r="E27" t="str">
            <v>SANTO ANDRE</v>
          </cell>
          <cell r="F27">
            <v>25707.490000000005</v>
          </cell>
        </row>
        <row r="28">
          <cell r="E28" t="str">
            <v>SBC</v>
          </cell>
          <cell r="F28">
            <v>45306.200000000026</v>
          </cell>
        </row>
        <row r="29">
          <cell r="E29" t="str">
            <v>SJC</v>
          </cell>
          <cell r="F29">
            <v>7927.7699999999995</v>
          </cell>
        </row>
        <row r="30">
          <cell r="E30" t="str">
            <v>SJC/VALE</v>
          </cell>
          <cell r="F30">
            <v>8096.9</v>
          </cell>
        </row>
        <row r="31">
          <cell r="E31" t="str">
            <v>VENDEDOR INTERNO 1</v>
          </cell>
          <cell r="F31">
            <v>12957.099999999999</v>
          </cell>
        </row>
        <row r="32">
          <cell r="E32" t="str">
            <v>Total Geral</v>
          </cell>
          <cell r="F32">
            <v>741043.72000000312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Row],[SEMANAL]],[2]!Tabela7[[#All],[Coluna1]],[2]!Tabela7[[#All],[Coluna2]])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Row],[SEMANAL]],[2]!Tabela9[[#All],[Coluna1]],[2]!Tabela9[[#All],[Coluna2]])</calculatedColumnFormula>
    </tableColumn>
    <tableColumn id="3" xr3:uid="{14D3AA11-9DFC-420F-8F5A-5002E14D4AAA}" name="REALIZADO" dataDxfId="58">
      <calculatedColumnFormula>IFERROR(GETPIVOTDATA("[Measures].[Soma de TOTAL 3]",'[2]BASE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IFERROR(_xlfn.XLOOKUP(M11,[2]!Tabela3[[#All],[VENDEDOR]],INDEX([2]!Tabela3[#All],0,MATCH($O$9,[2]!Tabela3[#Headers],0))),0)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3]",'[2]BASE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Row],[SEMANAL]],[2]!Tabela10[[#All],[Coluna1]],[2]!Tabela10[[#All],[Coluna2]])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Row],[SEMANAL]],[2]!Tabela11[[#All],[Coluna1]],[2]!Tabela11[[#All],[Coluna2]])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COD_CLIENTE]",'[2]BASE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PYTHON'!$A$63:$A$79,'[1]Conversor CX vs KG'!#REF!)</calculatedColumnFormula>
    </tableColumn>
    <tableColumn id="4" xr3:uid="{018C7BF7-4C79-4668-95B2-CBF2E10B657D}" name="ATINGIDO" dataDxfId="22">
      <calculatedColumnFormula>_xlfn.XLOOKUP(Tabela2[[#This Row],[REFERENCIA]],'[2]BASE PYTHON'!$K:$K,'[2]BASE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Row],[REFERENCIA]],[2]!Tabela1[VENDEDOR],[2]!Tabela1[VALOR])</calculatedColumnFormula>
    </tableColumn>
    <tableColumn id="4" xr3:uid="{2E4F9793-0E4B-42F0-B595-748F8481D0D0}" name="ATINGIDO" dataDxfId="14" dataCellStyle="Moeda">
      <calculatedColumnFormula>_xlfn.XLOOKUP(Tabela5[[#This Row],[REFERENCIA]],'[2]BASE PYTHON'!$H:$H,'[2]BASE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0" totalsRowDxfId="6" dataCellStyle="Moeda">
      <calculatedColumnFormula>_xlfn.XLOOKUP(Tabela13[[#This Row],[REFERENCIA]],[2]!Tabela2[VENDEDOR],[2]!Tabela2[META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Row],[REFERENCIA]],'[2]BASE PYTHON'!$E:$E,'[2]BASE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A2" sqref="A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741043.7200000002</v>
      </c>
      <c r="D5" s="2"/>
      <c r="E5" s="4"/>
      <c r="F5" s="4"/>
      <c r="G5" s="4"/>
      <c r="H5" s="4" t="s">
        <v>1</v>
      </c>
      <c r="I5" s="7">
        <f>SUM(J10:J27)</f>
        <v>60094.810000000012</v>
      </c>
      <c r="J5" s="4"/>
      <c r="K5" s="4"/>
      <c r="L5" s="4"/>
      <c r="M5" s="4"/>
      <c r="N5" s="4" t="s">
        <v>1</v>
      </c>
      <c r="O5" s="7">
        <f>SUM(P11:P17)</f>
        <v>330842.05999999994</v>
      </c>
      <c r="P5" s="4"/>
      <c r="Q5" s="4"/>
      <c r="R5" s="4"/>
      <c r="S5" s="4"/>
      <c r="T5" s="4" t="s">
        <v>1</v>
      </c>
      <c r="U5" s="4">
        <f>SUM(V10:V26)</f>
        <v>152</v>
      </c>
      <c r="V5" s="4"/>
      <c r="W5" s="4"/>
    </row>
    <row r="6" spans="1:23" x14ac:dyDescent="0.25">
      <c r="A6" s="4"/>
      <c r="B6" s="4" t="s">
        <v>2</v>
      </c>
      <c r="C6" s="2">
        <f>C4-C5</f>
        <v>5043456.2799999993</v>
      </c>
      <c r="D6" s="2"/>
      <c r="E6" s="4"/>
      <c r="F6" s="4"/>
      <c r="G6" s="4"/>
      <c r="H6" s="4" t="s">
        <v>2</v>
      </c>
      <c r="I6" s="7">
        <f>I4-I5</f>
        <v>70585.189999999988</v>
      </c>
      <c r="J6" s="4"/>
      <c r="K6" s="4"/>
      <c r="L6" s="4"/>
      <c r="M6" s="4"/>
      <c r="N6" s="4" t="s">
        <v>2</v>
      </c>
      <c r="O6" s="7">
        <f>O4-O5</f>
        <v>-330842.05999999994</v>
      </c>
      <c r="P6" s="4"/>
      <c r="Q6" s="4"/>
      <c r="R6" s="4"/>
      <c r="S6" s="4"/>
      <c r="T6" s="4" t="s">
        <v>2</v>
      </c>
      <c r="U6" s="4">
        <f>U4-U5</f>
        <v>631</v>
      </c>
      <c r="V6" s="4"/>
      <c r="W6" s="4"/>
    </row>
    <row r="7" spans="1:23" x14ac:dyDescent="0.25">
      <c r="A7" s="4"/>
      <c r="B7" s="4" t="s">
        <v>3</v>
      </c>
      <c r="C7" s="3">
        <f>1-(C6/C4)</f>
        <v>0.12810851759011166</v>
      </c>
      <c r="D7" s="2"/>
      <c r="E7" s="4"/>
      <c r="F7" s="4"/>
      <c r="G7" s="4"/>
      <c r="H7" s="4" t="s">
        <v>3</v>
      </c>
      <c r="I7" s="3">
        <f>1-(I6/I4)</f>
        <v>0.45986233547597188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0.19412515964240107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Row],[REFERENCIA]],[2]!Tabela2[VENDEDOR],[2]!Tabela2[META A],0)</f>
        <v>64500</v>
      </c>
      <c r="D10" s="28">
        <f>_xlfn.XLOOKUP(Tabela13[[#This Row],[REFERENCIA]],'[2]BASE PYTHON'!$E:$E,'[2]BASE PYTHON'!$F:$F,0)</f>
        <v>8759.119999999999</v>
      </c>
      <c r="E10" s="25">
        <f>Tabela13[[#This Row],[META A]]-Tabela13[[#This Row],[ATINGIDO]]</f>
        <v>55740.880000000005</v>
      </c>
      <c r="F10" s="4"/>
      <c r="G10" s="20" t="s">
        <v>18</v>
      </c>
      <c r="H10" s="20" t="s">
        <v>18</v>
      </c>
      <c r="I10" s="21">
        <f>_xlfn.XLOOKUP(Tabela5[[#This Row],[REFERENCIA]],[2]!Tabela1[VENDEDOR],[2]!Tabela1[VALOR])</f>
        <v>15870</v>
      </c>
      <c r="J10" s="21">
        <f>_xlfn.XLOOKUP(Tabela5[[#This Row],[REFERENCIA]],'[2]BASE PYTHON'!$H:$H,'[2]BASE PYTHON'!$I:$I,0)</f>
        <v>9869.6299999999992</v>
      </c>
      <c r="K10" s="22">
        <f>Tabela5[[#This Row],[COMPROMISSO]]-Tabela5[[#This Row],[ATINGIDO]]</f>
        <v>6000.3700000000008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Row],[REFERENCIA]],'[2]BASE PYTHON'!$A$63:$A$79,'[2]BASE PYTHON'!$B$63:$B$79)</f>
        <v>38</v>
      </c>
      <c r="V10" s="18">
        <f>_xlfn.XLOOKUP(Tabela2[[#This Row],[REFERENCIA]],'[2]BASE PYTHON'!$K:$K,'[2]BASE PYTHON'!$N:$N,0)</f>
        <v>7</v>
      </c>
      <c r="W10" s="18">
        <f>U10-V10</f>
        <v>31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Row],[REFERENCIA]],[2]!Tabela2[VENDEDOR],[2]!Tabela2[META A],0)</f>
        <v>330000</v>
      </c>
      <c r="D11" s="28">
        <f>_xlfn.XLOOKUP(Tabela13[[#This Row],[REFERENCIA]],'[2]BASE PYTHON'!$E:$E,'[2]BASE PYTHON'!$F:$F,0)</f>
        <v>56419.540000000023</v>
      </c>
      <c r="E11" s="23">
        <f>Tabela13[[#This Row],[META A]]-Tabela13[[#This Row],[ATINGIDO]]</f>
        <v>273580.45999999996</v>
      </c>
      <c r="F11" s="4"/>
      <c r="G11" s="20" t="s">
        <v>17</v>
      </c>
      <c r="H11" s="20" t="s">
        <v>17</v>
      </c>
      <c r="I11" s="21">
        <f>_xlfn.XLOOKUP(Tabela5[[#This Row],[REFERENCIA]],[2]!Tabela1[VENDEDOR],[2]!Tabela1[VALOR])</f>
        <v>14840</v>
      </c>
      <c r="J11" s="21">
        <f>_xlfn.XLOOKUP(Tabela5[[#This Row],[REFERENCIA]],'[2]BASE PYTHON'!$H:$H,'[2]BASE PYTHON'!$I:$I,0)</f>
        <v>2256.6</v>
      </c>
      <c r="K11" s="22">
        <f>Tabela5[[#This Row],[COMPROMISSO]]-Tabela5[[#This Row],[ATINGIDO]]</f>
        <v>12583.4</v>
      </c>
      <c r="L11" s="4"/>
      <c r="M11" s="4" t="s">
        <v>26</v>
      </c>
      <c r="N11" s="4" t="s">
        <v>26</v>
      </c>
      <c r="O11" s="2" cm="1">
        <f t="array" ref="O11">IFERROR(_xlfn.XLOOKUP(M11,[2]!Tabela3[[#All],[VENDEDOR]],INDEX([2]!Tabela3[#All],0,MATCH($O$9,[2]!Tabela3[#Headers],0))),0)</f>
        <v>0</v>
      </c>
      <c r="P11" s="2">
        <f>IFERROR(GETPIVOTDATA("[Measures].[Soma de TOTAL 3]",'[2]BASE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Row],[REFERENCIA]],'[2]BASE PYTHON'!$A$63:$A$79,'[2]BASE PYTHON'!$B$63:$B$79)</f>
        <v>54</v>
      </c>
      <c r="V11" s="18">
        <f>_xlfn.XLOOKUP(Tabela2[[#This Row],[REFERENCIA]],'[2]BASE PYTHON'!$K:$K,'[2]BASE PYTHON'!$N:$N,0)</f>
        <v>17</v>
      </c>
      <c r="W11" s="18">
        <f t="shared" ref="W11:W20" si="0">U11-V11</f>
        <v>37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Row],[REFERENCIA]],[2]!Tabela2[VENDEDOR],[2]!Tabela2[META A],0)</f>
        <v>0</v>
      </c>
      <c r="D12" s="28">
        <f>_xlfn.XLOOKUP(Tabela13[[#This Row],[REFERENCIA]],'[2]BASE PYTHON'!$E:$E,'[2]BASE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Row],[REFERENCIA]],[2]!Tabela1[VENDEDOR],[2]!Tabela1[VALOR])</f>
        <v>8740</v>
      </c>
      <c r="J12" s="21">
        <f>_xlfn.XLOOKUP(Tabela5[[#This Row],[REFERENCIA]],'[2]BASE PYTHON'!$H:$H,'[2]BASE PYTHON'!$I:$I,0)</f>
        <v>546.70000000000005</v>
      </c>
      <c r="K12" s="22">
        <f>Tabela5[[#This Row],[COMPROMISSO]]-Tabela5[[#This Row],[ATINGIDO]]</f>
        <v>8193.2999999999993</v>
      </c>
      <c r="L12" s="4"/>
      <c r="M12" s="4" t="s">
        <v>40</v>
      </c>
      <c r="N12" s="4" t="s">
        <v>27</v>
      </c>
      <c r="O12" s="2" cm="1">
        <f t="array" ref="O12">IFERROR(_xlfn.XLOOKUP(M12,[2]!Tabela3[[#All],[VENDEDOR]],INDEX([2]!Tabela3[#All],0,MATCH($O$9,[2]!Tabela3[#Headers],0))),0)</f>
        <v>0</v>
      </c>
      <c r="P12" s="2">
        <f>IFERROR(GETPIVOTDATA("[Measures].[Soma de TOTAL 3]",'[2]BASE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Row],[REFERENCIA]],'[2]BASE PYTHON'!$A$63:$A$79,'[2]BASE PYTHON'!$B$63:$B$79)</f>
        <v>43</v>
      </c>
      <c r="V12" s="18">
        <f>_xlfn.XLOOKUP(Tabela2[[#This Row],[REFERENCIA]],'[2]BASE PYTHON'!$K:$K,'[2]BASE PYTHON'!$N:$N,0)</f>
        <v>11</v>
      </c>
      <c r="W12" s="18">
        <f t="shared" si="0"/>
        <v>32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Row],[REFERENCIA]],[2]!Tabela2[VENDEDOR],[2]!Tabela2[META A],0)</f>
        <v>90000</v>
      </c>
      <c r="D13" s="28">
        <f>_xlfn.XLOOKUP(Tabela13[[#This Row],[REFERENCIA]],'[2]BASE PYTHON'!$E:$E,'[2]BASE PYTHON'!$F:$F,0)</f>
        <v>17394.659999999996</v>
      </c>
      <c r="E13" s="23">
        <f>Tabela13[[#This Row],[META A]]-Tabela13[[#This Row],[ATINGIDO]]</f>
        <v>72605.34</v>
      </c>
      <c r="F13" s="4"/>
      <c r="G13" s="20" t="s">
        <v>21</v>
      </c>
      <c r="H13" s="20" t="s">
        <v>21</v>
      </c>
      <c r="I13" s="21">
        <f>_xlfn.XLOOKUP(Tabela5[[#This Row],[REFERENCIA]],[2]!Tabela1[VENDEDOR],[2]!Tabela1[VALOR])</f>
        <v>12070</v>
      </c>
      <c r="J13" s="21">
        <f>_xlfn.XLOOKUP(Tabela5[[#This Row],[REFERENCIA]],'[2]BASE PYTHON'!$H:$H,'[2]BASE PYTHON'!$I:$I,0)</f>
        <v>8619.8499999999967</v>
      </c>
      <c r="K13" s="22">
        <f>Tabela5[[#This Row],[COMPROMISSO]]-Tabela5[[#This Row],[ATINGIDO]]</f>
        <v>3450.1500000000033</v>
      </c>
      <c r="L13" s="4"/>
      <c r="M13" s="4" t="s">
        <v>28</v>
      </c>
      <c r="N13" s="4" t="s">
        <v>28</v>
      </c>
      <c r="O13" s="2" cm="1">
        <f t="array" ref="O13">IFERROR(_xlfn.XLOOKUP(M13,[2]!Tabela3[[#All],[VENDEDOR]],INDEX([2]!Tabela3[#All],0,MATCH($O$9,[2]!Tabela3[#Headers],0))),0)</f>
        <v>0</v>
      </c>
      <c r="P13" s="2">
        <f>IFERROR(GETPIVOTDATA("[Measures].[Soma de TOTAL 3]",'[2]BASE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Row],[REFERENCIA]],'[2]BASE PYTHON'!$A$63:$A$79,'[2]BASE PYTHON'!$B$63:$B$79)</f>
        <v>61</v>
      </c>
      <c r="V13" s="18">
        <f>_xlfn.XLOOKUP(Tabela2[[#This Row],[REFERENCIA]],'[2]BASE PYTHON'!$K:$K,'[2]BASE PYTHON'!$N:$N,0)</f>
        <v>15</v>
      </c>
      <c r="W13" s="18">
        <f t="shared" si="0"/>
        <v>46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Row],[REFERENCIA]],[2]!Tabela2[VENDEDOR],[2]!Tabela2[META A],0)</f>
        <v>273000</v>
      </c>
      <c r="D14" s="28">
        <f>_xlfn.XLOOKUP(Tabela13[[#This Row],[REFERENCIA]],'[2]BASE PYTHON'!$E:$E,'[2]BASE PYTHON'!$F:$F,0)</f>
        <v>33475.840000000018</v>
      </c>
      <c r="E14" s="25">
        <f>Tabela13[[#This Row],[META A]]-Tabela13[[#This Row],[ATINGIDO]]</f>
        <v>239524.15999999997</v>
      </c>
      <c r="F14" s="4"/>
      <c r="G14" s="20" t="s">
        <v>15</v>
      </c>
      <c r="H14" s="20" t="s">
        <v>43</v>
      </c>
      <c r="I14" s="21">
        <f>_xlfn.XLOOKUP(Tabela5[[#This Row],[REFERENCIA]],[2]!Tabela1[VENDEDOR],[2]!Tabela1[VALOR])</f>
        <v>3240</v>
      </c>
      <c r="J14" s="21">
        <f>_xlfn.XLOOKUP(Tabela5[[#This Row],[REFERENCIA]],'[2]BASE PYTHON'!$H:$H,'[2]BASE PYTHON'!$I:$I,0)</f>
        <v>474.70000000000005</v>
      </c>
      <c r="K14" s="22">
        <f>Tabela5[[#This Row],[COMPROMISSO]]-Tabela5[[#This Row],[ATINGIDO]]</f>
        <v>2765.3</v>
      </c>
      <c r="L14" s="4"/>
      <c r="M14" s="4" t="s">
        <v>29</v>
      </c>
      <c r="N14" s="4" t="s">
        <v>29</v>
      </c>
      <c r="O14" s="2" cm="1">
        <f t="array" ref="O14">IFERROR(_xlfn.XLOOKUP(M14,[2]!Tabela3[[#All],[VENDEDOR]],INDEX([2]!Tabela3[#All],0,MATCH($O$9,[2]!Tabela3[#Headers],0))),0)</f>
        <v>0</v>
      </c>
      <c r="P14" s="2">
        <f>IFERROR(GETPIVOTDATA("[Measures].[Soma de TOTAL 3]",'[2]BASE PYTHON'!$P$32,"[Intervalo 2].[REGIAO]","[Intervalo 2].[REGIAO].&amp;["&amp;N14&amp;"]","[Intervalo 2].[SEMANA]","[Intervalo 2].[SEMANA].&amp;["&amp;RIGHT($O$9,1)&amp;"]"),0)</f>
        <v>152169.9</v>
      </c>
      <c r="Q14" s="2">
        <f>Tabela8[[#This Row],[COMPROMISSO]]-Tabela8[[#This Row],[ATINGIDO]]</f>
        <v>-152169.9</v>
      </c>
      <c r="R14" s="2"/>
      <c r="S14" s="18" t="s">
        <v>11</v>
      </c>
      <c r="T14" s="18" t="s">
        <v>11</v>
      </c>
      <c r="U14" s="18">
        <f>_xlfn.XLOOKUP(Tabela2[[#This Row],[REFERENCIA]],'[2]BASE PYTHON'!$A$63:$A$79,'[2]BASE PYTHON'!$B$63:$B$79)</f>
        <v>29</v>
      </c>
      <c r="V14" s="18">
        <f>_xlfn.XLOOKUP(Tabela2[[#This Row],[REFERENCIA]],'[2]BASE PYTHON'!$K:$K,'[2]BASE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Row],[REFERENCIA]],[2]!Tabela2[VENDEDOR],[2]!Tabela2[META A],0)</f>
        <v>78000</v>
      </c>
      <c r="D15" s="28">
        <f>_xlfn.XLOOKUP(Tabela13[[#This Row],[REFERENCIA]],'[2]BASE PYTHON'!$E:$E,'[2]BASE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Row],[REFERENCIA]],[2]!Tabela1[VENDEDOR],[2]!Tabela1[VALOR])</f>
        <v>16930</v>
      </c>
      <c r="J15" s="21">
        <f>_xlfn.XLOOKUP(Tabela5[[#This Row],[REFERENCIA]],'[2]BASE PYTHON'!$H:$H,'[2]BASE PYTHON'!$I:$I,0)</f>
        <v>8929.15</v>
      </c>
      <c r="K15" s="22">
        <f>Tabela5[[#This Row],[COMPROMISSO]]-Tabela5[[#This Row],[ATINGIDO]]</f>
        <v>8000.85</v>
      </c>
      <c r="L15" s="4"/>
      <c r="M15" s="4" t="s">
        <v>30</v>
      </c>
      <c r="N15" s="4" t="s">
        <v>30</v>
      </c>
      <c r="O15" s="2" cm="1">
        <f t="array" ref="O15">IFERROR(_xlfn.XLOOKUP(M15,[2]!Tabela3[[#All],[VENDEDOR]],INDEX([2]!Tabela3[#All],0,MATCH($O$9,[2]!Tabela3[#Headers],0))),0)</f>
        <v>0</v>
      </c>
      <c r="P15" s="2">
        <f>IFERROR(GETPIVOTDATA("[Measures].[Soma de TOTAL 3]",'[2]BASE PYTHON'!$P$32,"[Intervalo 2].[REGIAO]","[Intervalo 2].[REGIAO].&amp;["&amp;N15&amp;"]","[Intervalo 2].[SEMANA]","[Intervalo 2].[SEMANA].&amp;["&amp;RIGHT($O$9,1)&amp;"]"),0)</f>
        <v>31364.199999999997</v>
      </c>
      <c r="Q15" s="2">
        <f>Tabela8[[#This Row],[COMPROMISSO]]-Tabela8[[#This Row],[ATINGIDO]]</f>
        <v>-31364.199999999997</v>
      </c>
      <c r="R15" s="2"/>
      <c r="S15" s="18" t="s">
        <v>12</v>
      </c>
      <c r="T15" s="18" t="s">
        <v>12</v>
      </c>
      <c r="U15" s="18">
        <f>_xlfn.XLOOKUP(Tabela2[[#This Row],[REFERENCIA]],'[2]BASE PYTHON'!$A$63:$A$79,'[2]BASE PYTHON'!$B$63:$B$79)</f>
        <v>48</v>
      </c>
      <c r="V15" s="18">
        <f>_xlfn.XLOOKUP(Tabela2[[#This Row],[REFERENCIA]],'[2]BASE PYTHON'!$K:$K,'[2]BASE PYTHON'!$N:$N,0)</f>
        <v>8</v>
      </c>
      <c r="W15" s="18">
        <f>U15-V15</f>
        <v>40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Row],[REFERENCIA]],[2]!Tabela2[VENDEDOR],[2]!Tabela2[META A],0)</f>
        <v>350000</v>
      </c>
      <c r="D16" s="28">
        <f>_xlfn.XLOOKUP(Tabela13[[#This Row],[REFERENCIA]],'[2]BASE PYTHON'!$E:$E,'[2]BASE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Row],[REFERENCIA]],[2]!Tabela1[VENDEDOR],[2]!Tabela1[VALOR])</f>
        <v>10910</v>
      </c>
      <c r="J16" s="21">
        <f>_xlfn.XLOOKUP(Tabela5[[#This Row],[REFERENCIA]],'[2]BASE PYTHON'!$H:$H,'[2]BASE PYTHON'!$I:$I,0)</f>
        <v>3678.8</v>
      </c>
      <c r="K16" s="22">
        <f>Tabela5[[#This Row],[COMPROMISSO]]-Tabela5[[#This Row],[ATINGIDO]]</f>
        <v>7231.2</v>
      </c>
      <c r="L16" s="4"/>
      <c r="M16" s="4" t="s">
        <v>31</v>
      </c>
      <c r="N16" s="4" t="s">
        <v>31</v>
      </c>
      <c r="O16" s="2" cm="1">
        <f t="array" ref="O16">IFERROR(_xlfn.XLOOKUP(M16,[2]!Tabela3[[#All],[VENDEDOR]],INDEX([2]!Tabela3[#All],0,MATCH($O$9,[2]!Tabela3[#Headers],0))),0)</f>
        <v>0</v>
      </c>
      <c r="P16" s="2">
        <f>IFERROR(GETPIVOTDATA("[Measures].[Soma de TOTAL 3]",'[2]BASE PYTHON'!$P$32,"[Intervalo 2].[REGIAO]","[Intervalo 2].[REGIAO].&amp;["&amp;N16&amp;"]","[Intervalo 2].[SEMANA]","[Intervalo 2].[SEMANA].&amp;["&amp;RIGHT($O$9,1)&amp;"]"),0)</f>
        <v>1785.3999999999999</v>
      </c>
      <c r="Q16" s="2">
        <f>Tabela8[[#This Row],[COMPROMISSO]]-Tabela8[[#This Row],[ATINGIDO]]</f>
        <v>-1785.3999999999999</v>
      </c>
      <c r="R16" s="2"/>
      <c r="S16" s="18" t="s">
        <v>16</v>
      </c>
      <c r="T16" s="18" t="s">
        <v>16</v>
      </c>
      <c r="U16" s="18">
        <f>_xlfn.XLOOKUP(Tabela2[[#This Row],[REFERENCIA]],'[2]BASE PYTHON'!$A$63:$A$79,'[2]BASE PYTHON'!$B$63:$B$79)</f>
        <v>41</v>
      </c>
      <c r="V16" s="18">
        <f>_xlfn.XLOOKUP(Tabela2[[#This Row],[REFERENCIA]],'[2]BASE PYTHON'!$K:$K,'[2]BASE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Row],[REFERENCIA]],[2]!Tabela2[VENDEDOR],[2]!Tabela2[META A],0)</f>
        <v>420000</v>
      </c>
      <c r="D17" s="28">
        <f>_xlfn.XLOOKUP(Tabela13[[#This Row],[REFERENCIA]],'[2]BASE PYTHON'!$E:$E,'[2]BASE PYTHON'!$F:$F,0)</f>
        <v>92245.69</v>
      </c>
      <c r="E17" s="23">
        <f>Tabela13[[#This Row],[META A]]-Tabela13[[#This Row],[ATINGIDO]]</f>
        <v>327754.31</v>
      </c>
      <c r="F17" s="4"/>
      <c r="G17" s="20" t="s">
        <v>16</v>
      </c>
      <c r="H17" s="20" t="s">
        <v>16</v>
      </c>
      <c r="I17" s="21">
        <f>_xlfn.XLOOKUP(Tabela5[[#This Row],[REFERENCIA]],[2]!Tabela1[VENDEDOR],[2]!Tabela1[VALOR])</f>
        <v>3650</v>
      </c>
      <c r="J17" s="21">
        <f>_xlfn.XLOOKUP(Tabela5[[#This Row],[REFERENCIA]],'[2]BASE PYTHON'!$H:$H,'[2]BASE PYTHON'!$I:$I,0)</f>
        <v>777.01</v>
      </c>
      <c r="K17" s="22">
        <f>Tabela5[[#This Row],[COMPROMISSO]]-Tabela5[[#This Row],[ATINGIDO]]</f>
        <v>2872.99</v>
      </c>
      <c r="L17" s="15"/>
      <c r="M17" s="4" t="s">
        <v>32</v>
      </c>
      <c r="N17" s="4" t="s">
        <v>32</v>
      </c>
      <c r="O17" s="2" cm="1">
        <f t="array" ref="O17">IFERROR(_xlfn.XLOOKUP(M17,[2]!Tabela3[[#All],[VENDEDOR]],INDEX([2]!Tabela3[#All],0,MATCH($O$9,[2]!Tabela3[#Headers],0))),0)</f>
        <v>0</v>
      </c>
      <c r="P17" s="2">
        <f>IFERROR(GETPIVOTDATA("[Measures].[Soma de TOTAL 3]",'[2]BASE PYTHON'!$P$32,"[Intervalo 2].[REGIAO]","[Intervalo 2].[REGIAO].&amp;["&amp;N17&amp;"]","[Intervalo 2].[SEMANA]","[Intervalo 2].[SEMANA].&amp;["&amp;RIGHT($O$9,1)&amp;"]"),0)</f>
        <v>92245.69</v>
      </c>
      <c r="Q17" s="2">
        <f>Tabela8[[#This Row],[COMPROMISSO]]-Tabela8[[#This Row],[ATINGIDO]]</f>
        <v>-92245.69</v>
      </c>
      <c r="R17" s="2"/>
      <c r="S17" s="18" t="s">
        <v>13</v>
      </c>
      <c r="T17" s="18" t="s">
        <v>41</v>
      </c>
      <c r="U17" s="18">
        <f>_xlfn.XLOOKUP(Tabela2[[#This Row],[REFERENCIA]],'[2]BASE PYTHON'!$A$63:$A$79,'[2]BASE PYTHON'!$B$63:$B$79)</f>
        <v>51</v>
      </c>
      <c r="V17" s="18">
        <f>_xlfn.XLOOKUP(Tabela2[[#This Row],[REFERENCIA]],'[2]BASE PYTHON'!$K:$K,'[2]BASE PYTHON'!$N:$N,0)</f>
        <v>11</v>
      </c>
      <c r="W17" s="18">
        <f t="shared" si="0"/>
        <v>40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Row],[REFERENCIA]],[2]!Tabela2[VENDEDOR],[2]!Tabela2[META A],0)</f>
        <v>980000</v>
      </c>
      <c r="D18" s="28">
        <f>_xlfn.XLOOKUP(Tabela13[[#This Row],[REFERENCIA]],'[2]BASE PYTHON'!$E:$E,'[2]BASE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Row],[REFERENCIA]],[2]!Tabela1[VENDEDOR],[2]!Tabela1[VALOR])</f>
        <v>3800</v>
      </c>
      <c r="J18" s="21">
        <f>_xlfn.XLOOKUP(Tabela5[[#This Row],[REFERENCIA]],'[2]BASE PYTHON'!$H:$H,'[2]BASE PYTHON'!$I:$I,0)</f>
        <v>4697.6499999999996</v>
      </c>
      <c r="K18" s="22">
        <f>Tabela5[[#This Row],[COMPROMISSO]]-Tabela5[[#This Row],[ATINGIDO]]</f>
        <v>-897.64999999999964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Row],[REFERENCIA]],'[2]BASE PYTHON'!$A$63:$A$79,'[2]BASE PYTHON'!$B$63:$B$79)</f>
        <v>47</v>
      </c>
      <c r="V18" s="18">
        <f>_xlfn.XLOOKUP(Tabela2[[#This Row],[REFERENCIA]],'[2]BASE PYTHON'!$K:$K,'[2]BASE PYTHON'!$N:$N,0)</f>
        <v>13</v>
      </c>
      <c r="W18" s="18">
        <f t="shared" si="0"/>
        <v>34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Row],[REFERENCIA]],[2]!Tabela2[VENDEDOR],[2]!Tabela2[META A],0)</f>
        <v>142000</v>
      </c>
      <c r="D19" s="28">
        <f>_xlfn.XLOOKUP(Tabela13[[#This Row],[REFERENCIA]],'[2]BASE PYTHON'!$E:$E,'[2]BASE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Row],[REFERENCIA]],[2]!Tabela1[VENDEDOR],[2]!Tabela1[VALOR])</f>
        <v>9620</v>
      </c>
      <c r="J19" s="21">
        <f>_xlfn.XLOOKUP(Tabela5[[#This Row],[REFERENCIA]],'[2]BASE PYTHON'!$H:$H,'[2]BASE PYTHON'!$I:$I,0)</f>
        <v>7437.7199999999993</v>
      </c>
      <c r="K19" s="22">
        <f>Tabela5[[#This Row],[COMPROMISSO]]-Tabela5[[#This Row],[ATINGIDO]]</f>
        <v>2182.2800000000007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Row],[REFERENCIA]],'[2]BASE PYTHON'!$A$63:$A$79,'[2]BASE PYTHON'!$B$63:$B$79)</f>
        <v>63</v>
      </c>
      <c r="V19" s="18">
        <f>_xlfn.XLOOKUP(Tabela2[[#This Row],[REFERENCIA]],'[2]BASE PYTHON'!$K:$K,'[2]BASE PYTHON'!$N:$N,0)</f>
        <v>16</v>
      </c>
      <c r="W19" s="18">
        <f t="shared" si="0"/>
        <v>47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Row],[REFERENCIA]],[2]!Tabela2[VENDEDOR],[2]!Tabela2[META A],0)</f>
        <v>560000</v>
      </c>
      <c r="D20" s="28">
        <f>_xlfn.XLOOKUP(Tabela13[[#This Row],[REFERENCIA]],'[2]BASE PYTHON'!$E:$E,'[2]BASE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Row],[REFERENCIA]],[2]!Tabela1[VENDEDOR],[2]!Tabela1[VALOR])</f>
        <v>10440</v>
      </c>
      <c r="J20" s="21">
        <f>_xlfn.XLOOKUP(Tabela5[[#This Row],[REFERENCIA]],'[2]BASE PYTHON'!$H:$H,'[2]BASE PYTHON'!$I:$I,0)</f>
        <v>5066.5</v>
      </c>
      <c r="K20" s="22">
        <f>Tabela5[[#This Row],[COMPROMISSO]]-Tabela5[[#This Row],[ATINGIDO]]</f>
        <v>5373.5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Row],[REFERENCIA]],'[2]BASE PYTHON'!$A$63:$A$79,'[2]BASE PYTHON'!$B$63:$B$79)</f>
        <v>41</v>
      </c>
      <c r="V20" s="18">
        <f>_xlfn.XLOOKUP(Tabela2[[#This Row],[REFERENCIA]],'[2]BASE PYTHON'!$K:$K,'[2]BASE PYTHON'!$N:$N,0)</f>
        <v>4</v>
      </c>
      <c r="W20" s="18">
        <f t="shared" si="0"/>
        <v>37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Row],[REFERENCIA]],[2]!Tabela2[VENDEDOR],[2]!Tabela2[META A],0)</f>
        <v>425000</v>
      </c>
      <c r="D21" s="28">
        <f>_xlfn.XLOOKUP(Tabela13[[#This Row],[REFERENCIA]],'[2]BASE PYTHON'!$E:$E,'[2]BASE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Row],[REFERENCIA]],[2]!Tabela1[VENDEDOR],[2]!Tabela1[VALOR])</f>
        <v>4030</v>
      </c>
      <c r="J21" s="21">
        <f>_xlfn.XLOOKUP(Tabela5[[#This Row],[REFERENCIA]],'[2]BASE PYTHON'!$H:$H,'[2]BASE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Row],[SEMANAL]],[2]!Tabela10[[#All],[Coluna1]],[2]!Tabela10[[#All],[Coluna2]])</f>
        <v>685000</v>
      </c>
      <c r="P21" s="2">
        <f>GETPIVOTDATA("[Measures].[Soma de TOTAL 3]",'[2]BASE PYTHON'!$P$32,"[Intervalo 2].[SEMANA]","[Intervalo 2].[SEMANA].&amp;[1]")</f>
        <v>330842.05999999976</v>
      </c>
      <c r="Q21" s="7">
        <f>O21-P21</f>
        <v>354157.94000000024</v>
      </c>
      <c r="R21" s="4"/>
      <c r="S21" s="18" t="s">
        <v>19</v>
      </c>
      <c r="T21" s="18" t="s">
        <v>19</v>
      </c>
      <c r="U21" s="18">
        <f>_xlfn.XLOOKUP(Tabela2[[#This Row],[REFERENCIA]],'[2]BASE PYTHON'!$A$63:$A$79,'[2]BASE PYTHON'!$B$63:$B$79)</f>
        <v>44</v>
      </c>
      <c r="V21" s="18">
        <f>_xlfn.XLOOKUP(Tabela2[[#This Row],[REFERENCIA]],'[2]BASE PYTHON'!$K:$K,'[2]BASE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Row],[REFERENCIA]],[2]!Tabela2[VENDEDOR],[2]!Tabela2[META A],0)</f>
        <v>122000</v>
      </c>
      <c r="D22" s="28">
        <f>_xlfn.XLOOKUP(Tabela13[[#This Row],[REFERENCIA]],'[2]BASE PYTHON'!$E:$E,'[2]BASE PYTHON'!$F:$F,0)</f>
        <v>15016.779999999992</v>
      </c>
      <c r="E22" s="25">
        <f>Tabela13[[#This Row],[META A]]-Tabela13[[#This Row],[ATINGIDO]]</f>
        <v>106983.22</v>
      </c>
      <c r="F22" s="4"/>
      <c r="G22" s="20" t="s">
        <v>14</v>
      </c>
      <c r="H22" s="20" t="s">
        <v>14</v>
      </c>
      <c r="I22" s="21">
        <f>_xlfn.XLOOKUP(Tabela5[[#This Row],[REFERENCIA]],[2]!Tabela1[VENDEDOR],[2]!Tabela1[VALOR])</f>
        <v>4070</v>
      </c>
      <c r="J22" s="21">
        <f>_xlfn.XLOOKUP(Tabela5[[#This Row],[REFERENCIA]],'[2]BASE PYTHON'!$H:$H,'[2]BASE PYTHON'!$I:$I,0)</f>
        <v>1657.9</v>
      </c>
      <c r="K22" s="22">
        <f>Tabela5[[#This Row],[COMPROMISSO]]-Tabela5[[#This Row],[ATINGIDO]]</f>
        <v>2412.1</v>
      </c>
      <c r="L22" s="4"/>
      <c r="M22" s="4"/>
      <c r="N22" s="4" t="s">
        <v>48</v>
      </c>
      <c r="O22" s="2" cm="1">
        <f t="array" ref="O22">_xlfn.XLOOKUP(Tabela9[[#This Row],[SEMANAL]],[2]!Tabela10[[#All],[Coluna1]],[2]!Tabela10[[#All],[Coluna2]])</f>
        <v>685000</v>
      </c>
      <c r="P22" s="7" t="e">
        <f>GETPIVOTDATA("[Measures].[Soma de TOTAL 3]",'[2]BASE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Row],[REFERENCIA]],'[2]BASE PYTHON'!$A$63:$A$79,'[2]BASE PYTHON'!$B$63:$B$79)</f>
        <v>40</v>
      </c>
      <c r="V22" s="18">
        <f>_xlfn.XLOOKUP(Tabela2[[#This Row],[REFERENCIA]],'[2]BASE PYTHON'!$K:$K,'[2]BASE PYTHON'!$N:$N,0)</f>
        <v>8</v>
      </c>
      <c r="W22" s="18">
        <f t="shared" si="1"/>
        <v>32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Row],[REFERENCIA]],[2]!Tabela2[VENDEDOR],[2]!Tabela2[META A],0)</f>
        <v>200000</v>
      </c>
      <c r="D23" s="28">
        <f>_xlfn.XLOOKUP(Tabela13[[#This Row],[REFERENCIA]],'[2]BASE PYTHON'!$E:$E,'[2]BASE PYTHON'!$F:$F,0)</f>
        <v>29509.840000000007</v>
      </c>
      <c r="E23" s="23">
        <f>Tabela13[[#This Row],[META A]]-Tabela13[[#This Row],[ATINGIDO]]</f>
        <v>170490.16</v>
      </c>
      <c r="F23" s="4"/>
      <c r="G23" s="20" t="s">
        <v>9</v>
      </c>
      <c r="H23" s="20" t="s">
        <v>9</v>
      </c>
      <c r="I23" s="21">
        <f>_xlfn.XLOOKUP(Tabela5[[#This Row],[REFERENCIA]],[2]!Tabela1[VENDEDOR],[2]!Tabela1[VALOR])</f>
        <v>3200</v>
      </c>
      <c r="J23" s="21">
        <f>_xlfn.XLOOKUP(Tabela5[[#This Row],[REFERENCIA]],'[2]BASE PYTHON'!$H:$H,'[2]BASE PYTHON'!$I:$I,0)</f>
        <v>1232.3</v>
      </c>
      <c r="K23" s="22">
        <f>Tabela5[[#This Row],[COMPROMISSO]]-Tabela5[[#This Row],[ATINGIDO]]</f>
        <v>1967.7</v>
      </c>
      <c r="L23" s="4"/>
      <c r="M23" s="4"/>
      <c r="N23" s="4" t="s">
        <v>49</v>
      </c>
      <c r="O23" s="2" cm="1">
        <f t="array" ref="O23">_xlfn.XLOOKUP(Tabela9[[#This Row],[SEMANAL]],[2]!Tabela10[[#All],[Coluna1]],[2]!Tabela10[[#All],[Coluna2]])</f>
        <v>685000</v>
      </c>
      <c r="P23" s="7" t="e">
        <f>GETPIVOTDATA("[Measures].[Soma de TOTAL 3]",'[2]BASE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Row],[REFERENCIA]],'[2]BASE PYTHON'!$A$63:$A$79,'[2]BASE PYTHON'!$B$63:$B$79)</f>
        <v>55</v>
      </c>
      <c r="V23" s="18">
        <f>_xlfn.XLOOKUP(Tabela2[[#This Row],[REFERENCIA]],'[2]BASE PYTHON'!$K:$K,'[2]BASE PYTHON'!$N:$N,0)</f>
        <v>10</v>
      </c>
      <c r="W23" s="18">
        <f t="shared" si="1"/>
        <v>45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Row],[REFERENCIA]],[2]!Tabela2[VENDEDOR],[2]!Tabela2[META A],0)</f>
        <v>145000</v>
      </c>
      <c r="D24" s="28">
        <f>_xlfn.XLOOKUP(Tabela13[[#This Row],[REFERENCIA]],'[2]BASE PYTHON'!$E:$E,'[2]BASE PYTHON'!$F:$F,0)</f>
        <v>12650.73</v>
      </c>
      <c r="E24" s="25">
        <f>Tabela13[[#This Row],[META A]]-Tabela13[[#This Row],[ATINGIDO]]</f>
        <v>132349.26999999999</v>
      </c>
      <c r="F24" s="4"/>
      <c r="G24" s="20" t="s">
        <v>24</v>
      </c>
      <c r="H24" s="20" t="s">
        <v>45</v>
      </c>
      <c r="I24" s="21">
        <f>_xlfn.XLOOKUP(Tabela5[[#This Row],[REFERENCIA]],[2]!Tabela1[VENDEDOR],[2]!Tabela1[VALOR])</f>
        <v>1980</v>
      </c>
      <c r="J24" s="21">
        <f>_xlfn.XLOOKUP(Tabela5[[#This Row],[REFERENCIA]],'[2]BASE PYTHON'!$H:$H,'[2]BASE PYTHON'!$I:$I,0)</f>
        <v>225</v>
      </c>
      <c r="K24" s="22">
        <f>Tabela5[[#This Row],[COMPROMISSO]]-Tabela5[[#This Row],[ATINGIDO]]</f>
        <v>1755</v>
      </c>
      <c r="L24" s="4"/>
      <c r="M24" s="4"/>
      <c r="N24" s="4" t="s">
        <v>50</v>
      </c>
      <c r="O24" s="2" cm="1">
        <f t="array" ref="O24">_xlfn.XLOOKUP(Tabela9[[#This Row],[SEMANAL]],[2]!Tabela10[[#All],[Coluna1]],[2]!Tabela10[[#All],[Coluna2]])</f>
        <v>685000</v>
      </c>
      <c r="P24" s="7" t="e">
        <f>GETPIVOTDATA("[Measures].[Soma de TOTAL 3]",'[2]BASE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Row],[REFERENCIA]],'[2]BASE PYTHON'!$A$63:$A$79,'[2]BASE PYTHON'!$B$63:$B$79)</f>
        <v>37</v>
      </c>
      <c r="V24" s="18">
        <f>_xlfn.XLOOKUP(Tabela2[[#This Row],[REFERENCIA]],'[2]BASE PYTHON'!$K:$K,'[2]BASE PYTHON'!$N:$N,0)</f>
        <v>6</v>
      </c>
      <c r="W24" s="18">
        <f t="shared" si="1"/>
        <v>31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Row],[REFERENCIA]],[2]!Tabela2[VENDEDOR],[2]!Tabela2[META A],0)</f>
        <v>147000</v>
      </c>
      <c r="D25" s="28">
        <f>_xlfn.XLOOKUP(Tabela13[[#This Row],[REFERENCIA]],'[2]BASE PYTHON'!$E:$E,'[2]BASE PYTHON'!$F:$F,0)</f>
        <v>11039.89</v>
      </c>
      <c r="E25" s="23">
        <f>Tabela13[[#This Row],[META A]]-Tabela13[[#This Row],[ATINGIDO]]</f>
        <v>135960.10999999999</v>
      </c>
      <c r="F25" s="4"/>
      <c r="G25" s="20" t="s">
        <v>22</v>
      </c>
      <c r="H25" s="20" t="s">
        <v>22</v>
      </c>
      <c r="I25" s="21">
        <f>_xlfn.XLOOKUP(Tabela5[[#This Row],[REFERENCIA]],[2]!Tabela1[VENDEDOR],[2]!Tabela1[VALOR])</f>
        <v>3660</v>
      </c>
      <c r="J25" s="21">
        <f>_xlfn.XLOOKUP(Tabela5[[#This Row],[REFERENCIA]],'[2]BASE PYTHON'!$H:$H,'[2]BASE PYTHON'!$I:$I,0)</f>
        <v>194.8</v>
      </c>
      <c r="K25" s="22">
        <f>Tabela5[[#This Row],[COMPROMISSO]]-Tabela5[[#This Row],[ATINGIDO]]</f>
        <v>3465.2</v>
      </c>
      <c r="L25" s="4"/>
      <c r="M25" s="4"/>
      <c r="N25" s="4" t="s">
        <v>52</v>
      </c>
      <c r="O25" s="2" cm="1">
        <f t="array" ref="O25">_xlfn.XLOOKUP(Tabela9[[#This Row],[SEMANAL]],[2]!Tabela10[[#All],[Coluna1]],[2]!Tabela10[[#All],[Coluna2]])</f>
        <v>137000</v>
      </c>
      <c r="P25" s="7" t="e">
        <f>GETPIVOTDATA("[Measures].[Soma de TOTAL 3]",'[2]BASE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Row],[REFERENCIA]],'[2]BASE PYTHON'!$A$63:$A$79,'[2]BASE PYTHON'!$B$63:$B$79)</f>
        <v>53</v>
      </c>
      <c r="V25" s="18">
        <f>_xlfn.XLOOKUP(Tabela2[[#This Row],[REFERENCIA]],'[2]BASE PYTHON'!$K:$K,'[2]BASE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Row],[REFERENCIA]],[2]!Tabela2[VENDEDOR],[2]!Tabela2[META A],0)</f>
        <v>90000</v>
      </c>
      <c r="D26" s="28">
        <f>_xlfn.XLOOKUP(Tabela13[[#This Row],[REFERENCIA]],'[2]BASE PYTHON'!$E:$E,'[2]BASE PYTHON'!$F:$F,0)</f>
        <v>5329.18</v>
      </c>
      <c r="E26" s="25">
        <f>Tabela13[[#This Row],[META A]]-Tabela13[[#This Row],[ATINGIDO]]</f>
        <v>84670.82</v>
      </c>
      <c r="F26" s="4"/>
      <c r="G26" s="20" t="s">
        <v>23</v>
      </c>
      <c r="H26" s="20" t="s">
        <v>44</v>
      </c>
      <c r="I26" s="21">
        <f>_xlfn.XLOOKUP(Tabela5[[#This Row],[REFERENCIA]],[2]!Tabela1[VENDEDOR],[2]!Tabela1[VALOR])</f>
        <v>1090</v>
      </c>
      <c r="J26" s="21">
        <f>_xlfn.XLOOKUP(Tabela5[[#This Row],[REFERENCIA]],'[2]BASE PYTHON'!$H:$H,'[2]BASE PYTHON'!$I:$I,0)</f>
        <v>589.70000000000005</v>
      </c>
      <c r="K26" s="22">
        <f>Tabela5[[#This Row],[COMPROMISSO]]-Tabela5[[#This Row],[ATINGIDO]]</f>
        <v>500.29999999999995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Row],[REFERENCIA]],'[2]BASE PYTHON'!$A$63:$A$79,'[2]BASE PYTHON'!$B$63:$B$79)</f>
        <v>38</v>
      </c>
      <c r="V26" s="18">
        <f>_xlfn.XLOOKUP(Tabela2[[#This Row],[REFERENCIA]],'[2]BASE PYTHON'!$K:$K,'[2]BASE PYTHON'!$N:$N,0)</f>
        <v>10</v>
      </c>
      <c r="W26" s="18">
        <f t="shared" si="1"/>
        <v>28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Row],[REFERENCIA]],[2]!Tabela2[VENDEDOR],[2]!Tabela2[META A],0)</f>
        <v>242000</v>
      </c>
      <c r="D27" s="28">
        <f>_xlfn.XLOOKUP(Tabela13[[#This Row],[REFERENCIA]],'[2]BASE PYTHON'!$E:$E,'[2]BASE PYTHON'!$F:$F,0)</f>
        <v>42652.860000000022</v>
      </c>
      <c r="E27" s="23">
        <f>Tabela13[[#This Row],[META A]]-Tabela13[[#This Row],[ATINGIDO]]</f>
        <v>199347.13999999998</v>
      </c>
      <c r="F27" s="4"/>
      <c r="G27" s="20" t="s">
        <v>7</v>
      </c>
      <c r="H27" s="20" t="s">
        <v>7</v>
      </c>
      <c r="I27" s="21">
        <f>_xlfn.XLOOKUP(Tabela5[[#This Row],[REFERENCIA]],[2]!Tabela1[VENDEDOR],[2]!Tabela1[VALOR])</f>
        <v>2540</v>
      </c>
      <c r="J27" s="21">
        <f>_xlfn.XLOOKUP(Tabela5[[#This Row],[REFERENCIA]],'[2]BASE PYTHON'!$H:$H,'[2]BASE PYTHON'!$I:$I,0)</f>
        <v>3551</v>
      </c>
      <c r="K27" s="22">
        <f>Tabela5[[#This Row],[COMPROMISSO]]-Tabela5[[#This Row],[ATINGIDO]]</f>
        <v>-1011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Row],[REFERENCIA]],[2]!Tabela2[VENDEDOR],[2]!Tabela2[META A],0)</f>
        <v>323500</v>
      </c>
      <c r="D28" s="28">
        <f>_xlfn.XLOOKUP(Tabela13[[#This Row],[REFERENCIA]],'[2]BASE PYTHON'!$E:$E,'[2]BASE PYTHON'!$F:$F,0)</f>
        <v>50610.320000000014</v>
      </c>
      <c r="E28" s="25">
        <f>Tabela13[[#This Row],[META A]]-Tabela13[[#This Row],[ATINGIDO]]</f>
        <v>272889.68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Row],[REFERENCIA]],[2]!Tabela2[VENDEDOR],[2]!Tabela2[META A],0)</f>
        <v>0</v>
      </c>
      <c r="D29" s="28">
        <f>_xlfn.XLOOKUP(Tabela13[[#This Row],[REFERENCIA]],'[2]BASE PYTHON'!$E:$E,'[2]BASE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Row],[REFERENCIA]],[2]!Tabela2[VENDEDOR],[2]!Tabela2[META A],0)</f>
        <v>139500</v>
      </c>
      <c r="D30" s="28">
        <f>_xlfn.XLOOKUP(Tabela13[[#This Row],[REFERENCIA]],'[2]BASE PYTHON'!$E:$E,'[2]BASE PYTHON'!$F:$F,0)</f>
        <v>15589.76</v>
      </c>
      <c r="E30" s="25">
        <f>Tabela13[[#This Row],[META A]]-Tabela13[[#This Row],[ATINGIDO]]</f>
        <v>123910.24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Row],[SEMANAL]],[2]!Tabela11[[#All],[Coluna1]],[2]!Tabela11[[#All],[Coluna2]])</f>
        <v>186.42857142857142</v>
      </c>
      <c r="V30" s="5">
        <f>IFERROR(GETPIVOTDATA("[Measures].[Contagem Distinta de COD_CLIENTE]",'[2]BASE PYTHON'!$P$85,"[Intervalo 2].[SEMANA]","[Intervalo 2].[SEMANA].&amp;[1]"),0)</f>
        <v>150</v>
      </c>
      <c r="W30" s="6">
        <f>U30-V30</f>
        <v>36.428571428571416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Row],[REFERENCIA]],[2]!Tabela2[VENDEDOR],[2]!Tabela2[META A],0)</f>
        <v>167000</v>
      </c>
      <c r="D31" s="28">
        <f>_xlfn.XLOOKUP(Tabela13[[#This Row],[REFERENCIA]],'[2]BASE PYTHON'!$E:$E,'[2]BASE PYTHON'!$F:$F,0)</f>
        <v>25707.490000000005</v>
      </c>
      <c r="E31" s="23">
        <f>Tabela13[[#This Row],[META A]]-Tabela13[[#This Row],[ATINGIDO]]</f>
        <v>141292.51</v>
      </c>
      <c r="F31" s="4"/>
      <c r="G31" s="4"/>
      <c r="H31" s="4" t="s">
        <v>4</v>
      </c>
      <c r="I31" s="2" cm="1">
        <f t="array" ref="I31">_xlfn.XLOOKUP(Tabela6[[#This Row],[SEMANAL]],[2]!Tabela9[[#All],[Coluna1]],[2]!Tabela9[[#All],[Coluna2]])</f>
        <v>692023.80952380947</v>
      </c>
      <c r="J31" s="2">
        <f>IFERROR(GETPIVOTDATA("[Measures].[Soma de TOTAL 3]",'[2]BASE PYTHON'!$P$4,"[Intervalo 2].[SEMANA]","[Intervalo 2].[SEMANA].&amp;[1]"),0)</f>
        <v>380047.54000000126</v>
      </c>
      <c r="K31" s="7">
        <f>I31-J31</f>
        <v>311976.26952380821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Row],[SEMANAL]],[2]!Tabela11[[#All],[Coluna1]],[2]!Tabela11[[#All],[Coluna2]])</f>
        <v>186.42857142857142</v>
      </c>
      <c r="V31" s="6">
        <f>IFERROR(GETPIVOTDATA("[Measures].[Contagem Distinta de COD_CLIENTE]",'[2]BASE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Row],[REFERENCIA]],[2]!Tabela2[VENDEDOR],[2]!Tabela2[META A],0)</f>
        <v>265000</v>
      </c>
      <c r="D32" s="28">
        <f>_xlfn.XLOOKUP(Tabela13[[#This Row],[REFERENCIA]],'[2]BASE PYTHON'!$E:$E,'[2]BASE PYTHON'!$F:$F,0)</f>
        <v>45306.200000000026</v>
      </c>
      <c r="E32" s="25">
        <f>Tabela13[[#This Row],[META A]]-Tabela13[[#This Row],[ATINGIDO]]</f>
        <v>219693.8</v>
      </c>
      <c r="F32" s="4"/>
      <c r="G32" s="4"/>
      <c r="H32" s="4" t="s">
        <v>48</v>
      </c>
      <c r="I32" s="2" cm="1">
        <f t="array" ref="I32">_xlfn.XLOOKUP(Tabela6[[#This Row],[SEMANAL]],[2]!Tabela9[[#All],[Coluna1]],[2]!Tabela9[[#All],[Coluna2]])</f>
        <v>692023.80952380947</v>
      </c>
      <c r="J32" s="7">
        <f>IFERROR(GETPIVOTDATA("[Measures].[Soma de TOTAL 3]",'[2]BASE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Row],[SEMANAL]],[2]!Tabela11[[#All],[Coluna1]],[2]!Tabela11[[#All],[Coluna2]])</f>
        <v>186.42857142857142</v>
      </c>
      <c r="V32" s="6">
        <f>IFERROR(GETPIVOTDATA("[Measures].[Contagem Distinta de COD_CLIENTE]",'[2]BASE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Row],[REFERENCIA]],[2]!Tabela2[VENDEDOR],[2]!Tabela2[META A],0)</f>
        <v>100000</v>
      </c>
      <c r="D33" s="28">
        <f>_xlfn.XLOOKUP(Tabela13[[#This Row],[REFERENCIA]],'[2]BASE PYTHON'!$E:$E,'[2]BASE PYTHON'!$F:$F,0)</f>
        <v>7927.7699999999995</v>
      </c>
      <c r="E33" s="23">
        <f>Tabela13[[#This Row],[META A]]-Tabela13[[#This Row],[ATINGIDO]]</f>
        <v>92072.23</v>
      </c>
      <c r="F33" s="4"/>
      <c r="G33" s="4"/>
      <c r="H33" s="4" t="s">
        <v>49</v>
      </c>
      <c r="I33" s="2" cm="1">
        <f t="array" ref="I33">_xlfn.XLOOKUP(Tabela6[[#This Row],[SEMANAL]],[2]!Tabela9[[#All],[Coluna1]],[2]!Tabela9[[#All],[Coluna2]])</f>
        <v>692023.80952380947</v>
      </c>
      <c r="J33" s="7">
        <f>IFERROR(GETPIVOTDATA("[Measures].[Soma de TOTAL 3]",'[2]BASE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Row],[SEMANAL]],[2]!Tabela11[[#All],[Coluna1]],[2]!Tabela11[[#All],[Coluna2]])</f>
        <v>186.42857142857142</v>
      </c>
      <c r="V33" s="6">
        <f>IFERROR(GETPIVOTDATA("[Measures].[Contagem Distinta de COD_CLIENTE]",'[2]BASE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Row],[REFERENCIA]],[2]!Tabela2[VENDEDOR],[2]!Tabela2[META A],0)</f>
        <v>55000</v>
      </c>
      <c r="D34" s="28">
        <f>_xlfn.XLOOKUP(Tabela13[[#This Row],[REFERENCIA]],'[2]BASE PYTHON'!$E:$E,'[2]BASE PYTHON'!$F:$F,0)</f>
        <v>8096.9</v>
      </c>
      <c r="E34" s="25">
        <f>Tabela13[[#This Row],[META A]]-Tabela13[[#This Row],[ATINGIDO]]</f>
        <v>46903.1</v>
      </c>
      <c r="F34" s="4"/>
      <c r="G34" s="4"/>
      <c r="H34" s="4" t="s">
        <v>50</v>
      </c>
      <c r="I34" s="2" cm="1">
        <f t="array" ref="I34">_xlfn.XLOOKUP(Tabela6[[#This Row],[SEMANAL]],[2]!Tabela9[[#All],[Coluna1]],[2]!Tabela9[[#All],[Coluna2]])</f>
        <v>692023.80952380947</v>
      </c>
      <c r="J34" s="7">
        <f>IFERROR(GETPIVOTDATA("[Measures].[Soma de TOTAL 3]",'[2]BASE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Row],[SEMANAL]],[2]!Tabela11[[#All],[Coluna1]],[2]!Tabela11[[#All],[Coluna2]])</f>
        <v>37.285714285714285</v>
      </c>
      <c r="V34" s="6">
        <f>IFERROR(GETPIVOTDATA("[Measures].[Contagem Distinta de COD_CLIENTE]",'[2]BASE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Row],[REFERENCIA]],[2]!Tabela2[VENDEDOR],[2]!Tabela2[META A],0)</f>
        <v>75000</v>
      </c>
      <c r="D35" s="28">
        <f>_xlfn.XLOOKUP(Tabela13[[#This Row],[REFERENCIA]],'[2]BASE PYTHON'!$E:$E,'[2]BASE PYTHON'!$F:$F,0)</f>
        <v>12957.099999999999</v>
      </c>
      <c r="E35" s="23">
        <f>Tabela13[[#This Row],[META A]]-Tabela13[[#This Row],[ATINGIDO]]</f>
        <v>62042.9</v>
      </c>
      <c r="F35" s="4"/>
      <c r="G35" s="4"/>
      <c r="H35" s="4" t="s">
        <v>52</v>
      </c>
      <c r="I35" s="2" cm="1">
        <f t="array" ref="I35">_xlfn.XLOOKUP(Tabela6[[#This Row],[SEMANAL]],[2]!Tabela9[[#All],[Coluna1]],[2]!Tabela9[[#All],[Coluna2]])</f>
        <v>138404.76190476189</v>
      </c>
      <c r="J35" s="7">
        <f>IFERROR(GETPIVOTDATA("[Measures].[Soma de TOTAL 3]",'[2]BASE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Row],[REFERENCIA]],[2]!Tabela2[VENDEDOR],[2]!Tabela2[META A],0)</f>
        <v>1000</v>
      </c>
      <c r="D36" s="28">
        <f>_xlfn.XLOOKUP(Tabela13[[#This Row],[REFERENCIA]],'[2]BASE PYTHON'!$E:$E,'[2]BASE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Row],[SEMANAL]],[2]!Tabela7[[#All],[Coluna1]],[2]!Tabela7[[#All],[Coluna2]])</f>
        <v>1377261.9047619049</v>
      </c>
      <c r="D40" s="2">
        <f>IFERROR(GETPIVOTDATA("[Measures].[Soma de TOTAL 3]",'[2]BASE PYTHON'!$P$47,"[Intervalo 2].[SEMANA]","[Intervalo 2].[SEMANA].&amp;[1]"),0)</f>
        <v>741043.72000000312</v>
      </c>
      <c r="E40" s="7">
        <f>C40-D40</f>
        <v>636218.18476190174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Row],[SEMANAL]],[2]!Tabela7[[#All],[Coluna1]],[2]!Tabela7[[#All],[Coluna2]])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Row],[SEMANAL]],[2]!Tabela7[[#All],[Coluna1]],[2]!Tabela7[[#All],[Coluna2]])</f>
        <v>1377261.9047619049</v>
      </c>
      <c r="D42" s="2">
        <f>IFERROR(GETPIVOTDATA("[Measures].[Soma de TOTAL 3]",'[2]BASE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Row],[SEMANAL]],[2]!Tabela7[[#All],[Coluna1]],[2]!Tabela7[[#All],[Coluna2]])</f>
        <v>1377261.9047619049</v>
      </c>
      <c r="D43" s="2">
        <f>IFERROR(GETPIVOTDATA("[Measures].[Soma de TOTAL 3]",'[2]BASE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Row],[SEMANAL]],[2]!Tabela7[[#All],[Coluna1]],[2]!Tabela7[[#All],[Coluna2]])</f>
        <v>275452.38095238095</v>
      </c>
      <c r="D44" s="2">
        <f>IFERROR(GETPIVOTDATA("[Measures].[Soma de TOTAL 3]",'[2]BASE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2026-08-05T14:42:54Z</dcterms:modified>
</cp:coreProperties>
</file>