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83B2FB21-2DFC-4CC1-AAD4-23D64724828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1" i="2"/>
  <c r="V30" i="2"/>
  <c r="V33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1" i="2"/>
  <c r="J34" i="2"/>
  <c r="P23" i="2"/>
  <c r="P25" i="2"/>
  <c r="P21" i="2"/>
  <c r="D43" i="2"/>
  <c r="D42" i="2"/>
  <c r="P24" i="2"/>
  <c r="D41" i="2"/>
  <c r="J33" i="2"/>
  <c r="D44" i="2"/>
  <c r="J35" i="2"/>
  <c r="P22" i="2"/>
  <c r="J32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<sst xmlns="http://schemas.openxmlformats.org/spreadsheetml/2006/main" count="215" uniqueCount="54">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</sst>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42019.389999999978</v>
          </cell>
          <cell r="H5" t="str">
            <v>CAMPINAS</v>
          </cell>
          <cell r="I5">
            <v>2773.0099999999998</v>
          </cell>
        </row>
        <row r="6">
          <cell r="E6" t="str">
            <v>CENTRO</v>
          </cell>
          <cell r="F6">
            <v>272788.47999999957</v>
          </cell>
          <cell r="H6" t="str">
            <v>CENTRO</v>
          </cell>
          <cell r="I6">
            <v>12072.2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1257.3499999999999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11655.55</v>
          </cell>
          <cell r="K8" t="str">
            <v>CAMPINAS</v>
          </cell>
          <cell r="N8">
            <v>26</v>
          </cell>
        </row>
        <row r="9">
          <cell r="E9" t="str">
            <v>INDAIATUBA</v>
          </cell>
          <cell r="F9">
            <v>52564.160000000003</v>
          </cell>
          <cell r="H9" t="str">
            <v>JUNDIAI</v>
          </cell>
          <cell r="I9">
            <v>1261.6000000000001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186453.93999999983</v>
          </cell>
          <cell r="H10" t="str">
            <v>KEY ABC</v>
          </cell>
          <cell r="I10">
            <v>47346.099999999991</v>
          </cell>
          <cell r="K10" t="str">
            <v>INDAIATUBA</v>
          </cell>
          <cell r="N10">
            <v>35</v>
          </cell>
        </row>
        <row r="11">
          <cell r="E11" t="str">
            <v>JUNDIAI</v>
          </cell>
          <cell r="F11">
            <v>53021.480000000069</v>
          </cell>
          <cell r="H11" t="str">
            <v>KEY CASA</v>
          </cell>
          <cell r="I11">
            <v>8325.48</v>
          </cell>
          <cell r="K11" t="str">
            <v>INTERLAGOS</v>
          </cell>
          <cell r="N11">
            <v>52</v>
          </cell>
        </row>
        <row r="12">
          <cell r="E12" t="str">
            <v>KEY ABC</v>
          </cell>
          <cell r="F12">
            <v>258976.11999999994</v>
          </cell>
          <cell r="H12" t="str">
            <v>KEY PIRACICABA</v>
          </cell>
          <cell r="I12">
            <v>18252.82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271100.4800000001</v>
          </cell>
          <cell r="H13" t="str">
            <v>KEY SP</v>
          </cell>
          <cell r="I13">
            <v>16606.490000000002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KEY ZL</v>
          </cell>
          <cell r="I14">
            <v>9288.7000000000007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LESTE</v>
          </cell>
          <cell r="I15">
            <v>1714.3500000000001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LESTE MOOCA</v>
          </cell>
          <cell r="I16">
            <v>5167.5699999999988</v>
          </cell>
          <cell r="K16" t="str">
            <v>LESTE TATUAPE</v>
          </cell>
          <cell r="N16">
            <v>38</v>
          </cell>
        </row>
        <row r="17">
          <cell r="E17" t="str">
            <v>KEY SP</v>
          </cell>
          <cell r="F17">
            <v>283519.83999999997</v>
          </cell>
          <cell r="H17" t="str">
            <v>LESTE PENHA</v>
          </cell>
          <cell r="I17">
            <v>1483.75</v>
          </cell>
          <cell r="K17" t="str">
            <v>MOGI</v>
          </cell>
          <cell r="N17">
            <v>36</v>
          </cell>
        </row>
        <row r="18">
          <cell r="E18" t="str">
            <v>KEY ZL</v>
          </cell>
          <cell r="F18">
            <v>287660.6999999999</v>
          </cell>
          <cell r="H18" t="str">
            <v>LESTE TATUAPE</v>
          </cell>
          <cell r="I18">
            <v>1758.1500000000003</v>
          </cell>
          <cell r="K18" t="str">
            <v>NORTE</v>
          </cell>
          <cell r="N18">
            <v>43</v>
          </cell>
        </row>
        <row r="19">
          <cell r="E19" t="str">
            <v>LESTE</v>
          </cell>
          <cell r="F19">
            <v>74178.729999999981</v>
          </cell>
          <cell r="H19" t="str">
            <v>MOGI</v>
          </cell>
          <cell r="I19">
            <v>2791.9200000000005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139047.13499999966</v>
          </cell>
          <cell r="H20" t="str">
            <v>NORTE</v>
          </cell>
          <cell r="I20">
            <v>14091.089999999997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97563.540000000081</v>
          </cell>
          <cell r="H21" t="str">
            <v>OSASCO</v>
          </cell>
          <cell r="I21">
            <v>8678.7999999999975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86311.229999999792</v>
          </cell>
          <cell r="H22" t="str">
            <v>PIRITUBA</v>
          </cell>
          <cell r="I22">
            <v>5626.22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51628.47000000011</v>
          </cell>
          <cell r="H23" t="str">
            <v>SANTO ANDRE</v>
          </cell>
          <cell r="I23">
            <v>6971.079999999999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177256.26999999961</v>
          </cell>
          <cell r="H24" t="str">
            <v>SBC</v>
          </cell>
          <cell r="I24">
            <v>5803.97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244872.42999999935</v>
          </cell>
          <cell r="H25" t="str">
            <v>SJC</v>
          </cell>
          <cell r="I25">
            <v>3393.64</v>
          </cell>
          <cell r="K25" t="str">
            <v>Total Geral</v>
          </cell>
          <cell r="N25">
            <v>600</v>
          </cell>
        </row>
        <row r="26">
          <cell r="E26" t="str">
            <v>PIRITUBA</v>
          </cell>
          <cell r="F26">
            <v>98334.649999999921</v>
          </cell>
          <cell r="H26" t="str">
            <v>SJC/VALE</v>
          </cell>
          <cell r="I26">
            <v>1620.8200000000004</v>
          </cell>
        </row>
        <row r="27">
          <cell r="E27" t="str">
            <v>SANTO ANDRE</v>
          </cell>
          <cell r="F27">
            <v>123291.98999999996</v>
          </cell>
          <cell r="H27" t="str">
            <v>VENDEDOR INTERNO 1</v>
          </cell>
          <cell r="I27">
            <v>1007.7600000000001</v>
          </cell>
        </row>
        <row r="28">
          <cell r="E28" t="str">
            <v>SBC</v>
          </cell>
          <cell r="F28">
            <v>185314.89999999973</v>
          </cell>
          <cell r="H28" t="str">
            <v>Total Geral</v>
          </cell>
          <cell r="I28">
            <v>188948.41999999993</v>
          </cell>
        </row>
        <row r="29">
          <cell r="E29" t="str">
            <v>SJC</v>
          </cell>
          <cell r="F29">
            <v>61735.030000000093</v>
          </cell>
        </row>
        <row r="30">
          <cell r="E30" t="str">
            <v>SJC/VALE</v>
          </cell>
          <cell r="F30">
            <v>31288.660000000022</v>
          </cell>
        </row>
        <row r="31">
          <cell r="E31" t="str">
            <v>VENDEDOR INTERNO 1</v>
          </cell>
          <cell r="F31">
            <v>53852.61</v>
          </cell>
        </row>
        <row r="32">
          <cell r="E32" t="str">
            <v>Total Geral</v>
          </cell>
          <cell r="F32">
            <v>4205364.5349999433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4205364.5349999983</v>
      </c>
      <c r="D5" s="2"/>
      <c r="E5" s="4"/>
      <c r="F5" s="4"/>
      <c r="G5" s="4"/>
      <c r="H5" s="4" t="s">
        <v>1</v>
      </c>
      <c r="I5" s="7">
        <f>SUM(J10:J27)</f>
        <v>89128.83</v>
      </c>
      <c r="J5" s="4"/>
      <c r="K5" s="4"/>
      <c r="L5" s="4"/>
      <c r="M5" s="4"/>
      <c r="N5" s="4" t="s">
        <v>1</v>
      </c>
      <c r="O5" s="7">
        <f>SUM(P11:P17)</f>
        <v>81566.76999999999</v>
      </c>
      <c r="P5" s="4"/>
      <c r="Q5" s="4"/>
      <c r="R5" s="4"/>
      <c r="S5" s="4"/>
      <c r="T5" s="4" t="s">
        <v>1</v>
      </c>
      <c r="U5" s="4">
        <f>SUM(V10:V26)</f>
        <v>600</v>
      </c>
      <c r="V5" s="4"/>
      <c r="W5" s="4"/>
    </row>
    <row r="6" spans="1:23" x14ac:dyDescent="0.25">
      <c r="A6" s="4"/>
      <c r="B6" s="4" t="s">
        <v>2</v>
      </c>
      <c r="C6" s="2">
        <f>C4-C5</f>
        <v>1387135.4650000017</v>
      </c>
      <c r="D6" s="2"/>
      <c r="E6" s="4"/>
      <c r="F6" s="4"/>
      <c r="G6" s="4"/>
      <c r="H6" s="4" t="s">
        <v>2</v>
      </c>
      <c r="I6" s="7">
        <f>I4-I5</f>
        <v>40871.17</v>
      </c>
      <c r="J6" s="4"/>
      <c r="K6" s="4"/>
      <c r="L6" s="4"/>
      <c r="M6" s="4"/>
      <c r="N6" s="4" t="s">
        <v>2</v>
      </c>
      <c r="O6" s="7">
        <f>O4-O5</f>
        <v>-81566.76999999999</v>
      </c>
      <c r="P6" s="4"/>
      <c r="Q6" s="4"/>
      <c r="R6" s="4"/>
      <c r="S6" s="4"/>
      <c r="T6" s="4" t="s">
        <v>2</v>
      </c>
      <c r="U6" s="4">
        <f>U4-U5</f>
        <v>158</v>
      </c>
      <c r="V6" s="4"/>
      <c r="W6" s="4"/>
    </row>
    <row r="7" spans="1:23" x14ac:dyDescent="0.25">
      <c r="A7" s="4"/>
      <c r="B7" s="4" t="s">
        <v>3</v>
      </c>
      <c r="C7" s="3">
        <f>1-(C6/C4)</f>
        <v>0.75196504872597192</v>
      </c>
      <c r="D7" s="2"/>
      <c r="E7" s="4"/>
      <c r="F7" s="4"/>
      <c r="G7" s="4"/>
      <c r="H7" s="4" t="s">
        <v>3</v>
      </c>
      <c r="I7" s="3">
        <f>1-(I6/I4)</f>
        <v>0.68560638461538459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0.79155672823219003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42019.389999999978</v>
      </c>
      <c r="E10" s="27">
        <f>Tabela13[[#This Row],[META A]]-Tabela13[[#This Row],[ATINGIDO]]</f>
        <v>22480.610000000022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8678.7999999999975</v>
      </c>
      <c r="K10" s="23">
        <f>Tabela5[[#This Row],[COMPROMISSO]]-Tabela5[[#This Row],[ATINGIDO]]</f>
        <v>3411.2000000000025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26</v>
      </c>
      <c r="W10" s="19">
        <f>U10-V10</f>
        <v>10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272788.47999999957</v>
      </c>
      <c r="E11" s="24">
        <f>Tabela13[[#This Row],[META A]]-Tabela13[[#This Row],[ATINGIDO]]</f>
        <v>52211.520000000426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14091.089999999997</v>
      </c>
      <c r="K11" s="23">
        <f>Tabela5[[#This Row],[COMPROMISSO]]-Tabela5[[#This Row],[ATINGIDO]]</f>
        <v>-3091.0899999999965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47346.099999999991</v>
      </c>
      <c r="Q11" s="2">
        <f>O11-P11</f>
        <v>-47346.099999999991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5626.22</v>
      </c>
      <c r="K12" s="23">
        <f>Tabela5[[#This Row],[COMPROMISSO]]-Tabela5[[#This Row],[ATINGIDO]]</f>
        <v>-226.22000000000025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35</v>
      </c>
      <c r="W12" s="19">
        <f t="shared" si="0"/>
        <v>6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52564.160000000003</v>
      </c>
      <c r="E13" s="24">
        <f>Tabela13[[#This Row],[META A]]-Tabela13[[#This Row],[ATINGIDO]]</f>
        <v>37435.839999999997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5803.97</v>
      </c>
      <c r="K13" s="23">
        <f>Tabela5[[#This Row],[COMPROMISSO]]-Tabela5[[#This Row],[ATINGIDO]]</f>
        <v>7196.03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9288.7000000000007</v>
      </c>
      <c r="Q13" s="2">
        <f t="shared" ref="Q13:Q17" si="1">O13-P13</f>
        <v>-9288.7000000000007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52</v>
      </c>
      <c r="W13" s="19">
        <f t="shared" si="0"/>
        <v>7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186453.93999999983</v>
      </c>
      <c r="E14" s="27">
        <f>Tabela13[[#This Row],[META A]]-Tabela13[[#This Row],[ATINGIDO]]</f>
        <v>86546.060000000172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1758.1500000000003</v>
      </c>
      <c r="K14" s="23">
        <f>Tabela5[[#This Row],[COMPROMISSO]]-Tabela5[[#This Row],[ATINGIDO]]</f>
        <v>2081.8499999999995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21</v>
      </c>
      <c r="W14" s="19">
        <f t="shared" si="0"/>
        <v>6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53021.480000000069</v>
      </c>
      <c r="E15" s="24">
        <f>Tabela13[[#This Row],[META A]]-Tabela13[[#This Row],[ATINGIDO]]</f>
        <v>24978.519999999931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12072.2</v>
      </c>
      <c r="K15" s="23">
        <f>Tabela5[[#This Row],[COMPROMISSO]]-Tabela5[[#This Row],[ATINGIDO]]</f>
        <v>2927.7999999999993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16606.490000000002</v>
      </c>
      <c r="Q15" s="2">
        <f t="shared" si="1"/>
        <v>-16606.490000000002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6971.079999999999</v>
      </c>
      <c r="K16" s="23">
        <f>Tabela5[[#This Row],[COMPROMISSO]]-Tabela5[[#This Row],[ATINGIDO]]</f>
        <v>2868.920000000001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36</v>
      </c>
      <c r="W16" s="19">
        <f t="shared" si="0"/>
        <v>3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271100.4800000001</v>
      </c>
      <c r="E17" s="24">
        <f>Tabela13[[#This Row],[META A]]-Tabela13[[#This Row],[ATINGIDO]]</f>
        <v>-101100.4800000001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2791.9200000000005</v>
      </c>
      <c r="K17" s="23">
        <f>Tabela5[[#This Row],[COMPROMISSO]]-Tabela5[[#This Row],[ATINGIDO]]</f>
        <v>2058.0799999999995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8325.48</v>
      </c>
      <c r="Q17" s="2">
        <f t="shared" si="1"/>
        <v>-8325.48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1714.3500000000001</v>
      </c>
      <c r="K18" s="23">
        <f>Tabela5[[#This Row],[COMPROMISSO]]-Tabela5[[#This Row],[ATINGIDO]]</f>
        <v>5125.6499999999996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43</v>
      </c>
      <c r="W18" s="19">
        <f t="shared" si="0"/>
        <v>2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5167.5699999999988</v>
      </c>
      <c r="K19" s="23">
        <f>Tabela5[[#This Row],[COMPROMISSO]]-Tabela5[[#This Row],[ATINGIDO]]</f>
        <v>1952.4300000000012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283519.83999999997</v>
      </c>
      <c r="E20" s="27">
        <f>Tabela13[[#This Row],[META A]]-Tabela13[[#This Row],[ATINGIDO]]</f>
        <v>276480.16000000003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11655.55</v>
      </c>
      <c r="K20" s="23">
        <f>Tabela5[[#This Row],[COMPROMISSO]]-Tabela5[[#This Row],[ATINGIDO]]</f>
        <v>3344.4500000000007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287660.6999999999</v>
      </c>
      <c r="E21" s="24">
        <f>Tabela13[[#This Row],[META A]]-Tabela13[[#This Row],[ATINGIDO]]</f>
        <v>127339.3000000001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1261.6000000000001</v>
      </c>
      <c r="K21" s="23">
        <f>Tabela5[[#This Row],[COMPROMISSO]]-Tabela5[[#This Row],[ATINGIDO]]</f>
        <v>3838.3999999999996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1483.75</v>
      </c>
      <c r="K22" s="23">
        <f>Tabela5[[#This Row],[COMPROMISSO]]-Tabela5[[#This Row],[ATINGIDO]]</f>
        <v>1836.25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139047.13499999966</v>
      </c>
      <c r="E23" s="24">
        <f>Tabela13[[#This Row],[META A]]-Tabela13[[#This Row],[ATINGIDO]]</f>
        <v>55952.86500000034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1257.3499999999999</v>
      </c>
      <c r="K23" s="23">
        <f>Tabela5[[#This Row],[COMPROMISSO]]-Tabela5[[#This Row],[ATINGIDO]]</f>
        <v>2752.65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97563.540000000081</v>
      </c>
      <c r="E24" s="27">
        <f>Tabela13[[#This Row],[META A]]-Tabela13[[#This Row],[ATINGIDO]]</f>
        <v>42436.459999999919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1007.7600000000001</v>
      </c>
      <c r="K24" s="23">
        <f>Tabela5[[#This Row],[COMPROMISSO]]-Tabela5[[#This Row],[ATINGIDO]]</f>
        <v>3692.24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649500.79999999981</v>
      </c>
      <c r="Q24" s="7">
        <f>O24-P24</f>
        <v>-30182.618181817932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86311.229999999792</v>
      </c>
      <c r="E25" s="24">
        <f>Tabela13[[#This Row],[META A]]-Tabela13[[#This Row],[ATINGIDO]]</f>
        <v>56188.770000000208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3393.64</v>
      </c>
      <c r="K25" s="23">
        <f>Tabela5[[#This Row],[COMPROMISSO]]-Tabela5[[#This Row],[ATINGIDO]]</f>
        <v>-703.63999999999987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38</v>
      </c>
      <c r="W25" s="19">
        <f t="shared" si="2"/>
        <v>13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51628.47000000011</v>
      </c>
      <c r="E26" s="27">
        <f>Tabela13[[#This Row],[META A]]-Tabela13[[#This Row],[ATINGIDO]]</f>
        <v>38371.52999999989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1620.8200000000004</v>
      </c>
      <c r="K26" s="23">
        <f>Tabela5[[#This Row],[COMPROMISSO]]-Tabela5[[#This Row],[ATINGIDO]]</f>
        <v>1909.1799999999996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177256.26999999961</v>
      </c>
      <c r="E27" s="24">
        <f>Tabela13[[#This Row],[META A]]-Tabela13[[#This Row],[ATINGIDO]]</f>
        <v>60243.730000000389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2773.0099999999998</v>
      </c>
      <c r="K27" s="23">
        <f>Tabela5[[#This Row],[COMPROMISSO]]-Tabela5[[#This Row],[ATINGIDO]]</f>
        <v>-103.00999999999976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244872.42999999935</v>
      </c>
      <c r="E28" s="27">
        <f>Tabela13[[#This Row],[META A]]-Tabela13[[#This Row],[ATINGIDO]]</f>
        <v>73627.570000000647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98334.649999999921</v>
      </c>
      <c r="E30" s="27">
        <f>Tabela13[[#This Row],[META A]]-Tabela13[[#This Row],[ATINGIDO]]</f>
        <v>36165.350000000079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123291.98999999996</v>
      </c>
      <c r="E31" s="24">
        <f>Tabela13[[#This Row],[META A]]-Tabela13[[#This Row],[ATINGIDO]]</f>
        <v>43708.010000000038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61735.030000000093</v>
      </c>
      <c r="E33" s="24">
        <f>Tabela13[[#This Row],[META A]]-Tabela13[[#This Row],[ATINGIDO]]</f>
        <v>38264.969999999907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699081.54000000213</v>
      </c>
      <c r="K33" s="7">
        <f t="shared" si="4"/>
        <v>-47831.540000002133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234</v>
      </c>
      <c r="W33" s="6">
        <f t="shared" si="3"/>
        <v>-61.727272727272748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31288.660000000022</v>
      </c>
      <c r="E34" s="27">
        <f>Tabela13[[#This Row],[META A]]-Tabela13[[#This Row],[ATINGIDO]]</f>
        <v>23711.339999999978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522144.92500000342</v>
      </c>
      <c r="K34" s="7">
        <f t="shared" si="4"/>
        <v>129105.07499999658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53852.61</v>
      </c>
      <c r="E35" s="24">
        <f>Tabela13[[#This Row],[META A]]-Tabela13[[#This Row],[ATINGIDO]]</f>
        <v>19147.39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1171899.6150000005</v>
      </c>
      <c r="E43" s="7">
        <f t="shared" si="5"/>
        <v>-520649.61500000046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2026-07-23T18:04:08Z</dcterms:modified>
</cp:coreProperties>
</file>