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A5EEB6F0-305D-42BD-A2BF-9BE27F3AE8CA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0" i="2" l="1" a="1"/>
  <c r="C40" i="2" s="1"/>
  <c r="C41" i="2" a="1"/>
  <c r="C41" i="2" s="1"/>
  <c r="C42" i="2" a="1"/>
  <c r="C42" i="2" s="1"/>
  <c r="C43" i="2" a="1"/>
  <c r="C43" i="2" s="1"/>
  <c r="C44" i="2" a="1"/>
  <c r="C44" i="2" s="1"/>
  <c r="C36" i="2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1" i="2"/>
  <c r="V30" i="2"/>
  <c r="V34" i="2"/>
  <c r="V32" i="2"/>
  <c r="V33" i="2"/>
  <c r="E36" i="2" l="1"/>
  <c r="Q11" i="2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D41" i="2"/>
  <c r="P25" i="2"/>
  <c r="J34" i="2"/>
  <c r="J33" i="2"/>
  <c r="P21" i="2"/>
  <c r="P22" i="2"/>
  <c r="D40" i="2"/>
  <c r="P24" i="2"/>
  <c r="J31" i="2"/>
  <c r="J32" i="2"/>
  <c r="D43" i="2"/>
  <c r="P23" i="2"/>
  <c r="D42" i="2"/>
  <c r="D44" i="2"/>
  <c r="J35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O22" i="2" l="1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O21" i="2" a="1"/>
  <c r="O21" i="2" s="1"/>
  <c r="Q21" i="2" s="1"/>
  <c r="I32" i="2" l="1" a="1"/>
  <c r="I32" i="2" s="1"/>
  <c r="K32" i="2" s="1"/>
  <c r="E41" i="2"/>
  <c r="E44" i="2"/>
  <c r="I35" i="2" a="1"/>
  <c r="I35" i="2" s="1"/>
  <c r="K35" i="2" s="1"/>
  <c r="I33" i="2" a="1"/>
  <c r="I33" i="2" s="1"/>
  <c r="K33" i="2" s="1"/>
  <c r="E42" i="2"/>
  <c r="I31" i="2" a="1"/>
  <c r="I31" i="2" s="1"/>
  <c r="K31" i="2" s="1"/>
  <c r="E40" i="2"/>
  <c r="I34" i="2" a="1"/>
  <c r="I34" i="2" s="1"/>
  <c r="K34" i="2" s="1"/>
  <c r="E43" i="2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24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<sst xmlns="http://schemas.openxmlformats.org/spreadsheetml/2006/main" count="215" uniqueCount="54">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</sst>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24/07/2026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42903.809999999976</v>
          </cell>
          <cell r="H5" t="str">
            <v>CAMPINAS</v>
          </cell>
          <cell r="I5">
            <v>884.42</v>
          </cell>
        </row>
        <row r="6">
          <cell r="E6" t="str">
            <v>CENTRO</v>
          </cell>
          <cell r="F6">
            <v>278485.97999999946</v>
          </cell>
          <cell r="H6" t="str">
            <v>CENTRO</v>
          </cell>
          <cell r="I6">
            <v>4404.8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H7" t="str">
            <v>INDAIATUBA</v>
          </cell>
          <cell r="I7">
            <v>775.06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151.09</v>
          </cell>
          <cell r="H8" t="str">
            <v>INTERLAGOS</v>
          </cell>
          <cell r="I8">
            <v>5581.5</v>
          </cell>
          <cell r="K8" t="str">
            <v>CAMPINAS</v>
          </cell>
          <cell r="N8">
            <v>27</v>
          </cell>
        </row>
        <row r="9">
          <cell r="E9" t="str">
            <v>INDAIATUBA</v>
          </cell>
          <cell r="F9">
            <v>53339.22</v>
          </cell>
          <cell r="H9" t="str">
            <v>JUNDIAI</v>
          </cell>
          <cell r="I9">
            <v>2832.4400000000005</v>
          </cell>
          <cell r="K9" t="str">
            <v>CENTRO</v>
          </cell>
          <cell r="N9">
            <v>46</v>
          </cell>
        </row>
        <row r="10">
          <cell r="E10" t="str">
            <v>INTERLAGOS</v>
          </cell>
          <cell r="F10">
            <v>193521.23999999982</v>
          </cell>
          <cell r="H10" t="str">
            <v>KEY SJC</v>
          </cell>
          <cell r="I10">
            <v>12919.2</v>
          </cell>
          <cell r="K10" t="str">
            <v>INDAIATUBA</v>
          </cell>
          <cell r="N10">
            <v>36</v>
          </cell>
        </row>
        <row r="11">
          <cell r="E11" t="str">
            <v>JUNDIAI</v>
          </cell>
          <cell r="F11">
            <v>55853.920000000086</v>
          </cell>
          <cell r="H11" t="str">
            <v>KEY ZL</v>
          </cell>
          <cell r="I11">
            <v>29347.600000000002</v>
          </cell>
          <cell r="K11" t="str">
            <v>INTERLAGOS</v>
          </cell>
          <cell r="N11">
            <v>54</v>
          </cell>
        </row>
        <row r="12">
          <cell r="E12" t="str">
            <v>KEY ABC</v>
          </cell>
          <cell r="F12">
            <v>258976.11999999991</v>
          </cell>
          <cell r="H12" t="str">
            <v>LESTE</v>
          </cell>
          <cell r="I12">
            <v>3606.7500000000005</v>
          </cell>
          <cell r="K12" t="str">
            <v>JUNDIAI</v>
          </cell>
          <cell r="N12">
            <v>22</v>
          </cell>
        </row>
        <row r="13">
          <cell r="E13" t="str">
            <v>KEY CASA</v>
          </cell>
          <cell r="F13">
            <v>266593.28000000014</v>
          </cell>
          <cell r="H13" t="str">
            <v>LESTE MOOCA</v>
          </cell>
          <cell r="I13">
            <v>5307.0499999999993</v>
          </cell>
          <cell r="K13" t="str">
            <v>LESTE</v>
          </cell>
          <cell r="N13">
            <v>31</v>
          </cell>
        </row>
        <row r="14">
          <cell r="E14" t="str">
            <v>KEY INTERIOR</v>
          </cell>
          <cell r="F14">
            <v>851393.40000000026</v>
          </cell>
          <cell r="H14" t="str">
            <v>LESTE PENHA</v>
          </cell>
          <cell r="I14">
            <v>1200.1400000000001</v>
          </cell>
          <cell r="K14" t="str">
            <v>LESTE MOOCA</v>
          </cell>
          <cell r="N14">
            <v>51</v>
          </cell>
        </row>
        <row r="15">
          <cell r="E15" t="str">
            <v>KEY PIRACICABA</v>
          </cell>
          <cell r="F15">
            <v>105736.07999999997</v>
          </cell>
          <cell r="H15" t="str">
            <v>LESTE TATUAPE</v>
          </cell>
          <cell r="I15">
            <v>4706.8999999999996</v>
          </cell>
          <cell r="K15" t="str">
            <v>LESTE PENHA</v>
          </cell>
          <cell r="N15">
            <v>27</v>
          </cell>
        </row>
        <row r="16">
          <cell r="E16" t="str">
            <v>KEY SJC</v>
          </cell>
          <cell r="F16">
            <v>127140.10000000006</v>
          </cell>
          <cell r="H16" t="str">
            <v>MOGI</v>
          </cell>
          <cell r="I16">
            <v>1672.7400000000002</v>
          </cell>
          <cell r="K16" t="str">
            <v>LESTE TATUAPE</v>
          </cell>
          <cell r="N16">
            <v>42</v>
          </cell>
        </row>
        <row r="17">
          <cell r="E17" t="str">
            <v>KEY SP</v>
          </cell>
          <cell r="F17">
            <v>286852.53999999992</v>
          </cell>
          <cell r="H17" t="str">
            <v>NORTE</v>
          </cell>
          <cell r="I17">
            <v>5653.79</v>
          </cell>
          <cell r="K17" t="str">
            <v>MOGI</v>
          </cell>
          <cell r="N17">
            <v>38</v>
          </cell>
        </row>
        <row r="18">
          <cell r="E18" t="str">
            <v>KEY ZL</v>
          </cell>
          <cell r="F18">
            <v>317008.29999999987</v>
          </cell>
          <cell r="H18" t="str">
            <v>OSASCO</v>
          </cell>
          <cell r="I18">
            <v>4755.5599999999995</v>
          </cell>
          <cell r="K18" t="str">
            <v>NORTE</v>
          </cell>
          <cell r="N18">
            <v>45</v>
          </cell>
        </row>
        <row r="19">
          <cell r="E19" t="str">
            <v>LESTE</v>
          </cell>
          <cell r="F19">
            <v>77785.479999999952</v>
          </cell>
          <cell r="H19" t="str">
            <v>PIRITUBA</v>
          </cell>
          <cell r="I19">
            <v>2438.7000000000003</v>
          </cell>
          <cell r="K19" t="str">
            <v>OSASCO</v>
          </cell>
          <cell r="N19">
            <v>61</v>
          </cell>
        </row>
        <row r="20">
          <cell r="E20" t="str">
            <v>LESTE MOOCA</v>
          </cell>
          <cell r="F20">
            <v>144901.16499999957</v>
          </cell>
          <cell r="H20" t="str">
            <v>SANTO ANDRE</v>
          </cell>
          <cell r="I20">
            <v>895.53</v>
          </cell>
          <cell r="K20" t="str">
            <v>PIRITUBA</v>
          </cell>
          <cell r="N20">
            <v>27</v>
          </cell>
        </row>
        <row r="21">
          <cell r="E21" t="str">
            <v>LESTE PENHA</v>
          </cell>
          <cell r="F21">
            <v>98763.680000000051</v>
          </cell>
          <cell r="H21" t="str">
            <v>SBC</v>
          </cell>
          <cell r="I21">
            <v>2447.06</v>
          </cell>
          <cell r="K21" t="str">
            <v>SANTO ANDRE</v>
          </cell>
          <cell r="N21">
            <v>28</v>
          </cell>
        </row>
        <row r="22">
          <cell r="E22" t="str">
            <v>LESTE TATUAPE</v>
          </cell>
          <cell r="F22">
            <v>91018.129999999757</v>
          </cell>
          <cell r="H22" t="str">
            <v>SJC</v>
          </cell>
          <cell r="I22">
            <v>442.8</v>
          </cell>
          <cell r="K22" t="str">
            <v>SBC</v>
          </cell>
          <cell r="N22">
            <v>37</v>
          </cell>
        </row>
        <row r="23">
          <cell r="E23" t="str">
            <v>MOGI</v>
          </cell>
          <cell r="F23">
            <v>53231.210000000116</v>
          </cell>
          <cell r="H23" t="str">
            <v>SJC/VALE</v>
          </cell>
          <cell r="I23">
            <v>1668.38</v>
          </cell>
          <cell r="K23" t="str">
            <v>SJC</v>
          </cell>
          <cell r="N23">
            <v>22</v>
          </cell>
        </row>
        <row r="24">
          <cell r="E24" t="str">
            <v>NORTE</v>
          </cell>
          <cell r="F24">
            <v>182910.05999999956</v>
          </cell>
          <cell r="H24" t="str">
            <v>VENDEDOR INTERNO 1</v>
          </cell>
          <cell r="I24">
            <v>3475.8700000000003</v>
          </cell>
          <cell r="K24" t="str">
            <v>SJC/VALE</v>
          </cell>
          <cell r="N24">
            <v>26</v>
          </cell>
        </row>
        <row r="25">
          <cell r="E25" t="str">
            <v>OSASCO</v>
          </cell>
          <cell r="F25">
            <v>249627.98999999935</v>
          </cell>
          <cell r="H25" t="str">
            <v>Total Geral</v>
          </cell>
          <cell r="I25">
            <v>95016.290000000023</v>
          </cell>
          <cell r="K25" t="str">
            <v>Total Geral</v>
          </cell>
          <cell r="N25">
            <v>620</v>
          </cell>
        </row>
        <row r="26">
          <cell r="E26" t="str">
            <v>PIRITUBA</v>
          </cell>
          <cell r="F26">
            <v>100773.34999999992</v>
          </cell>
        </row>
        <row r="27">
          <cell r="E27" t="str">
            <v>SANTO ANDRE</v>
          </cell>
          <cell r="F27">
            <v>124187.51999999995</v>
          </cell>
        </row>
        <row r="28">
          <cell r="E28" t="str">
            <v>SBC</v>
          </cell>
          <cell r="F28">
            <v>187761.95999999973</v>
          </cell>
        </row>
        <row r="29">
          <cell r="E29" t="str">
            <v>SJC</v>
          </cell>
          <cell r="F29">
            <v>62177.830000000089</v>
          </cell>
        </row>
        <row r="30">
          <cell r="E30" t="str">
            <v>SJC/VALE</v>
          </cell>
          <cell r="F30">
            <v>33544.440000000017</v>
          </cell>
        </row>
        <row r="31">
          <cell r="E31" t="str">
            <v>VENDEDOR INTERNO 1</v>
          </cell>
          <cell r="F31">
            <v>57328.48000000001</v>
          </cell>
        </row>
        <row r="32">
          <cell r="E32" t="str">
            <v>Total Geral</v>
          </cell>
          <cell r="F32">
            <v>4303049.2049999395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5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zoomScaleNormal="100" workbookViewId="0">
      <selection activeCell="D5" sqref="D5"/>
    </sheetView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130000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4303049.2049999991</v>
      </c>
      <c r="D5" s="2"/>
      <c r="E5" s="4"/>
      <c r="F5" s="4"/>
      <c r="G5" s="4"/>
      <c r="H5" s="4" t="s">
        <v>1</v>
      </c>
      <c r="I5" s="7">
        <f>SUM(J10:J27)</f>
        <v>52749.49</v>
      </c>
      <c r="J5" s="4"/>
      <c r="K5" s="4"/>
      <c r="L5" s="4"/>
      <c r="M5" s="4"/>
      <c r="N5" s="4" t="s">
        <v>1</v>
      </c>
      <c r="O5" s="7">
        <f>SUM(P11:P17)</f>
        <v>42266.8</v>
      </c>
      <c r="P5" s="4"/>
      <c r="Q5" s="4"/>
      <c r="R5" s="4"/>
      <c r="S5" s="4"/>
      <c r="T5" s="4" t="s">
        <v>1</v>
      </c>
      <c r="U5" s="4">
        <f>SUM(V10:V26)</f>
        <v>620</v>
      </c>
      <c r="V5" s="4"/>
      <c r="W5" s="4"/>
    </row>
    <row r="6" spans="1:23" x14ac:dyDescent="0.25">
      <c r="A6" s="4"/>
      <c r="B6" s="4" t="s">
        <v>2</v>
      </c>
      <c r="C6" s="2">
        <f>C4-C5</f>
        <v>1289450.7950000009</v>
      </c>
      <c r="D6" s="2"/>
      <c r="E6" s="4"/>
      <c r="F6" s="4"/>
      <c r="G6" s="4"/>
      <c r="H6" s="4" t="s">
        <v>2</v>
      </c>
      <c r="I6" s="7">
        <f>I4-I5</f>
        <v>77250.510000000009</v>
      </c>
      <c r="J6" s="4"/>
      <c r="K6" s="4"/>
      <c r="L6" s="4"/>
      <c r="M6" s="4"/>
      <c r="N6" s="4" t="s">
        <v>2</v>
      </c>
      <c r="O6" s="7">
        <f>O4-O5</f>
        <v>-42266.8</v>
      </c>
      <c r="P6" s="4"/>
      <c r="Q6" s="4"/>
      <c r="R6" s="4"/>
      <c r="S6" s="4"/>
      <c r="T6" s="4" t="s">
        <v>2</v>
      </c>
      <c r="U6" s="4">
        <f>U4-U5</f>
        <v>138</v>
      </c>
      <c r="V6" s="4"/>
      <c r="W6" s="4"/>
    </row>
    <row r="7" spans="1:23" x14ac:dyDescent="0.25">
      <c r="A7" s="4"/>
      <c r="B7" s="4" t="s">
        <v>3</v>
      </c>
      <c r="C7" s="3">
        <f>1-(C6/C4)</f>
        <v>0.76943213321412585</v>
      </c>
      <c r="D7" s="2"/>
      <c r="E7" s="4"/>
      <c r="F7" s="4"/>
      <c r="G7" s="4"/>
      <c r="H7" s="4" t="s">
        <v>3</v>
      </c>
      <c r="I7" s="3">
        <f>1-(I6/I4)</f>
        <v>0.40576530769230768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0.81794195250659629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42903.809999999976</v>
      </c>
      <c r="E10" s="27">
        <f>Tabela13[[#This Row],[META A]]-Tabela13[[#This Row],[ATINGIDO]]</f>
        <v>21596.190000000024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12090</v>
      </c>
      <c r="J10" s="22">
        <f>_xlfn.XLOOKUP(Tabela5[[#This Row],[VENDEDOR]],'[1]BASE PYTHON'!$H:$H,'[1]BASE PYTHON'!$I:$I,0)</f>
        <v>4755.5599999999995</v>
      </c>
      <c r="K10" s="23">
        <f>Tabela5[[#This Row],[COMPROMISSO]]-Tabela5[[#This Row],[ATINGIDO]]</f>
        <v>7334.4400000000005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27</v>
      </c>
      <c r="W10" s="19">
        <f>U10-V10</f>
        <v>9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278485.97999999946</v>
      </c>
      <c r="E11" s="24">
        <f>Tabela13[[#This Row],[META A]]-Tabela13[[#This Row],[ATINGIDO]]</f>
        <v>46514.020000000542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11000</v>
      </c>
      <c r="J11" s="22">
        <f>_xlfn.XLOOKUP(Tabela5[[#This Row],[VENDEDOR]],'[1]BASE PYTHON'!$H:$H,'[1]BASE PYTHON'!$I:$I,0)</f>
        <v>5653.79</v>
      </c>
      <c r="K11" s="23">
        <f>Tabela5[[#This Row],[COMPROMISSO]]-Tabela5[[#This Row],[ATINGIDO]]</f>
        <v>5346.21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0</v>
      </c>
      <c r="Q11" s="2">
        <f>O11-P11</f>
        <v>0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46</v>
      </c>
      <c r="W11" s="19">
        <f t="shared" ref="W11:W20" si="0">U11-V11</f>
        <v>6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151.09</v>
      </c>
      <c r="E12" s="27">
        <f>Tabela13[[#This Row],[META A]]-Tabela13[[#This Row],[ATINGIDO]]</f>
        <v>848.91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5400</v>
      </c>
      <c r="J12" s="22">
        <f>_xlfn.XLOOKUP(Tabela5[[#This Row],[VENDEDOR]],'[1]BASE PYTHON'!$H:$H,'[1]BASE PYTHON'!$I:$I,0)</f>
        <v>2438.7000000000003</v>
      </c>
      <c r="K12" s="23">
        <f>Tabela5[[#This Row],[COMPROMISSO]]-Tabela5[[#This Row],[ATINGIDO]]</f>
        <v>2961.2999999999997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0</v>
      </c>
      <c r="Q12" s="2">
        <f>O12-P12</f>
        <v>0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36</v>
      </c>
      <c r="W12" s="19">
        <f t="shared" si="0"/>
        <v>5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53339.22</v>
      </c>
      <c r="E13" s="24">
        <f>Tabela13[[#This Row],[META A]]-Tabela13[[#This Row],[ATINGIDO]]</f>
        <v>36660.78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13000</v>
      </c>
      <c r="J13" s="22">
        <f>_xlfn.XLOOKUP(Tabela5[[#This Row],[VENDEDOR]],'[1]BASE PYTHON'!$H:$H,'[1]BASE PYTHON'!$I:$I,0)</f>
        <v>2447.06</v>
      </c>
      <c r="K13" s="23">
        <f>Tabela5[[#This Row],[COMPROMISSO]]-Tabela5[[#This Row],[ATINGIDO]]</f>
        <v>10552.94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29347.600000000002</v>
      </c>
      <c r="Q13" s="2">
        <f t="shared" ref="Q13:Q17" si="1">O13-P13</f>
        <v>-29347.600000000002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54</v>
      </c>
      <c r="W13" s="19">
        <f t="shared" si="0"/>
        <v>5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193521.23999999982</v>
      </c>
      <c r="E14" s="27">
        <f>Tabela13[[#This Row],[META A]]-Tabela13[[#This Row],[ATINGIDO]]</f>
        <v>79478.760000000184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3840</v>
      </c>
      <c r="J14" s="22">
        <f>_xlfn.XLOOKUP(Tabela5[[#This Row],[VENDEDOR]],'[1]BASE PYTHON'!$H:$H,'[1]BASE PYTHON'!$I:$I,0)</f>
        <v>4706.8999999999996</v>
      </c>
      <c r="K14" s="23">
        <f>Tabela5[[#This Row],[COMPROMISSO]]-Tabela5[[#This Row],[ATINGIDO]]</f>
        <v>-866.89999999999964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0</v>
      </c>
      <c r="Q14" s="2">
        <f t="shared" si="1"/>
        <v>0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22</v>
      </c>
      <c r="W14" s="19">
        <f t="shared" si="0"/>
        <v>5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55853.920000000086</v>
      </c>
      <c r="E15" s="24">
        <f>Tabela13[[#This Row],[META A]]-Tabela13[[#This Row],[ATINGIDO]]</f>
        <v>22146.079999999914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15000</v>
      </c>
      <c r="J15" s="22">
        <f>_xlfn.XLOOKUP(Tabela5[[#This Row],[VENDEDOR]],'[1]BASE PYTHON'!$H:$H,'[1]BASE PYTHON'!$I:$I,0)</f>
        <v>4404.8</v>
      </c>
      <c r="K15" s="23">
        <f>Tabela5[[#This Row],[COMPROMISSO]]-Tabela5[[#This Row],[ATINGIDO]]</f>
        <v>10595.2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0</v>
      </c>
      <c r="Q15" s="2">
        <f t="shared" si="1"/>
        <v>0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31</v>
      </c>
      <c r="W15" s="19">
        <f>U15-V15</f>
        <v>17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258976.11999999991</v>
      </c>
      <c r="E16" s="27">
        <f>Tabela13[[#This Row],[META A]]-Tabela13[[#This Row],[ATINGIDO]]</f>
        <v>66023.880000000092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9840</v>
      </c>
      <c r="J16" s="22">
        <f>_xlfn.XLOOKUP(Tabela5[[#This Row],[VENDEDOR]],'[1]BASE PYTHON'!$H:$H,'[1]BASE PYTHON'!$I:$I,0)</f>
        <v>895.53</v>
      </c>
      <c r="K16" s="23">
        <f>Tabela5[[#This Row],[COMPROMISSO]]-Tabela5[[#This Row],[ATINGIDO]]</f>
        <v>8944.4699999999993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12919.2</v>
      </c>
      <c r="Q16" s="2">
        <f t="shared" si="1"/>
        <v>-12919.2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38</v>
      </c>
      <c r="W16" s="19">
        <f t="shared" si="0"/>
        <v>1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266593.28000000014</v>
      </c>
      <c r="E17" s="24">
        <f>Tabela13[[#This Row],[META A]]-Tabela13[[#This Row],[ATINGIDO]]</f>
        <v>-96593.280000000144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4850</v>
      </c>
      <c r="J17" s="22">
        <f>_xlfn.XLOOKUP(Tabela5[[#This Row],[VENDEDOR]],'[1]BASE PYTHON'!$H:$H,'[1]BASE PYTHON'!$I:$I,0)</f>
        <v>1672.7400000000002</v>
      </c>
      <c r="K17" s="23">
        <f>Tabela5[[#This Row],[COMPROMISSO]]-Tabela5[[#This Row],[ATINGIDO]]</f>
        <v>3177.2599999999998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0</v>
      </c>
      <c r="Q17" s="2">
        <f t="shared" si="1"/>
        <v>0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51</v>
      </c>
      <c r="W17" s="19">
        <f t="shared" si="0"/>
        <v>-2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851393.40000000026</v>
      </c>
      <c r="E18" s="27">
        <f>Tabela13[[#This Row],[META A]]-Tabela13[[#This Row],[ATINGIDO]]</f>
        <v>98606.599999999744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6840</v>
      </c>
      <c r="J18" s="22">
        <f>_xlfn.XLOOKUP(Tabela5[[#This Row],[VENDEDOR]],'[1]BASE PYTHON'!$H:$H,'[1]BASE PYTHON'!$I:$I,0)</f>
        <v>3606.7500000000005</v>
      </c>
      <c r="K18" s="23">
        <f>Tabela5[[#This Row],[COMPROMISSO]]-Tabela5[[#This Row],[ATINGIDO]]</f>
        <v>3233.2499999999995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45</v>
      </c>
      <c r="W18" s="19">
        <f t="shared" si="0"/>
        <v>0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127140.10000000006</v>
      </c>
      <c r="E19" s="24">
        <f>Tabela13[[#This Row],[META A]]-Tabela13[[#This Row],[ATINGIDO]]</f>
        <v>2859.899999999936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7120</v>
      </c>
      <c r="J19" s="22">
        <f>_xlfn.XLOOKUP(Tabela5[[#This Row],[VENDEDOR]],'[1]BASE PYTHON'!$H:$H,'[1]BASE PYTHON'!$I:$I,0)</f>
        <v>5307.0499999999993</v>
      </c>
      <c r="K19" s="23">
        <f>Tabela5[[#This Row],[COMPROMISSO]]-Tabela5[[#This Row],[ATINGIDO]]</f>
        <v>1812.9500000000007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61</v>
      </c>
      <c r="W19" s="19">
        <f t="shared" si="0"/>
        <v>0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286852.53999999992</v>
      </c>
      <c r="E20" s="27">
        <f>Tabela13[[#This Row],[META A]]-Tabela13[[#This Row],[ATINGIDO]]</f>
        <v>273147.46000000008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15000</v>
      </c>
      <c r="J20" s="22">
        <f>_xlfn.XLOOKUP(Tabela5[[#This Row],[VENDEDOR]],'[1]BASE PYTHON'!$H:$H,'[1]BASE PYTHON'!$I:$I,0)</f>
        <v>5581.5</v>
      </c>
      <c r="K20" s="23">
        <f>Tabela5[[#This Row],[COMPROMISSO]]-Tabela5[[#This Row],[ATINGIDO]]</f>
        <v>9418.5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27</v>
      </c>
      <c r="W20" s="19">
        <f t="shared" si="0"/>
        <v>12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317008.29999999987</v>
      </c>
      <c r="E21" s="24">
        <f>Tabela13[[#This Row],[META A]]-Tabela13[[#This Row],[ATINGIDO]]</f>
        <v>97991.700000000128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5100</v>
      </c>
      <c r="J21" s="22">
        <f>_xlfn.XLOOKUP(Tabela5[[#This Row],[VENDEDOR]],'[1]BASE PYTHON'!$H:$H,'[1]BASE PYTHON'!$I:$I,0)</f>
        <v>2832.4400000000005</v>
      </c>
      <c r="K21" s="23">
        <f>Tabela5[[#This Row],[COMPROMISSO]]-Tabela5[[#This Row],[ATINGIDO]]</f>
        <v>2267.5599999999995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275241.61999999988</v>
      </c>
      <c r="Q21" s="7">
        <f>O21-P21</f>
        <v>96349.289090909238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27</v>
      </c>
      <c r="W21" s="19">
        <f t="shared" ref="W21:W26" si="2">U21-V21</f>
        <v>17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77785.479999999952</v>
      </c>
      <c r="E22" s="27">
        <f>Tabela13[[#This Row],[META A]]-Tabela13[[#This Row],[ATINGIDO]]</f>
        <v>44214.520000000048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3320</v>
      </c>
      <c r="J22" s="22">
        <f>_xlfn.XLOOKUP(Tabela5[[#This Row],[VENDEDOR]],'[1]BASE PYTHON'!$H:$H,'[1]BASE PYTHON'!$I:$I,0)</f>
        <v>1200.1400000000001</v>
      </c>
      <c r="K22" s="23">
        <f>Tabela5[[#This Row],[COMPROMISSO]]-Tabela5[[#This Row],[ATINGIDO]]</f>
        <v>2119.8599999999997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563167.95000000042</v>
      </c>
      <c r="Q22" s="7">
        <f>O22-P22</f>
        <v>-67713.404545454949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28</v>
      </c>
      <c r="W22" s="19">
        <f t="shared" si="2"/>
        <v>12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144901.16499999957</v>
      </c>
      <c r="E23" s="24">
        <f>Tabela13[[#This Row],[META A]]-Tabela13[[#This Row],[ATINGIDO]]</f>
        <v>50098.835000000428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4010</v>
      </c>
      <c r="J23" s="22">
        <f>_xlfn.XLOOKUP(Tabela5[[#This Row],[VENDEDOR]],'[1]BASE PYTHON'!$H:$H,'[1]BASE PYTHON'!$I:$I,0)</f>
        <v>775.06</v>
      </c>
      <c r="K23" s="23">
        <f>Tabela5[[#This Row],[COMPROMISSO]]-Tabela5[[#This Row],[ATINGIDO]]</f>
        <v>3234.94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684697.14999999932</v>
      </c>
      <c r="Q23" s="7">
        <f>O23-P23</f>
        <v>-65378.968181817443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37</v>
      </c>
      <c r="W23" s="19">
        <f t="shared" si="2"/>
        <v>18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98763.680000000051</v>
      </c>
      <c r="E24" s="27">
        <f>Tabela13[[#This Row],[META A]]-Tabela13[[#This Row],[ATINGIDO]]</f>
        <v>41236.319999999949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4700</v>
      </c>
      <c r="J24" s="22">
        <f>_xlfn.XLOOKUP(Tabela5[[#This Row],[VENDEDOR]],'[1]BASE PYTHON'!$H:$H,'[1]BASE PYTHON'!$I:$I,0)</f>
        <v>3475.8700000000003</v>
      </c>
      <c r="K24" s="23">
        <f>Tabela5[[#This Row],[COMPROMISSO]]-Tabela5[[#This Row],[ATINGIDO]]</f>
        <v>1224.1299999999997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690593.09999999986</v>
      </c>
      <c r="Q24" s="7">
        <f>O24-P24</f>
        <v>-71274.918181817979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22</v>
      </c>
      <c r="W24" s="19">
        <f t="shared" si="2"/>
        <v>15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91018.129999999757</v>
      </c>
      <c r="E25" s="24">
        <f>Tabela13[[#This Row],[META A]]-Tabela13[[#This Row],[ATINGIDO]]</f>
        <v>51481.870000000243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2690</v>
      </c>
      <c r="J25" s="22">
        <f>_xlfn.XLOOKUP(Tabela5[[#This Row],[VENDEDOR]],'[1]BASE PYTHON'!$H:$H,'[1]BASE PYTHON'!$I:$I,0)</f>
        <v>442.8</v>
      </c>
      <c r="K25" s="23">
        <f>Tabela5[[#This Row],[COMPROMISSO]]-Tabela5[[#This Row],[ATINGIDO]]</f>
        <v>2247.1999999999998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0</v>
      </c>
      <c r="Q25" s="7">
        <f>O25-P25</f>
        <v>619318.18181818188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42</v>
      </c>
      <c r="W25" s="19">
        <f t="shared" si="2"/>
        <v>9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53231.210000000116</v>
      </c>
      <c r="E26" s="27">
        <f>Tabela13[[#This Row],[META A]]-Tabela13[[#This Row],[ATINGIDO]]</f>
        <v>36768.789999999884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3530</v>
      </c>
      <c r="J26" s="22">
        <f>_xlfn.XLOOKUP(Tabela5[[#This Row],[VENDEDOR]],'[1]BASE PYTHON'!$H:$H,'[1]BASE PYTHON'!$I:$I,0)</f>
        <v>1668.38</v>
      </c>
      <c r="K26" s="23">
        <f>Tabela5[[#This Row],[COMPROMISSO]]-Tabela5[[#This Row],[ATINGIDO]]</f>
        <v>1861.62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26</v>
      </c>
      <c r="W26" s="19">
        <f t="shared" si="2"/>
        <v>9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182910.05999999956</v>
      </c>
      <c r="E27" s="24">
        <f>Tabela13[[#This Row],[META A]]-Tabela13[[#This Row],[ATINGIDO]]</f>
        <v>54589.940000000439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2670</v>
      </c>
      <c r="J27" s="22">
        <f>_xlfn.XLOOKUP(Tabela5[[#This Row],[VENDEDOR]],'[1]BASE PYTHON'!$H:$H,'[1]BASE PYTHON'!$I:$I,0)</f>
        <v>884.42</v>
      </c>
      <c r="K27" s="23">
        <f>Tabela5[[#This Row],[COMPROMISSO]]-Tabela5[[#This Row],[ATINGIDO]]</f>
        <v>1785.58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249627.98999999935</v>
      </c>
      <c r="E28" s="27">
        <f>Tabela13[[#This Row],[META A]]-Tabela13[[#This Row],[ATINGIDO]]</f>
        <v>68872.01000000065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105736.07999999997</v>
      </c>
      <c r="E29" s="24">
        <f>Tabela13[[#This Row],[META A]]-Tabela13[[#This Row],[ATINGIDO]]</f>
        <v>69263.920000000027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100773.34999999992</v>
      </c>
      <c r="E30" s="27">
        <f>Tabela13[[#This Row],[META A]]-Tabela13[[#This Row],[ATINGIDO]]</f>
        <v>33726.650000000081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119</v>
      </c>
      <c r="W30" s="6">
        <f>U30-V30</f>
        <v>-15.63636363636364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124187.51999999995</v>
      </c>
      <c r="E31" s="24">
        <f>Tabela13[[#This Row],[META A]]-Tabela13[[#This Row],[ATINGIDO]]</f>
        <v>42812.480000000054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270334.04000000004</v>
      </c>
      <c r="K31" s="7">
        <f>I31-J31</f>
        <v>120415.95999999996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214</v>
      </c>
      <c r="W31" s="6">
        <f t="shared" ref="W31:W33" si="3">U31-V31</f>
        <v>-76.181818181818187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187761.95999999973</v>
      </c>
      <c r="E32" s="27">
        <f>Tabela13[[#This Row],[META A]]-Tabela13[[#This Row],[ATINGIDO]]</f>
        <v>72238.04000000027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539962.59000000334</v>
      </c>
      <c r="K32" s="7">
        <f t="shared" ref="K32:K34" si="4">I32-J32</f>
        <v>-18962.590000003343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294</v>
      </c>
      <c r="W32" s="6">
        <f t="shared" si="3"/>
        <v>-121.72727272727275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62177.830000000089</v>
      </c>
      <c r="E33" s="24">
        <f>Tabela13[[#This Row],[META A]]-Tabela13[[#This Row],[ATINGIDO]]</f>
        <v>37822.169999999911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699011.54000000225</v>
      </c>
      <c r="K33" s="7">
        <f t="shared" si="4"/>
        <v>-47761.540000002249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268</v>
      </c>
      <c r="W33" s="6">
        <f t="shared" si="3"/>
        <v>-95.727272727272748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33544.440000000017</v>
      </c>
      <c r="E34" s="27">
        <f>Tabela13[[#This Row],[META A]]-Tabela13[[#This Row],[ATINGIDO]]</f>
        <v>21455.559999999983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578807.2950000047</v>
      </c>
      <c r="K34" s="7">
        <f t="shared" si="4"/>
        <v>72442.704999995301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172.27272727272725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57328.48000000001</v>
      </c>
      <c r="E35" s="24">
        <f>Tabela13[[#This Row],[META A]]-Tabela13[[#This Row],[ATINGIDO]]</f>
        <v>15671.51999999999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0</v>
      </c>
      <c r="K35" s="7">
        <f>I35-J35</f>
        <v>651250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Row],[SEMANAL]],[1]!Tabela7[[#All],[Coluna1]],[1]!Tabela7[[#All],[Coluna2]])</f>
        <v>762477.27272727271</v>
      </c>
      <c r="D40" s="2">
        <f>IFERROR(GETPIVOTDATA("[Measures].[Soma de TOTAL 3]",'[1]BASE PYTHON'!$P$47,"[Intervalo 2].[SEMANA]","[Intervalo 2].[SEMANA].&amp;[1]"),0)</f>
        <v>545683.80000000156</v>
      </c>
      <c r="E40" s="7">
        <f>C40-D40</f>
        <v>216793.47272727115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Row],[SEMANAL]],[1]!Tabela7[[#All],[Coluna1]],[1]!Tabela7[[#All],[Coluna2]])</f>
        <v>1016636.3636363636</v>
      </c>
      <c r="D41" s="2">
        <f>IFERROR(GETPIVOTDATA("[Measures].[Soma de TOTAL 3]",'[1]BASE PYTHON'!$P$47,"[Intervalo 2].[SEMANA]","[Intervalo 2].[SEMANA].&amp;[2]"),0)</f>
        <v>1103560.1899999958</v>
      </c>
      <c r="E41" s="7">
        <f t="shared" ref="E41:E43" si="5">C41-D41</f>
        <v>-86923.826363632106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Row],[SEMANAL]],[1]!Tabela7[[#All],[Coluna1]],[1]!Tabela7[[#All],[Coluna2]])</f>
        <v>1270795.4545454546</v>
      </c>
      <c r="D42" s="2">
        <f>IFERROR(GETPIVOTDATA("[Measures].[Soma de TOTAL 3]",'[1]BASE PYTHON'!$P$47,"[Intervalo 2].[SEMANA]","[Intervalo 2].[SEMANA].&amp;[3]"),0)</f>
        <v>1384150.9299999916</v>
      </c>
      <c r="E42" s="7">
        <f t="shared" si="5"/>
        <v>-113355.47545453697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Row],[SEMANAL]],[1]!Tabela7[[#All],[Coluna1]],[1]!Tabela7[[#All],[Coluna2]])</f>
        <v>1270795.4545454546</v>
      </c>
      <c r="D43" s="2">
        <f>IFERROR(GETPIVOTDATA("[Measures].[Soma de TOTAL 3]",'[1]BASE PYTHON'!$P$47,"[Intervalo 2].[SEMANA]","[Intervalo 2].[SEMANA].&amp;[4]"),0)</f>
        <v>1269654.2849999943</v>
      </c>
      <c r="E43" s="7">
        <f t="shared" si="5"/>
        <v>1141.1695454602595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Row],[SEMANAL]],[1]!Tabela7[[#All],[Coluna1]],[1]!Tabela7[[#All],[Coluna2]])</f>
        <v>1270795.4545454546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6">C44-D44</f>
        <v>1270795.4545454546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2026-07-24T17:14:36Z</dcterms:modified>
</cp:coreProperties>
</file>