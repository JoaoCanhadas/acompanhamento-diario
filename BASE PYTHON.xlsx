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DF28961-6D00-4A4B-A4EE-E25DF7D606C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4" i="2"/>
  <c r="V31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3" i="2"/>
  <c r="D44" i="2"/>
  <c r="J35" i="2"/>
  <c r="P22" i="2"/>
  <c r="J32" i="2"/>
  <c r="D40" i="2"/>
  <c r="J31" i="2"/>
  <c r="J34" i="2"/>
  <c r="P23" i="2"/>
  <c r="P25" i="2"/>
  <c r="D43" i="2"/>
  <c r="D42" i="2"/>
  <c r="D41" i="2"/>
  <c r="P24" i="2"/>
  <c r="P2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<sst xmlns="http://schemas.openxmlformats.org/spreadsheetml/2006/main" count="215" uniqueCount="54">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</sst>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42019.389999999978</v>
          </cell>
        </row>
        <row r="6">
          <cell r="E6" t="str">
            <v>CENTRO</v>
          </cell>
          <cell r="F6">
            <v>274081.17999999953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151.09</v>
          </cell>
          <cell r="K8" t="str">
            <v>CAMPINAS</v>
          </cell>
        </row>
        <row r="9">
          <cell r="E9" t="str">
            <v>INDAIATUBA</v>
          </cell>
          <cell r="F9">
            <v>52564.160000000003</v>
          </cell>
          <cell r="K9" t="str">
            <v>CENTRO</v>
          </cell>
        </row>
        <row r="10">
          <cell r="E10" t="str">
            <v>INTERLAGOS</v>
          </cell>
          <cell r="F10">
            <v>187939.73999999982</v>
          </cell>
          <cell r="K10" t="str">
            <v>INDAIATUBA</v>
          </cell>
        </row>
        <row r="11">
          <cell r="E11" t="str">
            <v>JUNDIAI</v>
          </cell>
          <cell r="F11">
            <v>53021.480000000069</v>
          </cell>
          <cell r="K11" t="str">
            <v>INTERLAGOS</v>
          </cell>
        </row>
        <row r="12">
          <cell r="E12" t="str">
            <v>KEY ABC</v>
          </cell>
          <cell r="F12">
            <v>258976.11999999994</v>
          </cell>
          <cell r="K12" t="str">
            <v>JUNDIAI</v>
          </cell>
        </row>
        <row r="13">
          <cell r="E13" t="str">
            <v>KEY CASA</v>
          </cell>
          <cell r="F13">
            <v>266593.28000000014</v>
          </cell>
          <cell r="K13" t="str">
            <v>LESTE</v>
          </cell>
        </row>
        <row r="14">
          <cell r="E14" t="str">
            <v>KEY INTERIOR</v>
          </cell>
          <cell r="F14">
            <v>851393.40000000037</v>
          </cell>
          <cell r="K14" t="str">
            <v>LESTE MOOCA</v>
          </cell>
        </row>
        <row r="15">
          <cell r="E15" t="str">
            <v>KEY PIRACICABA</v>
          </cell>
          <cell r="F15">
            <v>105736.07999999996</v>
          </cell>
          <cell r="K15" t="str">
            <v>LESTE PENHA</v>
          </cell>
        </row>
        <row r="16">
          <cell r="E16" t="str">
            <v>KEY SJC</v>
          </cell>
          <cell r="F16">
            <v>114220.90000000004</v>
          </cell>
          <cell r="K16" t="str">
            <v>LESTE TATUAPE</v>
          </cell>
        </row>
        <row r="17">
          <cell r="E17" t="str">
            <v>KEY SP</v>
          </cell>
          <cell r="F17">
            <v>288608.1399999999</v>
          </cell>
          <cell r="K17" t="str">
            <v>MOGI</v>
          </cell>
        </row>
        <row r="18">
          <cell r="E18" t="str">
            <v>KEY ZL</v>
          </cell>
          <cell r="F18">
            <v>287660.6999999999</v>
          </cell>
          <cell r="K18" t="str">
            <v>NORTE</v>
          </cell>
        </row>
        <row r="19">
          <cell r="E19" t="str">
            <v>LESTE</v>
          </cell>
          <cell r="F19">
            <v>74178.729999999981</v>
          </cell>
          <cell r="K19" t="str">
            <v>OSASCO</v>
          </cell>
        </row>
        <row r="20">
          <cell r="E20" t="str">
            <v>LESTE MOOCA</v>
          </cell>
          <cell r="F20">
            <v>139594.11499999967</v>
          </cell>
          <cell r="K20" t="str">
            <v>PIRITUBA</v>
          </cell>
        </row>
        <row r="21">
          <cell r="E21" t="str">
            <v>LESTE PENHA</v>
          </cell>
          <cell r="F21">
            <v>97563.540000000095</v>
          </cell>
          <cell r="K21" t="str">
            <v>SANTO ANDRE</v>
          </cell>
        </row>
        <row r="22">
          <cell r="E22" t="str">
            <v>LESTE TATUAPE</v>
          </cell>
          <cell r="F22">
            <v>86311.229999999792</v>
          </cell>
          <cell r="K22" t="str">
            <v>SBC</v>
          </cell>
        </row>
        <row r="23">
          <cell r="E23" t="str">
            <v>MOGI</v>
          </cell>
          <cell r="F23">
            <v>51628.47000000011</v>
          </cell>
          <cell r="K23" t="str">
            <v>SJC</v>
          </cell>
        </row>
        <row r="24">
          <cell r="E24" t="str">
            <v>NORTE</v>
          </cell>
          <cell r="F24">
            <v>177256.26999999961</v>
          </cell>
          <cell r="K24" t="str">
            <v>SJC/VALE</v>
          </cell>
        </row>
        <row r="25">
          <cell r="E25" t="str">
            <v>OSASCO</v>
          </cell>
          <cell r="F25">
            <v>244872.4299999995</v>
          </cell>
          <cell r="K25" t="str">
            <v>Total Geral</v>
          </cell>
        </row>
        <row r="26">
          <cell r="E26" t="str">
            <v>PIRITUBA</v>
          </cell>
          <cell r="F26">
            <v>98334.649999999921</v>
          </cell>
        </row>
        <row r="27">
          <cell r="E27" t="str">
            <v>SANTO ANDRE</v>
          </cell>
          <cell r="F27">
            <v>123291.98999999998</v>
          </cell>
        </row>
        <row r="28">
          <cell r="E28" t="str">
            <v>SBC</v>
          </cell>
          <cell r="F28">
            <v>185314.89999999973</v>
          </cell>
        </row>
        <row r="29">
          <cell r="E29" t="str">
            <v>SJC</v>
          </cell>
          <cell r="F29">
            <v>61735.030000000093</v>
          </cell>
        </row>
        <row r="30">
          <cell r="E30" t="str">
            <v>SJC/VALE</v>
          </cell>
          <cell r="F30">
            <v>31876.060000000023</v>
          </cell>
        </row>
        <row r="31">
          <cell r="E31" t="str">
            <v>VENDEDOR INTERNO 1</v>
          </cell>
          <cell r="F31">
            <v>53852.61</v>
          </cell>
        </row>
        <row r="32">
          <cell r="E32" t="str">
            <v>Total Geral</v>
          </cell>
          <cell r="F32">
            <v>4209858.5149999438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4209858.5149999987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1382641.4850000013</v>
      </c>
      <c r="D6" s="2"/>
      <c r="E6" s="4"/>
      <c r="F6" s="4"/>
      <c r="G6" s="4"/>
      <c r="H6" s="4" t="s">
        <v>2</v>
      </c>
      <c r="I6" s="7">
        <f>I4-I5</f>
        <v>130000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0.75276862136790323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42019.389999999978</v>
      </c>
      <c r="E10" s="27">
        <f>Tabela13[[#This Row],[META A]]-Tabela13[[#This Row],[ATINGIDO]]</f>
        <v>22480.610000000022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12090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274081.17999999953</v>
      </c>
      <c r="E11" s="24">
        <f>Tabela13[[#This Row],[META A]]-Tabela13[[#This Row],[ATINGIDO]]</f>
        <v>50918.820000000473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5400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52564.160000000003</v>
      </c>
      <c r="E13" s="24">
        <f>Tabela13[[#This Row],[META A]]-Tabela13[[#This Row],[ATINGIDO]]</f>
        <v>37435.839999999997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187939.73999999982</v>
      </c>
      <c r="E14" s="27">
        <f>Tabela13[[#This Row],[META A]]-Tabela13[[#This Row],[ATINGIDO]]</f>
        <v>85060.260000000184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3840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53021.480000000069</v>
      </c>
      <c r="E15" s="24">
        <f>Tabela13[[#This Row],[META A]]-Tabela13[[#This Row],[ATINGIDO]]</f>
        <v>24978.519999999931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9840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4850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851393.40000000037</v>
      </c>
      <c r="E18" s="27">
        <f>Tabela13[[#This Row],[META A]]-Tabela13[[#This Row],[ATINGIDO]]</f>
        <v>98606.599999999627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7120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288608.1399999999</v>
      </c>
      <c r="E20" s="27">
        <f>Tabela13[[#This Row],[META A]]-Tabela13[[#This Row],[ATINGIDO]]</f>
        <v>271391.8600000001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15000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287660.6999999999</v>
      </c>
      <c r="E21" s="24">
        <f>Tabela13[[#This Row],[META A]]-Tabela13[[#This Row],[ATINGIDO]]</f>
        <v>127339.3000000001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5100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2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3320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2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139594.11499999967</v>
      </c>
      <c r="E23" s="24">
        <f>Tabela13[[#This Row],[META A]]-Tabela13[[#This Row],[ATINGIDO]]</f>
        <v>55405.885000000329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4010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97563.540000000095</v>
      </c>
      <c r="E24" s="27">
        <f>Tabela13[[#This Row],[META A]]-Tabela13[[#This Row],[ATINGIDO]]</f>
        <v>42436.459999999905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4700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650081.89999999991</v>
      </c>
      <c r="Q24" s="7">
        <f>O24-P24</f>
        <v>-30763.718181818025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2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86311.229999999792</v>
      </c>
      <c r="E25" s="24">
        <f>Tabela13[[#This Row],[META A]]-Tabela13[[#This Row],[ATINGIDO]]</f>
        <v>56188.770000000208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2690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2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51628.47000000011</v>
      </c>
      <c r="E26" s="27">
        <f>Tabela13[[#This Row],[META A]]-Tabela13[[#This Row],[ATINGIDO]]</f>
        <v>38371.52999999989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177256.26999999961</v>
      </c>
      <c r="E27" s="24">
        <f>Tabela13[[#This Row],[META A]]-Tabela13[[#This Row],[ATINGIDO]]</f>
        <v>60243.730000000389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2670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244872.4299999995</v>
      </c>
      <c r="E28" s="27">
        <f>Tabela13[[#This Row],[META A]]-Tabela13[[#This Row],[ATINGIDO]]</f>
        <v>73627.570000000502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98334.649999999921</v>
      </c>
      <c r="E30" s="27">
        <f>Tabela13[[#This Row],[META A]]-Tabela13[[#This Row],[ATINGIDO]]</f>
        <v>36165.350000000079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123291.98999999998</v>
      </c>
      <c r="E31" s="24">
        <f>Tabela13[[#This Row],[META A]]-Tabela13[[#This Row],[ATINGIDO]]</f>
        <v>43708.010000000024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270334.0400000001</v>
      </c>
      <c r="K31" s="7">
        <f>I31-J31</f>
        <v>120415.9599999999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539962.59000000346</v>
      </c>
      <c r="K32" s="7">
        <f t="shared" ref="K32:K34" si="4">I32-J32</f>
        <v>-18962.59000000346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61735.030000000093</v>
      </c>
      <c r="E33" s="24">
        <f>Tabela13[[#This Row],[META A]]-Tabela13[[#This Row],[ATINGIDO]]</f>
        <v>38264.969999999907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699081.54000000225</v>
      </c>
      <c r="K33" s="7">
        <f t="shared" si="4"/>
        <v>-47831.540000002249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234</v>
      </c>
      <c r="W33" s="6">
        <f t="shared" si="3"/>
        <v>-61.727272727272748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31876.060000000023</v>
      </c>
      <c r="E34" s="27">
        <f>Tabela13[[#This Row],[META A]]-Tabela13[[#This Row],[ATINGIDO]]</f>
        <v>23123.939999999977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526057.80500000343</v>
      </c>
      <c r="K34" s="7">
        <f t="shared" si="4"/>
        <v>125192.19499999657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53852.61</v>
      </c>
      <c r="E35" s="24">
        <f>Tabela13[[#This Row],[META A]]-Tabela13[[#This Row],[ATINGIDO]]</f>
        <v>19147.39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1176393.5950000007</v>
      </c>
      <c r="E43" s="7">
        <f t="shared" si="5"/>
        <v>-525143.59500000067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2026-07-24T10:10:15Z</dcterms:modified>
</cp:coreProperties>
</file>