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D83CD124-54C7-489F-B458-979974F95C7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3" i="2"/>
  <c r="P22" i="2"/>
  <c r="V33" i="2"/>
  <c r="P23" i="2"/>
  <c r="J34" i="2"/>
  <c r="V30" i="2"/>
  <c r="D39" i="2"/>
  <c r="P21" i="2"/>
  <c r="P20" i="2"/>
  <c r="J31" i="2"/>
  <c r="D41" i="2"/>
  <c r="V32" i="2"/>
  <c r="D40" i="2"/>
  <c r="D42" i="2"/>
  <c r="J32" i="2"/>
  <c r="V31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<sst xmlns="http://schemas.openxmlformats.org/spreadsheetml/2006/main" count="215" uniqueCount="54">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</sst>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48699.320000000007</v>
          </cell>
          <cell r="H5" t="str">
            <v>CENTRO</v>
          </cell>
          <cell r="I5">
            <v>4174.6000000000004</v>
          </cell>
        </row>
        <row r="6">
          <cell r="E6" t="str">
            <v>CENTRO</v>
          </cell>
          <cell r="F6">
            <v>270054.51999999949</v>
          </cell>
          <cell r="H6" t="str">
            <v>INDAIATUBA</v>
          </cell>
          <cell r="I6">
            <v>872.3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JUNDIAI</v>
          </cell>
          <cell r="I7">
            <v>259.8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LESTE</v>
          </cell>
          <cell r="I8">
            <v>455.4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79006.589999999953</v>
          </cell>
          <cell r="H9" t="str">
            <v>LESTE MOOCA</v>
          </cell>
          <cell r="I9">
            <v>2692.6</v>
          </cell>
          <cell r="K9" t="str">
            <v>CENTRO</v>
          </cell>
          <cell r="N9">
            <v>57</v>
          </cell>
        </row>
        <row r="10">
          <cell r="E10" t="str">
            <v>INTERLAGOS</v>
          </cell>
          <cell r="F10">
            <v>192792.94999999981</v>
          </cell>
          <cell r="H10" t="str">
            <v>NORTE</v>
          </cell>
          <cell r="I10">
            <v>608.6</v>
          </cell>
          <cell r="K10" t="str">
            <v>INDAIATUBA</v>
          </cell>
          <cell r="N10">
            <v>37</v>
          </cell>
        </row>
        <row r="11">
          <cell r="E11" t="str">
            <v>JUNDIAI</v>
          </cell>
          <cell r="F11">
            <v>69590.679999999978</v>
          </cell>
          <cell r="H11" t="str">
            <v>PERDIZES</v>
          </cell>
          <cell r="I11">
            <v>753.9</v>
          </cell>
          <cell r="K11" t="str">
            <v>INTERLAGOS</v>
          </cell>
          <cell r="N11">
            <v>39</v>
          </cell>
        </row>
        <row r="12">
          <cell r="E12" t="str">
            <v>KEY ABC</v>
          </cell>
          <cell r="F12">
            <v>255920.77999999997</v>
          </cell>
          <cell r="H12" t="str">
            <v>PIRITUBA</v>
          </cell>
          <cell r="I12">
            <v>748.9</v>
          </cell>
          <cell r="K12" t="str">
            <v>JUNDIAI</v>
          </cell>
          <cell r="N12">
            <v>20</v>
          </cell>
        </row>
        <row r="13">
          <cell r="E13" t="str">
            <v>KEY CASA</v>
          </cell>
          <cell r="F13">
            <v>160151.88999999984</v>
          </cell>
          <cell r="H13" t="str">
            <v>SBC</v>
          </cell>
          <cell r="I13">
            <v>0</v>
          </cell>
          <cell r="K13" t="str">
            <v>LESTE</v>
          </cell>
          <cell r="N13">
            <v>21</v>
          </cell>
        </row>
        <row r="14">
          <cell r="E14" t="str">
            <v>KEY INTERIOR</v>
          </cell>
          <cell r="F14">
            <v>892316.99999999965</v>
          </cell>
          <cell r="H14" t="str">
            <v>SJC</v>
          </cell>
          <cell r="I14">
            <v>280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78883.050000000061</v>
          </cell>
          <cell r="H15" t="str">
            <v>Total Geral</v>
          </cell>
          <cell r="I15">
            <v>10846.1</v>
          </cell>
          <cell r="K15" t="str">
            <v>LESTE PENHA</v>
          </cell>
          <cell r="N15">
            <v>14</v>
          </cell>
        </row>
        <row r="16">
          <cell r="E16" t="str">
            <v>KEY SP</v>
          </cell>
          <cell r="F16">
            <v>447350.14999999979</v>
          </cell>
          <cell r="K16" t="str">
            <v>LESTE TATUAPE</v>
          </cell>
          <cell r="N16">
            <v>46</v>
          </cell>
        </row>
        <row r="17">
          <cell r="E17" t="str">
            <v>KEY ZL</v>
          </cell>
          <cell r="F17">
            <v>298614.14999999979</v>
          </cell>
          <cell r="K17" t="str">
            <v>MOGI</v>
          </cell>
          <cell r="N17">
            <v>28</v>
          </cell>
        </row>
        <row r="18">
          <cell r="E18" t="str">
            <v>LESTE</v>
          </cell>
          <cell r="F18">
            <v>92517.149999999921</v>
          </cell>
          <cell r="K18" t="str">
            <v>NORTE</v>
          </cell>
          <cell r="N18">
            <v>42</v>
          </cell>
        </row>
        <row r="19">
          <cell r="E19" t="str">
            <v>LESTE MOOCA</v>
          </cell>
          <cell r="F19">
            <v>131986.50999999966</v>
          </cell>
          <cell r="K19" t="str">
            <v>OSASCO</v>
          </cell>
          <cell r="N19">
            <v>72</v>
          </cell>
        </row>
        <row r="20">
          <cell r="E20" t="str">
            <v>LESTE PENHA</v>
          </cell>
          <cell r="F20">
            <v>104940.24</v>
          </cell>
          <cell r="K20" t="str">
            <v>PERDIZES</v>
          </cell>
          <cell r="N20">
            <v>19</v>
          </cell>
        </row>
        <row r="21">
          <cell r="E21" t="str">
            <v>LESTE TATUAPE</v>
          </cell>
          <cell r="F21">
            <v>114693.49999999937</v>
          </cell>
          <cell r="K21" t="str">
            <v>PIRITUBA</v>
          </cell>
          <cell r="N21">
            <v>37</v>
          </cell>
        </row>
        <row r="22">
          <cell r="E22" t="str">
            <v>MOGI</v>
          </cell>
          <cell r="F22">
            <v>64189.970000000125</v>
          </cell>
          <cell r="K22" t="str">
            <v>SANTO ANDRE</v>
          </cell>
          <cell r="N22">
            <v>29</v>
          </cell>
        </row>
        <row r="23">
          <cell r="E23" t="str">
            <v>NORTE</v>
          </cell>
          <cell r="F23">
            <v>193684.6299999996</v>
          </cell>
          <cell r="K23" t="str">
            <v>SBC</v>
          </cell>
          <cell r="N23">
            <v>41</v>
          </cell>
        </row>
        <row r="24">
          <cell r="E24" t="str">
            <v>OSASCO</v>
          </cell>
          <cell r="F24">
            <v>272880.62500000012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83817.310000000027</v>
          </cell>
          <cell r="K25" t="str">
            <v>SJC/VALE</v>
          </cell>
          <cell r="N25">
            <v>19</v>
          </cell>
        </row>
        <row r="26">
          <cell r="E26" t="str">
            <v>PIRACICABA</v>
          </cell>
          <cell r="F26">
            <v>129513.65999999999</v>
          </cell>
          <cell r="K26" t="str">
            <v>Total Geral</v>
          </cell>
          <cell r="N26">
            <v>598</v>
          </cell>
        </row>
        <row r="27">
          <cell r="E27" t="str">
            <v>PIRITUBA</v>
          </cell>
          <cell r="F27">
            <v>117603.32999999983</v>
          </cell>
        </row>
        <row r="28">
          <cell r="E28" t="str">
            <v>SANTO ANDRE</v>
          </cell>
          <cell r="F28">
            <v>135219.54</v>
          </cell>
        </row>
        <row r="29">
          <cell r="E29" t="str">
            <v>SBC</v>
          </cell>
          <cell r="F29">
            <v>223288.1599999998</v>
          </cell>
        </row>
        <row r="30">
          <cell r="E30" t="str">
            <v>SJC</v>
          </cell>
          <cell r="F30">
            <v>64663.800000000061</v>
          </cell>
        </row>
        <row r="31">
          <cell r="E31" t="str">
            <v>SJC/VALE</v>
          </cell>
          <cell r="F31">
            <v>38604.060000000019</v>
          </cell>
        </row>
        <row r="32">
          <cell r="E32" t="str">
            <v>VENDEDOR INTERNO 1</v>
          </cell>
          <cell r="F32">
            <v>62805.409999999989</v>
          </cell>
          <cell r="P32" t="str">
            <v>Soma de TOTAL</v>
          </cell>
        </row>
        <row r="33">
          <cell r="E33" t="str">
            <v>Total Geral</v>
          </cell>
          <cell r="F33">
            <v>4625490.9549999479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K37" sqref="K3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4624879.0549999969</v>
      </c>
      <c r="D5" s="2"/>
      <c r="E5" s="4"/>
      <c r="F5" s="4"/>
      <c r="G5" s="4"/>
      <c r="H5" s="4" t="s">
        <v>1</v>
      </c>
      <c r="I5" s="7">
        <f>SUM(J10:J28)</f>
        <v>10846.099999999999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598</v>
      </c>
      <c r="V5" s="4"/>
      <c r="W5" s="4"/>
    </row>
    <row r="6" spans="1:23" x14ac:dyDescent="0.25">
      <c r="A6" s="4"/>
      <c r="B6" s="4" t="s">
        <v>2</v>
      </c>
      <c r="C6" s="2">
        <f>C4-C5</f>
        <v>556620.94500000309</v>
      </c>
      <c r="D6" s="2"/>
      <c r="E6" s="4"/>
      <c r="F6" s="4"/>
      <c r="G6" s="4"/>
      <c r="H6" s="4" t="s">
        <v>2</v>
      </c>
      <c r="I6" s="7">
        <f>I4-I5</f>
        <v>189183.9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202</v>
      </c>
      <c r="V6" s="4"/>
      <c r="W6" s="4"/>
    </row>
    <row r="7" spans="1:23" x14ac:dyDescent="0.25">
      <c r="A7" s="4"/>
      <c r="B7" s="4" t="s">
        <v>3</v>
      </c>
      <c r="C7" s="3">
        <f>C5/C4</f>
        <v>0.89257532664286343</v>
      </c>
      <c r="D7" s="2"/>
      <c r="E7" s="4"/>
      <c r="F7" s="4"/>
      <c r="G7" s="4"/>
      <c r="H7" s="4" t="s">
        <v>3</v>
      </c>
      <c r="I7" s="3">
        <f>I5/I4</f>
        <v>5.4222366645003239E-2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0.74750000000000005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48699.320000000007</v>
      </c>
      <c r="E10" s="7">
        <f>C10-D10</f>
        <v>15800.679999999993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0</v>
      </c>
      <c r="K10" s="7">
        <f>I10-J10</f>
        <v>21000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270054.51999999949</v>
      </c>
      <c r="E11" s="7">
        <f t="shared" ref="E11:E36" si="0">C11-D11</f>
        <v>44945.480000000505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608.6</v>
      </c>
      <c r="K11" s="7">
        <f t="shared" ref="K11:K28" si="1">I11-J11</f>
        <v>13391.4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57</v>
      </c>
      <c r="W11" s="4">
        <f t="shared" ref="W11:W27" si="3">U11-V11</f>
        <v>15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748.9</v>
      </c>
      <c r="K12" s="7">
        <f t="shared" si="1"/>
        <v>13471.1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37</v>
      </c>
      <c r="W12" s="4">
        <f t="shared" si="3"/>
        <v>3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79006.589999999953</v>
      </c>
      <c r="E13" s="7">
        <f t="shared" si="0"/>
        <v>993.41000000004715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0</v>
      </c>
      <c r="K13" s="7">
        <f t="shared" si="1"/>
        <v>19000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39</v>
      </c>
      <c r="W13" s="4">
        <f t="shared" si="3"/>
        <v>19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192792.94999999981</v>
      </c>
      <c r="E14" s="7">
        <f t="shared" si="0"/>
        <v>22207.050000000192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0</v>
      </c>
      <c r="K14" s="7">
        <f t="shared" si="1"/>
        <v>8250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20</v>
      </c>
      <c r="W14" s="4">
        <f>U14-V14</f>
        <v>9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69590.679999999978</v>
      </c>
      <c r="E15" s="7">
        <f t="shared" si="0"/>
        <v>-1590.6799999999785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4174.6000000000004</v>
      </c>
      <c r="K15" s="7">
        <f t="shared" si="1"/>
        <v>21155.4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21</v>
      </c>
      <c r="W15" s="4">
        <f t="shared" si="3"/>
        <v>18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255920.77999999997</v>
      </c>
      <c r="E16" s="7">
        <f t="shared" si="0"/>
        <v>4079.2200000000303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0</v>
      </c>
      <c r="K16" s="7">
        <f t="shared" si="1"/>
        <v>9950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28</v>
      </c>
      <c r="W16" s="4">
        <f t="shared" si="3"/>
        <v>16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160151.88999999984</v>
      </c>
      <c r="E17" s="7">
        <f t="shared" si="0"/>
        <v>-35151.889999999839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0</v>
      </c>
      <c r="K17" s="7">
        <f t="shared" si="1"/>
        <v>3190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892316.99999999965</v>
      </c>
      <c r="E18" s="7">
        <f t="shared" si="0"/>
        <v>-92316.999999999651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455.4</v>
      </c>
      <c r="K18" s="7">
        <f t="shared" si="1"/>
        <v>5254.6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42</v>
      </c>
      <c r="W18" s="4">
        <f t="shared" si="3"/>
        <v>7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78883.050000000061</v>
      </c>
      <c r="E19" s="7">
        <f t="shared" si="0"/>
        <v>36116.949999999939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2692.6</v>
      </c>
      <c r="K19" s="7">
        <f t="shared" si="1"/>
        <v>11307.4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72</v>
      </c>
      <c r="W19" s="4">
        <f t="shared" si="3"/>
        <v>1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447350.14999999979</v>
      </c>
      <c r="E20" s="7">
        <f t="shared" si="0"/>
        <v>52649.85000000021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0</v>
      </c>
      <c r="K20" s="7">
        <f t="shared" si="1"/>
        <v>15010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-520661.21999999991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14</v>
      </c>
      <c r="W20" s="4">
        <f t="shared" si="3"/>
        <v>25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298614.14999999979</v>
      </c>
      <c r="E21" s="7">
        <f t="shared" si="0"/>
        <v>128885.85000000021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753.9</v>
      </c>
      <c r="K21" s="7">
        <f t="shared" si="1"/>
        <v>9156.1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19</v>
      </c>
      <c r="W21" s="4">
        <f t="shared" si="3"/>
        <v>13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92517.149999999921</v>
      </c>
      <c r="E22" s="7">
        <f t="shared" si="0"/>
        <v>26982.850000000079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259.8</v>
      </c>
      <c r="K22" s="7">
        <f t="shared" si="1"/>
        <v>2410.1999999999998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37</v>
      </c>
      <c r="W22" s="4">
        <f t="shared" si="3"/>
        <v>10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131986.50999999966</v>
      </c>
      <c r="E23" s="7">
        <f t="shared" si="0"/>
        <v>25013.49000000034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0</v>
      </c>
      <c r="K23" s="7">
        <f t="shared" si="1"/>
        <v>12900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351083.95000000013</v>
      </c>
      <c r="Q23" s="7">
        <f>O23-P23</f>
        <v>-351083.95000000013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29</v>
      </c>
      <c r="W23" s="4">
        <f t="shared" si="3"/>
        <v>17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104940.24</v>
      </c>
      <c r="E24" s="7">
        <f t="shared" si="0"/>
        <v>15059.759999999995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872.3</v>
      </c>
      <c r="K24" s="7">
        <f t="shared" si="1"/>
        <v>4587.7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41</v>
      </c>
      <c r="W24" s="4">
        <f t="shared" si="3"/>
        <v>12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114693.49999999937</v>
      </c>
      <c r="E25" s="7">
        <f t="shared" si="0"/>
        <v>20306.500000000626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0</v>
      </c>
      <c r="K25" s="7">
        <f t="shared" si="1"/>
        <v>4810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64189.970000000125</v>
      </c>
      <c r="E26" s="7">
        <f t="shared" si="0"/>
        <v>25810.029999999875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280</v>
      </c>
      <c r="K26" s="7">
        <f t="shared" si="1"/>
        <v>6530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46</v>
      </c>
      <c r="W26" s="4">
        <f t="shared" si="3"/>
        <v>-7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193684.6299999996</v>
      </c>
      <c r="E27" s="7">
        <f t="shared" si="0"/>
        <v>41315.370000000403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0</v>
      </c>
      <c r="K27" s="7">
        <f t="shared" si="1"/>
        <v>3090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19</v>
      </c>
      <c r="W27" s="4">
        <f t="shared" si="3"/>
        <v>14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272880.62500000012</v>
      </c>
      <c r="E28" s="7">
        <f t="shared" si="0"/>
        <v>29119.374999999884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0</v>
      </c>
      <c r="K28" s="7">
        <f t="shared" si="1"/>
        <v>4720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83817.310000000027</v>
      </c>
      <c r="E29" s="7">
        <f t="shared" si="0"/>
        <v>29182.689999999973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129513.65999999999</v>
      </c>
      <c r="E30" s="7">
        <f t="shared" si="0"/>
        <v>40486.340000000011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117603.32999999983</v>
      </c>
      <c r="E31" s="7">
        <f t="shared" si="0"/>
        <v>8396.6700000001729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135219.54</v>
      </c>
      <c r="E32" s="7">
        <f t="shared" si="0"/>
        <v>31780.459999999992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223288.1599999998</v>
      </c>
      <c r="E33" s="7">
        <f t="shared" si="0"/>
        <v>31711.8400000002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684366.59500000149</v>
      </c>
      <c r="K33" s="7">
        <f t="shared" si="4"/>
        <v>15633.404999998515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134</v>
      </c>
      <c r="W33" s="6">
        <f t="shared" ref="W33" si="5">U33-V33</f>
        <v>66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64663.800000000061</v>
      </c>
      <c r="E34" s="7">
        <f t="shared" si="0"/>
        <v>35336.199999999939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362364.10500000085</v>
      </c>
      <c r="K34" s="7">
        <f t="shared" si="4"/>
        <v>337635.89499999915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38604.060000000019</v>
      </c>
      <c r="E35" s="7">
        <f t="shared" si="0"/>
        <v>16395.939999999981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62805.409999999989</v>
      </c>
      <c r="E36" s="7">
        <f t="shared" si="0"/>
        <v>3194.5900000000111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</v>
      </c>
      <c r="E39" s="7">
        <f>C39-D39</f>
        <v>95620.405000000028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1174123.3449999928</v>
      </c>
      <c r="E41" s="7">
        <f t="shared" si="6"/>
        <v>105876.65500000725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741373.89500000095</v>
      </c>
      <c r="E42" s="7">
        <f t="shared" si="6"/>
        <v>538626.10499999905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2026-05-27T11:47:41Z</dcterms:modified>
</cp:coreProperties>
</file>