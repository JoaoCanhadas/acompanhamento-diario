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5E4DAFE7-AEE9-4803-8D95-12CE3BE4A4B7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3" i="2"/>
  <c r="V31" i="2"/>
  <c r="V34" i="2"/>
  <c r="V30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4" i="2"/>
  <c r="P22" i="2"/>
  <c r="P23" i="2"/>
  <c r="J33" i="2"/>
  <c r="J32" i="2"/>
  <c r="D42" i="2"/>
  <c r="D44" i="2"/>
  <c r="J35" i="2"/>
  <c r="J34" i="2"/>
  <c r="D40" i="2"/>
  <c r="D43" i="2"/>
  <c r="P21" i="2"/>
  <c r="J31" i="2"/>
  <c r="P25" i="2"/>
  <c r="D41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<sst xmlns="http://schemas.openxmlformats.org/spreadsheetml/2006/main" count="215" uniqueCount="54">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</sst>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39246.379999999976</v>
          </cell>
        </row>
        <row r="6">
          <cell r="E6" t="str">
            <v>CENTRO</v>
          </cell>
          <cell r="F6">
            <v>260716.2799999995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K7" t="str">
            <v>Rótulos de Linha</v>
          </cell>
        </row>
        <row r="8">
          <cell r="E8" t="str">
            <v>IATAGAM JUNIOR</v>
          </cell>
          <cell r="F8">
            <v>151.09</v>
          </cell>
          <cell r="K8" t="str">
            <v>CAMPINAS</v>
          </cell>
        </row>
        <row r="9">
          <cell r="E9" t="str">
            <v>INDAIATUBA</v>
          </cell>
          <cell r="F9">
            <v>51198.209999999992</v>
          </cell>
          <cell r="K9" t="str">
            <v>CENTRO</v>
          </cell>
        </row>
        <row r="10">
          <cell r="E10" t="str">
            <v>INTERLAGOS</v>
          </cell>
          <cell r="F10">
            <v>175452.38999999984</v>
          </cell>
          <cell r="K10" t="str">
            <v>INDAIATUBA</v>
          </cell>
        </row>
        <row r="11">
          <cell r="E11" t="str">
            <v>JUNDIAI</v>
          </cell>
          <cell r="F11">
            <v>51759.880000000063</v>
          </cell>
          <cell r="K11" t="str">
            <v>INTERLAGOS</v>
          </cell>
        </row>
        <row r="12">
          <cell r="E12" t="str">
            <v>KEY ABC</v>
          </cell>
          <cell r="F12">
            <v>211630.01999999996</v>
          </cell>
          <cell r="K12" t="str">
            <v>JUNDIAI</v>
          </cell>
        </row>
        <row r="13">
          <cell r="E13" t="str">
            <v>KEY CASA</v>
          </cell>
          <cell r="F13">
            <v>263985.40000000084</v>
          </cell>
          <cell r="K13" t="str">
            <v>LESTE</v>
          </cell>
        </row>
        <row r="14">
          <cell r="E14" t="str">
            <v>KEY INTERIOR</v>
          </cell>
          <cell r="F14">
            <v>851393.40000000026</v>
          </cell>
          <cell r="K14" t="str">
            <v>LESTE MOOCA</v>
          </cell>
        </row>
        <row r="15">
          <cell r="E15" t="str">
            <v>KEY PIRACICABA</v>
          </cell>
          <cell r="F15">
            <v>87483.25999999998</v>
          </cell>
          <cell r="K15" t="str">
            <v>LESTE PENHA</v>
          </cell>
        </row>
        <row r="16">
          <cell r="E16" t="str">
            <v>KEY SJC</v>
          </cell>
          <cell r="F16">
            <v>114220.90000000004</v>
          </cell>
          <cell r="K16" t="str">
            <v>LESTE TATUAPE</v>
          </cell>
        </row>
        <row r="17">
          <cell r="E17" t="str">
            <v>KEY SP</v>
          </cell>
          <cell r="F17">
            <v>266913.34999999992</v>
          </cell>
          <cell r="K17" t="str">
            <v>MOGI</v>
          </cell>
        </row>
        <row r="18">
          <cell r="E18" t="str">
            <v>KEY ZL</v>
          </cell>
          <cell r="F18">
            <v>278371.99999999994</v>
          </cell>
          <cell r="K18" t="str">
            <v>NORTE</v>
          </cell>
        </row>
        <row r="19">
          <cell r="E19" t="str">
            <v>LESTE</v>
          </cell>
          <cell r="F19">
            <v>72464.38</v>
          </cell>
          <cell r="K19" t="str">
            <v>OSASCO</v>
          </cell>
        </row>
        <row r="20">
          <cell r="E20" t="str">
            <v>LESTE MOOCA</v>
          </cell>
          <cell r="F20">
            <v>133853.76499999964</v>
          </cell>
          <cell r="K20" t="str">
            <v>PIRITUBA</v>
          </cell>
        </row>
        <row r="21">
          <cell r="E21" t="str">
            <v>LESTE PENHA</v>
          </cell>
          <cell r="F21">
            <v>96274.990000000063</v>
          </cell>
          <cell r="K21" t="str">
            <v>SANTO ANDRE</v>
          </cell>
        </row>
        <row r="22">
          <cell r="E22" t="str">
            <v>LESTE TATUAPE</v>
          </cell>
          <cell r="F22">
            <v>84553.079999999842</v>
          </cell>
          <cell r="K22" t="str">
            <v>SBC</v>
          </cell>
        </row>
        <row r="23">
          <cell r="E23" t="str">
            <v>MOGI</v>
          </cell>
          <cell r="F23">
            <v>49159.000000000095</v>
          </cell>
          <cell r="K23" t="str">
            <v>SJC</v>
          </cell>
        </row>
        <row r="24">
          <cell r="E24" t="str">
            <v>NORTE</v>
          </cell>
          <cell r="F24">
            <v>163165.17999999976</v>
          </cell>
          <cell r="K24" t="str">
            <v>SJC/VALE</v>
          </cell>
        </row>
        <row r="25">
          <cell r="E25" t="str">
            <v>OSASCO</v>
          </cell>
          <cell r="F25">
            <v>236192.97000000015</v>
          </cell>
          <cell r="K25" t="str">
            <v>Total Geral</v>
          </cell>
        </row>
        <row r="26">
          <cell r="E26" t="str">
            <v>PIRITUBA</v>
          </cell>
          <cell r="F26">
            <v>92708.429999999935</v>
          </cell>
        </row>
        <row r="27">
          <cell r="E27" t="str">
            <v>SANTO ANDRE</v>
          </cell>
          <cell r="F27">
            <v>116320.90999999996</v>
          </cell>
        </row>
        <row r="28">
          <cell r="E28" t="str">
            <v>SBC</v>
          </cell>
          <cell r="F28">
            <v>179510.92999999985</v>
          </cell>
        </row>
        <row r="29">
          <cell r="E29" t="str">
            <v>SJC</v>
          </cell>
          <cell r="F29">
            <v>58341.390000000087</v>
          </cell>
        </row>
        <row r="30">
          <cell r="E30" t="str">
            <v>SJC/VALE</v>
          </cell>
          <cell r="F30">
            <v>29667.840000000015</v>
          </cell>
        </row>
        <row r="31">
          <cell r="E31" t="str">
            <v>VENDEDOR INTERNO 1</v>
          </cell>
          <cell r="F31">
            <v>52844.85</v>
          </cell>
        </row>
        <row r="32">
          <cell r="E32" t="str">
            <v>Total Geral</v>
          </cell>
          <cell r="F32">
            <v>4018663.1049999632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4018663.1050000004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0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1573836.8949999996</v>
      </c>
      <c r="D6" s="2"/>
      <c r="E6" s="4"/>
      <c r="F6" s="4"/>
      <c r="G6" s="4"/>
      <c r="H6" s="4" t="s">
        <v>2</v>
      </c>
      <c r="I6" s="7">
        <f>I4-I5</f>
        <v>130000</v>
      </c>
      <c r="J6" s="4"/>
      <c r="K6" s="4"/>
      <c r="L6" s="4"/>
      <c r="M6" s="4"/>
      <c r="N6" s="4" t="s">
        <v>2</v>
      </c>
      <c r="O6" s="7">
        <f>O4-O5</f>
        <v>0</v>
      </c>
      <c r="P6" s="4"/>
      <c r="Q6" s="4"/>
      <c r="R6" s="4"/>
      <c r="S6" s="4"/>
      <c r="T6" s="4" t="s">
        <v>2</v>
      </c>
      <c r="U6" s="4">
        <f>U4-U5</f>
        <v>758</v>
      </c>
      <c r="V6" s="4"/>
      <c r="W6" s="4"/>
    </row>
    <row r="7" spans="1:23" x14ac:dyDescent="0.25">
      <c r="A7" s="4"/>
      <c r="B7" s="4" t="s">
        <v>3</v>
      </c>
      <c r="C7" s="3">
        <f>1-(C6/C4)</f>
        <v>0.71858079660259278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39246.379999999976</v>
      </c>
      <c r="E10" s="27">
        <f>Tabela13[[#This Row],[META A]]-Tabela13[[#This Row],[ATINGIDO]]</f>
        <v>25253.620000000024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12090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260716.2799999995</v>
      </c>
      <c r="E11" s="24">
        <f>Tabela13[[#This Row],[META A]]-Tabela13[[#This Row],[ATINGIDO]]</f>
        <v>64283.720000000496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11000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0</v>
      </c>
      <c r="W11" s="19">
        <f t="shared" ref="W11:W20" si="0">U11-V11</f>
        <v>52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5400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0</v>
      </c>
      <c r="W12" s="19">
        <f t="shared" si="0"/>
        <v>41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51198.209999999992</v>
      </c>
      <c r="E13" s="24">
        <f>Tabela13[[#This Row],[META A]]-Tabela13[[#This Row],[ATINGIDO]]</f>
        <v>38801.790000000008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13000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175452.38999999984</v>
      </c>
      <c r="E14" s="27">
        <f>Tabela13[[#This Row],[META A]]-Tabela13[[#This Row],[ATINGIDO]]</f>
        <v>97547.610000000161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3840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0</v>
      </c>
      <c r="W14" s="19">
        <f t="shared" si="0"/>
        <v>27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51759.880000000063</v>
      </c>
      <c r="E15" s="24">
        <f>Tabela13[[#This Row],[META A]]-Tabela13[[#This Row],[ATINGIDO]]</f>
        <v>26240.119999999937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15000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0</v>
      </c>
      <c r="W15" s="19">
        <f>U15-V15</f>
        <v>48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211630.01999999996</v>
      </c>
      <c r="E16" s="27">
        <f>Tabela13[[#This Row],[META A]]-Tabela13[[#This Row],[ATINGIDO]]</f>
        <v>113369.98000000004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9840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4850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6840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0</v>
      </c>
      <c r="W18" s="19">
        <f t="shared" si="0"/>
        <v>45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7120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0</v>
      </c>
      <c r="W19" s="19">
        <f t="shared" si="0"/>
        <v>61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266913.34999999992</v>
      </c>
      <c r="E20" s="27">
        <f>Tabela13[[#This Row],[META A]]-Tabela13[[#This Row],[ATINGIDO]]</f>
        <v>293086.65000000008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15000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0</v>
      </c>
      <c r="W20" s="19">
        <f t="shared" si="0"/>
        <v>39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278371.99999999994</v>
      </c>
      <c r="E21" s="24">
        <f>Tabela13[[#This Row],[META A]]-Tabela13[[#This Row],[ATINGIDO]]</f>
        <v>136628.00000000006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5100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0</v>
      </c>
      <c r="W21" s="19">
        <f t="shared" ref="W21:W26" si="2">U21-V21</f>
        <v>44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72464.38</v>
      </c>
      <c r="E22" s="27">
        <f>Tabela13[[#This Row],[META A]]-Tabela13[[#This Row],[ATINGIDO]]</f>
        <v>49535.619999999995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3320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0</v>
      </c>
      <c r="W22" s="19">
        <f t="shared" si="2"/>
        <v>40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133853.76499999964</v>
      </c>
      <c r="E23" s="24">
        <f>Tabela13[[#This Row],[META A]]-Tabela13[[#This Row],[ATINGIDO]]</f>
        <v>61146.235000000364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4010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685907.54999999946</v>
      </c>
      <c r="Q23" s="7">
        <f>O23-P23</f>
        <v>-66589.368181817583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96274.990000000063</v>
      </c>
      <c r="E24" s="27">
        <f>Tabela13[[#This Row],[META A]]-Tabela13[[#This Row],[ATINGIDO]]</f>
        <v>43725.009999999937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4700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549681.20999999973</v>
      </c>
      <c r="Q24" s="7">
        <f>O24-P24</f>
        <v>69636.971818182152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0</v>
      </c>
      <c r="W24" s="19">
        <f t="shared" si="2"/>
        <v>37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84553.079999999842</v>
      </c>
      <c r="E25" s="24">
        <f>Tabela13[[#This Row],[META A]]-Tabela13[[#This Row],[ATINGIDO]]</f>
        <v>57946.920000000158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2690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0</v>
      </c>
      <c r="W25" s="19">
        <f t="shared" si="2"/>
        <v>51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49159.000000000095</v>
      </c>
      <c r="E26" s="27">
        <f>Tabela13[[#This Row],[META A]]-Tabela13[[#This Row],[ATINGIDO]]</f>
        <v>40840.999999999905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3530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163165.17999999976</v>
      </c>
      <c r="E27" s="24">
        <f>Tabela13[[#This Row],[META A]]-Tabela13[[#This Row],[ATINGIDO]]</f>
        <v>74334.82000000024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2670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236192.97000000015</v>
      </c>
      <c r="E28" s="27">
        <f>Tabela13[[#This Row],[META A]]-Tabela13[[#This Row],[ATINGIDO]]</f>
        <v>82307.029999999853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87483.25999999998</v>
      </c>
      <c r="E29" s="24">
        <f>Tabela13[[#This Row],[META A]]-Tabela13[[#This Row],[ATINGIDO]]</f>
        <v>87516.74000000002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92708.429999999935</v>
      </c>
      <c r="E30" s="27">
        <f>Tabela13[[#This Row],[META A]]-Tabela13[[#This Row],[ATINGIDO]]</f>
        <v>41791.570000000065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116320.90999999996</v>
      </c>
      <c r="E31" s="24">
        <f>Tabela13[[#This Row],[META A]]-Tabela13[[#This Row],[ATINGIDO]]</f>
        <v>50679.09000000004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270334.03999999998</v>
      </c>
      <c r="K31" s="7">
        <f>I31-J31</f>
        <v>120415.96000000002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179510.92999999985</v>
      </c>
      <c r="E32" s="27">
        <f>Tabela13[[#This Row],[META A]]-Tabela13[[#This Row],[ATINGIDO]]</f>
        <v>80489.070000000153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540157.79000000341</v>
      </c>
      <c r="K32" s="7">
        <f t="shared" ref="K32:K34" si="4">I32-J32</f>
        <v>-19157.790000003413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58341.390000000087</v>
      </c>
      <c r="E33" s="24">
        <f>Tabela13[[#This Row],[META A]]-Tabela13[[#This Row],[ATINGIDO]]</f>
        <v>41658.609999999913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700067.99000000325</v>
      </c>
      <c r="K33" s="7">
        <f t="shared" si="4"/>
        <v>-48817.99000000325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184</v>
      </c>
      <c r="W33" s="6">
        <f t="shared" si="3"/>
        <v>-11.727272727272748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29667.840000000015</v>
      </c>
      <c r="E34" s="27">
        <f>Tabela13[[#This Row],[META A]]-Tabela13[[#This Row],[ATINGIDO]]</f>
        <v>25332.159999999985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432871.03500000184</v>
      </c>
      <c r="K34" s="7">
        <f t="shared" si="4"/>
        <v>218378.96499999816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52844.85</v>
      </c>
      <c r="E35" s="24">
        <f>Tabela13[[#This Row],[META A]]-Tabela13[[#This Row],[ATINGIDO]]</f>
        <v>20155.150000000001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545683.80000000168</v>
      </c>
      <c r="E40" s="7">
        <f>C40-D40</f>
        <v>-154933.80000000168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1386417.7799999891</v>
      </c>
      <c r="E42" s="7">
        <f t="shared" si="5"/>
        <v>-735167.77999998908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982806.13500000234</v>
      </c>
      <c r="E43" s="7">
        <f t="shared" si="5"/>
        <v>-331556.13500000234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2026-07-23T10:36:07Z</dcterms:modified>
</cp:coreProperties>
</file>