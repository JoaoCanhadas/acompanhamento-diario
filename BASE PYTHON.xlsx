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E89894AE-5A53-4B4E-A7A8-5A989BE89D60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6" i="2" l="1"/>
  <c r="D36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O12" i="2" a="1"/>
  <c r="O12" i="2" s="1"/>
  <c r="O13" i="2" a="1"/>
  <c r="O13" i="2" s="1"/>
  <c r="O14" i="2" a="1"/>
  <c r="O14" i="2" s="1"/>
  <c r="O15" i="2" a="1"/>
  <c r="O15" i="2" s="1"/>
  <c r="O16" i="2" a="1"/>
  <c r="O16" i="2" s="1"/>
  <c r="O17" i="2" a="1"/>
  <c r="O17" i="2" s="1"/>
  <c r="O11" i="2" a="1"/>
  <c r="O11" i="2" s="1"/>
  <c r="P11" i="2"/>
  <c r="P13" i="2"/>
  <c r="P14" i="2"/>
  <c r="P17" i="2"/>
  <c r="P12" i="2"/>
  <c r="P15" i="2"/>
  <c r="P16" i="2"/>
  <c r="V32" i="2"/>
  <c r="V31" i="2"/>
  <c r="V34" i="2"/>
  <c r="V30" i="2"/>
  <c r="V33" i="2"/>
  <c r="W10" i="2" l="1"/>
  <c r="Q11" i="2"/>
  <c r="Q17" i="2"/>
  <c r="Q16" i="2"/>
  <c r="Q15" i="2"/>
  <c r="Q14" i="2"/>
  <c r="Q13" i="2"/>
  <c r="Q12" i="2"/>
  <c r="E36" i="2"/>
  <c r="U4" i="2"/>
  <c r="W15" i="2"/>
  <c r="U5" i="2"/>
  <c r="C10" i="2"/>
  <c r="D10" i="2"/>
  <c r="D11" i="2"/>
  <c r="D12" i="2"/>
  <c r="E12" i="2" s="1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C11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P23" i="2"/>
  <c r="J35" i="2"/>
  <c r="D41" i="2"/>
  <c r="D42" i="2"/>
  <c r="P25" i="2"/>
  <c r="J34" i="2"/>
  <c r="D40" i="2"/>
  <c r="P24" i="2"/>
  <c r="J32" i="2"/>
  <c r="P22" i="2"/>
  <c r="D44" i="2"/>
  <c r="J33" i="2"/>
  <c r="P21" i="2"/>
  <c r="D43" i="2"/>
  <c r="J31" i="2"/>
  <c r="C5" i="2" l="1"/>
  <c r="C4" i="2"/>
  <c r="K16" i="2"/>
  <c r="K20" i="2"/>
  <c r="K19" i="2"/>
  <c r="K12" i="2"/>
  <c r="K27" i="2"/>
  <c r="K11" i="2"/>
  <c r="U6" i="2"/>
  <c r="U7" i="2" s="1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I5" i="2" l="1"/>
  <c r="O4" i="2"/>
  <c r="O5" i="2"/>
  <c r="C6" i="2"/>
  <c r="C7" i="2" s="1"/>
  <c r="W18" i="2"/>
  <c r="O6" i="2" l="1"/>
  <c r="O7" i="2" s="1"/>
  <c r="W14" i="2" l="1"/>
  <c r="W19" i="2"/>
  <c r="W23" i="2"/>
  <c r="W11" i="2"/>
  <c r="W12" i="2"/>
  <c r="W22" i="2"/>
  <c r="W21" i="2"/>
  <c r="W25" i="2"/>
  <c r="W24" i="2"/>
  <c r="W26" i="2"/>
  <c r="W17" i="2"/>
  <c r="W20" i="2"/>
  <c r="W13" i="2"/>
  <c r="W16" i="2"/>
  <c r="I4" i="2" l="1"/>
  <c r="I6" i="2" s="1"/>
  <c r="I7" i="2" s="1"/>
  <c r="O21" i="2" l="1" a="1"/>
  <c r="O21" i="2" s="1"/>
  <c r="Q21" i="2" s="1"/>
  <c r="I34" i="2" l="1" a="1"/>
  <c r="I34" i="2" s="1"/>
  <c r="K34" i="2" s="1"/>
  <c r="O22" i="2" a="1"/>
  <c r="O22" i="2" s="1"/>
  <c r="Q22" i="2" s="1"/>
  <c r="O24" i="2" a="1"/>
  <c r="O24" i="2" s="1"/>
  <c r="Q24" i="2" s="1"/>
  <c r="O23" i="2" a="1"/>
  <c r="O23" i="2" s="1"/>
  <c r="Q23" i="2" s="1"/>
  <c r="O25" i="2" a="1"/>
  <c r="O25" i="2" s="1"/>
  <c r="Q25" i="2" s="1"/>
  <c r="I31" i="2" a="1"/>
  <c r="I31" i="2" s="1"/>
  <c r="K31" i="2" s="1"/>
  <c r="I33" i="2" a="1"/>
  <c r="I33" i="2" s="1"/>
  <c r="K33" i="2" s="1"/>
  <c r="I35" i="2" a="1"/>
  <c r="I35" i="2" s="1"/>
  <c r="K35" i="2" s="1"/>
  <c r="I32" i="2" a="1"/>
  <c r="I32" i="2" s="1"/>
  <c r="K32" i="2" s="1"/>
  <c r="C40" i="2" a="1"/>
  <c r="C40" i="2" s="1"/>
  <c r="E40" i="2" s="1"/>
  <c r="C42" i="2" l="1" a="1"/>
  <c r="C42" i="2" s="1"/>
  <c r="E42" i="2" s="1"/>
  <c r="C44" i="2" a="1"/>
  <c r="C44" i="2" s="1"/>
  <c r="E44" i="2" s="1"/>
  <c r="C43" i="2" a="1"/>
  <c r="C43" i="2" s="1"/>
  <c r="E43" i="2" s="1"/>
  <c r="C41" i="2" a="1"/>
  <c r="C41" i="2" s="1"/>
  <c r="E41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7-28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<sst xmlns="http://schemas.openxmlformats.org/spreadsheetml/2006/main" count="215" uniqueCount="54">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</sst>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0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44" fontId="0" fillId="0" borderId="5" xfId="2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2" applyFont="1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28/07/2026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51405.95999999997</v>
          </cell>
          <cell r="H5" t="str">
            <v>CAMPINAS</v>
          </cell>
          <cell r="I5">
            <v>534.59999999999991</v>
          </cell>
        </row>
        <row r="6">
          <cell r="E6" t="str">
            <v>CENTRO</v>
          </cell>
          <cell r="F6">
            <v>308466.07999999967</v>
          </cell>
          <cell r="H6" t="str">
            <v>CENTRO</v>
          </cell>
          <cell r="I6">
            <v>6572.8099999999995</v>
          </cell>
          <cell r="K6" t="str">
            <v>Contagem Distinta de COD_CLIENTE</v>
          </cell>
        </row>
        <row r="7">
          <cell r="E7" t="str">
            <v>ECOMMERCE</v>
          </cell>
          <cell r="F7">
            <v>1082.83</v>
          </cell>
          <cell r="H7" t="str">
            <v>IATAGAM JUNIOR</v>
          </cell>
          <cell r="I7">
            <v>51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217.49</v>
          </cell>
          <cell r="H8" t="str">
            <v>INDAIATUBA</v>
          </cell>
          <cell r="I8">
            <v>5424.9</v>
          </cell>
          <cell r="K8" t="str">
            <v>CAMPINAS</v>
          </cell>
          <cell r="N8">
            <v>28</v>
          </cell>
        </row>
        <row r="9">
          <cell r="E9" t="str">
            <v>INDAIATUBA</v>
          </cell>
          <cell r="F9">
            <v>70583.370000000039</v>
          </cell>
          <cell r="H9" t="str">
            <v>INTERLAGOS</v>
          </cell>
          <cell r="I9">
            <v>1714.1000000000001</v>
          </cell>
          <cell r="K9" t="str">
            <v>CENTRO</v>
          </cell>
          <cell r="N9">
            <v>50</v>
          </cell>
        </row>
        <row r="10">
          <cell r="E10" t="str">
            <v>INTERLAGOS</v>
          </cell>
          <cell r="F10">
            <v>214342.25999999989</v>
          </cell>
          <cell r="H10" t="str">
            <v>JUNDIAI</v>
          </cell>
          <cell r="I10">
            <v>3104.2000000000007</v>
          </cell>
          <cell r="K10" t="str">
            <v>INDAIATUBA</v>
          </cell>
          <cell r="N10">
            <v>38</v>
          </cell>
        </row>
        <row r="11">
          <cell r="E11" t="str">
            <v>JUNDIAI</v>
          </cell>
          <cell r="F11">
            <v>66475.08000000006</v>
          </cell>
          <cell r="H11" t="str">
            <v>KEY SP</v>
          </cell>
          <cell r="I11">
            <v>2080.6</v>
          </cell>
          <cell r="K11" t="str">
            <v>INTERLAGOS</v>
          </cell>
          <cell r="N11">
            <v>57</v>
          </cell>
        </row>
        <row r="12">
          <cell r="E12" t="str">
            <v>KEY ABC</v>
          </cell>
          <cell r="F12">
            <v>281298.46999999997</v>
          </cell>
          <cell r="H12" t="str">
            <v>KEY ZL</v>
          </cell>
          <cell r="I12">
            <v>1947.8</v>
          </cell>
          <cell r="K12" t="str">
            <v>JUNDIAI</v>
          </cell>
          <cell r="N12">
            <v>26</v>
          </cell>
        </row>
        <row r="13">
          <cell r="E13" t="str">
            <v>KEY CASA</v>
          </cell>
          <cell r="F13">
            <v>289653.48000000004</v>
          </cell>
          <cell r="H13" t="str">
            <v>LESTE</v>
          </cell>
          <cell r="I13">
            <v>954.5</v>
          </cell>
          <cell r="K13" t="str">
            <v>LESTE</v>
          </cell>
          <cell r="N13">
            <v>31</v>
          </cell>
        </row>
        <row r="14">
          <cell r="E14" t="str">
            <v>KEY INTERIOR</v>
          </cell>
          <cell r="F14">
            <v>940217.00000000012</v>
          </cell>
          <cell r="H14" t="str">
            <v>LESTE MOOCA</v>
          </cell>
          <cell r="I14">
            <v>2571.2000000000003</v>
          </cell>
          <cell r="K14" t="str">
            <v>LESTE MOOCA</v>
          </cell>
          <cell r="N14">
            <v>52</v>
          </cell>
        </row>
        <row r="15">
          <cell r="E15" t="str">
            <v>KEY PIRACICABA</v>
          </cell>
          <cell r="F15">
            <v>107460.07999999997</v>
          </cell>
          <cell r="H15" t="str">
            <v>LESTE PENHA</v>
          </cell>
          <cell r="I15">
            <v>3370.9000000000005</v>
          </cell>
          <cell r="K15" t="str">
            <v>LESTE PENHA</v>
          </cell>
          <cell r="N15">
            <v>30</v>
          </cell>
        </row>
        <row r="16">
          <cell r="E16" t="str">
            <v>KEY SJC</v>
          </cell>
          <cell r="F16">
            <v>127140.10000000006</v>
          </cell>
          <cell r="H16" t="str">
            <v>LESTE TATUAPE</v>
          </cell>
          <cell r="I16">
            <v>2888</v>
          </cell>
          <cell r="K16" t="str">
            <v>LESTE TATUAPE</v>
          </cell>
          <cell r="N16">
            <v>45</v>
          </cell>
        </row>
        <row r="17">
          <cell r="E17" t="str">
            <v>KEY SP</v>
          </cell>
          <cell r="F17">
            <v>302147.56999999995</v>
          </cell>
          <cell r="H17" t="str">
            <v>MOGI</v>
          </cell>
          <cell r="I17">
            <v>809.65000000000009</v>
          </cell>
          <cell r="K17" t="str">
            <v>MOGI</v>
          </cell>
          <cell r="N17">
            <v>39</v>
          </cell>
        </row>
        <row r="18">
          <cell r="E18" t="str">
            <v>KEY ZL</v>
          </cell>
          <cell r="F18">
            <v>337504.09999999957</v>
          </cell>
          <cell r="H18" t="str">
            <v>NORTE</v>
          </cell>
          <cell r="I18">
            <v>3003.9500000000003</v>
          </cell>
          <cell r="K18" t="str">
            <v>NORTE</v>
          </cell>
          <cell r="N18">
            <v>46</v>
          </cell>
        </row>
        <row r="19">
          <cell r="E19" t="str">
            <v>LESTE</v>
          </cell>
          <cell r="F19">
            <v>88229.859999999913</v>
          </cell>
          <cell r="H19" t="str">
            <v>OSASCO</v>
          </cell>
          <cell r="I19">
            <v>1646.54</v>
          </cell>
          <cell r="K19" t="str">
            <v>OSASCO</v>
          </cell>
          <cell r="N19">
            <v>63</v>
          </cell>
        </row>
        <row r="20">
          <cell r="E20" t="str">
            <v>LESTE MOOCA</v>
          </cell>
          <cell r="F20">
            <v>158238.83499999947</v>
          </cell>
          <cell r="H20" t="str">
            <v>PIRITUBA</v>
          </cell>
          <cell r="I20">
            <v>1448.9</v>
          </cell>
          <cell r="K20" t="str">
            <v>PIRITUBA</v>
          </cell>
          <cell r="N20">
            <v>27</v>
          </cell>
        </row>
        <row r="21">
          <cell r="E21" t="str">
            <v>LESTE PENHA</v>
          </cell>
          <cell r="F21">
            <v>114396.30999999997</v>
          </cell>
          <cell r="H21" t="str">
            <v>SANTO ANDRE</v>
          </cell>
          <cell r="I21">
            <v>2539.15</v>
          </cell>
          <cell r="K21" t="str">
            <v>SANTO ANDRE</v>
          </cell>
          <cell r="N21">
            <v>28</v>
          </cell>
        </row>
        <row r="22">
          <cell r="E22" t="str">
            <v>LESTE TATUAPE</v>
          </cell>
          <cell r="F22">
            <v>114697.97999999966</v>
          </cell>
          <cell r="H22" t="str">
            <v>SJC</v>
          </cell>
          <cell r="I22">
            <v>571.9799999999999</v>
          </cell>
          <cell r="K22" t="str">
            <v>SBC</v>
          </cell>
          <cell r="N22">
            <v>40</v>
          </cell>
        </row>
        <row r="23">
          <cell r="E23" t="str">
            <v>MOGI</v>
          </cell>
          <cell r="F23">
            <v>62719.520000000179</v>
          </cell>
          <cell r="H23" t="str">
            <v>SJC/VALE</v>
          </cell>
          <cell r="I23">
            <v>1149.2500000000002</v>
          </cell>
          <cell r="K23" t="str">
            <v>SJC</v>
          </cell>
          <cell r="N23">
            <v>23</v>
          </cell>
        </row>
        <row r="24">
          <cell r="E24" t="str">
            <v>NORTE</v>
          </cell>
          <cell r="F24">
            <v>207898.06999999942</v>
          </cell>
          <cell r="H24" t="str">
            <v>VENDEDOR INTERNO 1</v>
          </cell>
          <cell r="I24">
            <v>552</v>
          </cell>
          <cell r="K24" t="str">
            <v>SJC/VALE</v>
          </cell>
          <cell r="N24">
            <v>29</v>
          </cell>
        </row>
        <row r="25">
          <cell r="E25" t="str">
            <v>OSASCO</v>
          </cell>
          <cell r="F25">
            <v>272980.00499999948</v>
          </cell>
          <cell r="H25" t="str">
            <v>Total Geral</v>
          </cell>
          <cell r="I25">
            <v>42936.029999999977</v>
          </cell>
          <cell r="K25" t="str">
            <v>Total Geral</v>
          </cell>
          <cell r="N25">
            <v>652</v>
          </cell>
        </row>
        <row r="26">
          <cell r="E26" t="str">
            <v>PIRITUBA</v>
          </cell>
          <cell r="F26">
            <v>110152.5499999999</v>
          </cell>
        </row>
        <row r="27">
          <cell r="E27" t="str">
            <v>SANTO ANDRE</v>
          </cell>
          <cell r="F27">
            <v>138670.31999999995</v>
          </cell>
        </row>
        <row r="28">
          <cell r="E28" t="str">
            <v>SBC</v>
          </cell>
          <cell r="F28">
            <v>207544.25999999981</v>
          </cell>
        </row>
        <row r="29">
          <cell r="E29" t="str">
            <v>SJC</v>
          </cell>
          <cell r="F29">
            <v>72954.970000000059</v>
          </cell>
        </row>
        <row r="30">
          <cell r="E30" t="str">
            <v>SJC/VALE</v>
          </cell>
          <cell r="F30">
            <v>37894.420000000027</v>
          </cell>
        </row>
        <row r="31">
          <cell r="E31" t="str">
            <v>VENDEDOR INTERNO 1</v>
          </cell>
          <cell r="F31">
            <v>66562.880000000019</v>
          </cell>
        </row>
        <row r="32">
          <cell r="E32" t="str">
            <v>Total Geral</v>
          </cell>
          <cell r="F32">
            <v>4750933.8499999354</v>
          </cell>
          <cell r="P32" t="str">
            <v>Soma de TOTAL</v>
          </cell>
        </row>
        <row r="47">
          <cell r="P47" t="str">
            <v>Soma de TOTAL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87">
          <cell r="E87">
            <v>0</v>
          </cell>
          <cell r="F87">
            <v>0</v>
          </cell>
        </row>
        <row r="88">
          <cell r="E88">
            <v>28800</v>
          </cell>
          <cell r="F88">
            <v>69000</v>
          </cell>
        </row>
        <row r="89">
          <cell r="E89">
            <v>86500</v>
          </cell>
          <cell r="F89">
            <v>138500</v>
          </cell>
        </row>
        <row r="90">
          <cell r="E90">
            <v>276000</v>
          </cell>
          <cell r="F90">
            <v>185000</v>
          </cell>
        </row>
        <row r="91">
          <cell r="E91">
            <v>197000</v>
          </cell>
          <cell r="F91">
            <v>150000</v>
          </cell>
        </row>
        <row r="92">
          <cell r="E92">
            <v>35500</v>
          </cell>
          <cell r="F92">
            <v>66000</v>
          </cell>
        </row>
        <row r="98">
          <cell r="E98" t="str">
            <v>CANAL</v>
          </cell>
        </row>
        <row r="99">
          <cell r="E99" t="str">
            <v>VAREJO</v>
          </cell>
        </row>
        <row r="100">
          <cell r="E100" t="str">
            <v>VAREJO</v>
          </cell>
        </row>
        <row r="101">
          <cell r="E101" t="str">
            <v>VAREJO</v>
          </cell>
        </row>
        <row r="102">
          <cell r="E102" t="str">
            <v>VAREJO</v>
          </cell>
        </row>
        <row r="103">
          <cell r="E103" t="str">
            <v>VAREJO</v>
          </cell>
        </row>
        <row r="104">
          <cell r="E104" t="str">
            <v>VAREJO</v>
          </cell>
        </row>
        <row r="105">
          <cell r="E105" t="str">
            <v>VAREJO</v>
          </cell>
        </row>
        <row r="106">
          <cell r="E106" t="str">
            <v>VAREJO</v>
          </cell>
        </row>
        <row r="107">
          <cell r="E107" t="str">
            <v>VAREJO</v>
          </cell>
        </row>
        <row r="108">
          <cell r="E108" t="str">
            <v>VAREJO</v>
          </cell>
        </row>
        <row r="109">
          <cell r="E109" t="str">
            <v>VAREJO</v>
          </cell>
        </row>
        <row r="110">
          <cell r="E110" t="str">
            <v>VAREJO</v>
          </cell>
        </row>
        <row r="111">
          <cell r="E111" t="str">
            <v>VAREJO</v>
          </cell>
        </row>
        <row r="112">
          <cell r="E112" t="str">
            <v>VAREJO</v>
          </cell>
        </row>
        <row r="113">
          <cell r="E113" t="str">
            <v>VAREJO</v>
          </cell>
        </row>
        <row r="114">
          <cell r="E114" t="str">
            <v>VAREJO</v>
          </cell>
        </row>
        <row r="115">
          <cell r="E115" t="str">
            <v>VAREJO</v>
          </cell>
        </row>
        <row r="116">
          <cell r="E116" t="str">
            <v>VAREJO</v>
          </cell>
        </row>
        <row r="117">
          <cell r="E117" t="str">
            <v>ECOMMERCE</v>
          </cell>
        </row>
        <row r="118">
          <cell r="E118" t="str">
            <v>KEY ACCOUNT</v>
          </cell>
        </row>
        <row r="119">
          <cell r="E119" t="str">
            <v>KEY ACCOUNT</v>
          </cell>
        </row>
        <row r="120">
          <cell r="E120" t="str">
            <v>KEY ACCOUNT</v>
          </cell>
        </row>
        <row r="121">
          <cell r="E121" t="str">
            <v>KEY ACCOUNT</v>
          </cell>
        </row>
        <row r="122">
          <cell r="E122" t="str">
            <v>KEY ACCOUNT</v>
          </cell>
        </row>
        <row r="123">
          <cell r="E123" t="str">
            <v>KEY ACCOUNT</v>
          </cell>
        </row>
        <row r="124">
          <cell r="E124" t="str">
            <v>KEY ACCOUNT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8" dataDxfId="77">
  <tableColumns count="2">
    <tableColumn id="1" xr3:uid="{3308613D-E7FC-469E-B078-C5AC910E183B}" name="Coluna1" dataDxfId="76"/>
    <tableColumn id="2" xr3:uid="{C994D666-6174-475E-AE71-1F12062A5225}" name="Coluna2" headerRowDxfId="75" dataDxfId="74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73" dataDxfId="72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1"/>
    <tableColumn id="2" xr3:uid="{06063E15-5C9E-4303-B5F6-B9D0B178DB82}" name="META" dataDxfId="70" dataCellStyle="Moeda">
      <calculatedColumnFormula array="1">_xlfn.XLOOKUP(Tabela3[[#This Row],[SEMANAL]],[1]!Tabela7[[#All],[Coluna1]],[1]!Tabela7[[#All],[Coluna2]])</calculatedColumnFormula>
    </tableColumn>
    <tableColumn id="3" xr3:uid="{425F53BB-8CBB-40E8-9773-1C7C39906AD7}" name="REALIZADO" dataDxfId="69" dataCellStyle="Moeda"/>
    <tableColumn id="4" xr3:uid="{A18F5082-185F-44C4-B163-8A3CBDDA6732}" name="FALTA" dataDxfId="68">
      <calculatedColumnFormula>C40-D40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7" dataDxfId="66">
  <tableColumns count="2">
    <tableColumn id="1" xr3:uid="{C661D03F-A79A-4D24-86FD-3574B6E5537D}" name="Coluna1" dataDxfId="65"/>
    <tableColumn id="2" xr3:uid="{7EF7A574-C8A3-4CB7-9C98-86948FE130EB}" name="Coluna2" headerRowDxfId="64" dataDxfId="6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2" dataDxfId="61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60"/>
    <tableColumn id="2" xr3:uid="{67CE9FE2-AA11-4BD4-9F34-EDC9123EA89F}" name="META" dataDxfId="59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8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7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6" dataDxfId="55">
  <tableColumns count="2">
    <tableColumn id="1" xr3:uid="{0139F26F-4C9F-4E96-9F64-C5C5B271DCA9}" name="Coluna1" dataDxfId="54"/>
    <tableColumn id="2" xr3:uid="{1DA3E17F-38EB-4042-B2F0-3DFB7629A3F5}" name="Coluna2" headerRowDxfId="53" dataDxfId="52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1" dataDxfId="50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VENDEDOR" dataDxfId="49"/>
    <tableColumn id="2" xr3:uid="{0B55D821-52F8-4CE2-9F16-C5BCDBCE53AC}" name="REFERENCIA" dataDxfId="48"/>
    <tableColumn id="3" xr3:uid="{B5D24BF0-392E-420D-BB1D-3FED1D3383B5}" name="COMPROMISSO" dataDxfId="47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1" dataCellStyle="Moeda">
      <calculatedColumnFormula>IFERROR(GETPIVOTDATA("[Measures].[Soma de TOTAL 3]",'[1]BASE PYTHON'!$P$32,"[Intervalo 2].[REGIAO]","[Intervalo 2].[REGIAO].&amp;["&amp;N11&amp;"]","[Intervalo 2].[SEMANA]","[Intervalo 2].[SEMANA].&amp;["&amp;RIGHT($O$9,1)&amp;"]"),0)</calculatedColumnFormula>
    </tableColumn>
    <tableColumn id="5" xr3:uid="{CA195FA3-3822-41FA-8A93-2D86914C048E}" name="FALTA" dataDxfId="0" dataCellStyle="Moeda">
      <calculatedColumnFormula>Tabela8[[#This Row],[COMPROMISSO]]-Tabela8[[#This Row],[ATINGIDO]]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6" dataDxfId="45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4"/>
    <tableColumn id="2" xr3:uid="{7B11DBA8-6FBD-4B67-BDA9-6624DF753EFD}" name="META" dataDxfId="43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42"/>
    <tableColumn id="4" xr3:uid="{84544AF4-5466-4CAC-A349-7B2C804BDA05}" name="FALTA" dataDxfId="41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40" dataDxfId="39">
  <tableColumns count="2">
    <tableColumn id="1" xr3:uid="{870B59CA-1EA4-4CA9-BDCF-4A342A313131}" name="Coluna1" dataDxfId="38"/>
    <tableColumn id="2" xr3:uid="{6FE31DF2-1DB4-4D4B-8783-48EA07B43B53}" name="Coluna2" dataDxfId="37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6" dataDxfId="35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4"/>
    <tableColumn id="2" xr3:uid="{B849FCBC-ED0F-47D9-B4E7-149FFE3500D9}" name="META" dataDxfId="33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32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31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30" dataDxfId="29" tableBorderDxfId="28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VENDEDOR" dataDxfId="27"/>
    <tableColumn id="2" xr3:uid="{E2D85F5C-4525-4FA4-B813-A1322F5C254D}" name="REFERENCIA" dataDxfId="26"/>
    <tableColumn id="3" xr3:uid="{53C55BB3-DDD4-47EF-87D5-552E4D02B5BA}" name="META A" dataDxfId="25">
      <calculatedColumnFormula>_xlfn.XLOOKUP(Tabela2[[#This Row],[VENDEDOR]],[1]!Tabela5[VENDEDOR],[1]!Tabela5[META A])</calculatedColumnFormula>
    </tableColumn>
    <tableColumn id="4" xr3:uid="{018C7BF7-4C79-4668-95B2-CBF2E10B657D}" name="ATINGIDO" dataDxfId="24">
      <calculatedColumnFormula>_xlfn.XLOOKUP(Tabela2[[#This Row],[VENDEDOR]],'[1]BASE PYTHON'!$K:$K,'[1]BASE PYTHON'!$N:$N,0)</calculatedColumnFormula>
    </tableColumn>
    <tableColumn id="5" xr3:uid="{37E12533-09AB-4B65-AEC8-6BB07B5CC2B1}" name="FALTA" dataDxfId="23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22" dataDxfId="21" tableBorderDxfId="20">
  <autoFilter ref="G9:K27" xr:uid="{E3745920-1197-4A81-B558-958DBAB19EA3}"/>
  <tableColumns count="5">
    <tableColumn id="1" xr3:uid="{D324C7DB-F877-4A7E-BC26-EF8905C85433}" name="VENDEDOR" dataDxfId="19"/>
    <tableColumn id="2" xr3:uid="{A71A6478-3B31-4F54-A10C-E6EC00E95E0B}" name="REFERENCIA" dataDxfId="18"/>
    <tableColumn id="3" xr3:uid="{9F5EDCDD-D442-4FBE-9C74-26084F24EFCB}" name="COMPROMISSO" dataDxfId="17" dataCellStyle="Moeda">
      <calculatedColumnFormula>_xlfn.XLOOKUP(Tabela5[[#This Row],[VENDEDOR]],[1]!Tabela1[VENDEDOR],[1]!Tabela1[VALOR])</calculatedColumnFormula>
    </tableColumn>
    <tableColumn id="4" xr3:uid="{2E4F9793-0E4B-42F0-B595-748F8481D0D0}" name="ATINGIDO" dataDxfId="16" dataCellStyle="Moeda">
      <calculatedColumnFormula>_xlfn.XLOOKUP(Tabela5[[#This Row],[VENDEDOR]],'[1]BASE PYTHON'!$H:$H,'[1]BASE PYTHON'!$I:$I,0)</calculatedColumnFormula>
    </tableColumn>
    <tableColumn id="5" xr3:uid="{3CEFD09C-EF55-4119-A139-BD17682D2B73}" name="FALTA" dataDxfId="15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14" tableBorderDxfId="13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VENDEDOR" totalsRowLabel="Total" dataDxfId="12" totalsRowDxfId="11"/>
    <tableColumn id="2" xr3:uid="{4F0BAF4D-D0FC-4B7C-8FF4-8DDD6505FDA1}" name="REFERENCIA" dataDxfId="10" totalsRowDxfId="9"/>
    <tableColumn id="3" xr3:uid="{CCB341E8-8BC2-4209-AEA0-D6F26BFCB356}" name="META A" dataDxfId="8" totalsRowDxfId="7" dataCellStyle="Moeda">
      <calculatedColumnFormula>_xlfn.XLOOKUP(Tabela13[[#This Row],[VENDEDOR]],[1]!Tabela2[VENDEDOR],[1]!Tabela2[META A])</calculatedColumnFormula>
    </tableColumn>
    <tableColumn id="4" xr3:uid="{9AA985E6-33FD-40FD-9473-5AF6B4D03030}" name="ATINGIDO" dataDxfId="6" totalsRowDxfId="5" dataCellStyle="Moeda">
      <calculatedColumnFormula>_xlfn.XLOOKUP(Tabela13[[#This Row],[VENDEDOR]],'[1]BASE PYTHON'!$E:$E,'[1]BASE PYTHON'!$F:$F,0)</calculatedColumnFormula>
    </tableColumn>
    <tableColumn id="5" xr3:uid="{7B8A46E1-DE6F-44C0-A6C8-83887563A4C0}" name="FALTA" totalsRowFunction="sum" dataDxfId="4" totalsRowDxfId="3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63"/>
  <sheetViews>
    <sheetView showGridLines="0" tabSelected="1" zoomScaleNormal="100" workbookViewId="0"/>
  </sheetViews>
  <sheetFormatPr defaultRowHeight="15" x14ac:dyDescent="0.25"/>
  <cols>
    <col min="1" max="1" width="26.5703125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SUM(C10:C36)</f>
        <v>5592500</v>
      </c>
      <c r="D4" s="2"/>
      <c r="E4" s="4"/>
      <c r="F4" s="4"/>
      <c r="G4" s="4"/>
      <c r="H4" s="4" t="s">
        <v>0</v>
      </c>
      <c r="I4" s="7">
        <f>SUM(I10:I27)</f>
        <v>200000</v>
      </c>
      <c r="J4" s="4"/>
      <c r="K4" s="4"/>
      <c r="L4" s="4"/>
      <c r="M4" s="4"/>
      <c r="N4" s="4" t="s">
        <v>37</v>
      </c>
      <c r="O4" s="7">
        <f>SUM(O11:O17)</f>
        <v>608500</v>
      </c>
      <c r="P4" s="4"/>
      <c r="Q4" s="4"/>
      <c r="R4" s="4"/>
      <c r="S4" s="4"/>
      <c r="T4" s="4" t="s">
        <v>38</v>
      </c>
      <c r="U4" s="4">
        <f>SUM(U10:U26)</f>
        <v>758</v>
      </c>
      <c r="V4" s="4"/>
      <c r="W4" s="4"/>
    </row>
    <row r="5" spans="1:23" x14ac:dyDescent="0.25">
      <c r="A5" s="4"/>
      <c r="B5" s="4" t="s">
        <v>1</v>
      </c>
      <c r="C5" s="2">
        <f>SUM(D10:D36)</f>
        <v>4750933.8499999968</v>
      </c>
      <c r="D5" s="2"/>
      <c r="E5" s="4"/>
      <c r="F5" s="4"/>
      <c r="G5" s="4"/>
      <c r="H5" s="4" t="s">
        <v>1</v>
      </c>
      <c r="I5" s="7">
        <f>SUM(J10:J27)</f>
        <v>38856.630000000005</v>
      </c>
      <c r="J5" s="4"/>
      <c r="K5" s="4"/>
      <c r="L5" s="4"/>
      <c r="M5" s="4"/>
      <c r="N5" s="4" t="s">
        <v>1</v>
      </c>
      <c r="O5" s="7">
        <f>SUM(P11:P17)</f>
        <v>177400.28</v>
      </c>
      <c r="P5" s="4"/>
      <c r="Q5" s="4"/>
      <c r="R5" s="4"/>
      <c r="S5" s="4"/>
      <c r="T5" s="4" t="s">
        <v>1</v>
      </c>
      <c r="U5" s="4">
        <f>SUM(V10:V26)</f>
        <v>652</v>
      </c>
      <c r="V5" s="4"/>
      <c r="W5" s="4"/>
    </row>
    <row r="6" spans="1:23" x14ac:dyDescent="0.25">
      <c r="A6" s="4"/>
      <c r="B6" s="4" t="s">
        <v>2</v>
      </c>
      <c r="C6" s="2">
        <f>C4-C5</f>
        <v>841566.15000000317</v>
      </c>
      <c r="D6" s="2"/>
      <c r="E6" s="4"/>
      <c r="F6" s="4"/>
      <c r="G6" s="4"/>
      <c r="H6" s="4" t="s">
        <v>2</v>
      </c>
      <c r="I6" s="7">
        <f>I4-I5</f>
        <v>161143.37</v>
      </c>
      <c r="J6" s="4"/>
      <c r="K6" s="4"/>
      <c r="L6" s="4"/>
      <c r="M6" s="4"/>
      <c r="N6" s="4" t="s">
        <v>2</v>
      </c>
      <c r="O6" s="7">
        <f>O4-O5</f>
        <v>431099.72</v>
      </c>
      <c r="P6" s="4"/>
      <c r="Q6" s="4"/>
      <c r="R6" s="4"/>
      <c r="S6" s="4"/>
      <c r="T6" s="4" t="s">
        <v>2</v>
      </c>
      <c r="U6" s="4">
        <f>U4-U5</f>
        <v>106</v>
      </c>
      <c r="V6" s="4"/>
      <c r="W6" s="4"/>
    </row>
    <row r="7" spans="1:23" x14ac:dyDescent="0.25">
      <c r="A7" s="4"/>
      <c r="B7" s="4" t="s">
        <v>3</v>
      </c>
      <c r="C7" s="3">
        <f>1-(C6/C4)</f>
        <v>0.84951879302637401</v>
      </c>
      <c r="D7" s="2"/>
      <c r="E7" s="4"/>
      <c r="F7" s="4"/>
      <c r="G7" s="4"/>
      <c r="H7" s="4" t="s">
        <v>3</v>
      </c>
      <c r="I7" s="3">
        <f>1-(I6/I4)</f>
        <v>0.19428315000000007</v>
      </c>
      <c r="J7" s="4"/>
      <c r="K7" s="4"/>
      <c r="L7" s="4"/>
      <c r="M7" s="4"/>
      <c r="N7" s="4" t="s">
        <v>3</v>
      </c>
      <c r="O7" s="3">
        <f>1-(O6/O4)</f>
        <v>0.29153702547247329</v>
      </c>
      <c r="P7" s="4"/>
      <c r="Q7" s="4"/>
      <c r="R7" s="4"/>
      <c r="S7" s="4"/>
      <c r="T7" s="4" t="s">
        <v>3</v>
      </c>
      <c r="U7" s="3">
        <f>1-(U6/U4)</f>
        <v>0.86015831134564646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20" t="s">
        <v>5</v>
      </c>
      <c r="B9" s="20" t="s">
        <v>46</v>
      </c>
      <c r="C9" s="28" t="s">
        <v>33</v>
      </c>
      <c r="D9" s="28" t="s">
        <v>1</v>
      </c>
      <c r="E9" s="20" t="s">
        <v>2</v>
      </c>
      <c r="F9" s="4"/>
      <c r="G9" s="18" t="s">
        <v>5</v>
      </c>
      <c r="H9" s="18" t="s">
        <v>46</v>
      </c>
      <c r="I9" s="18" t="s">
        <v>6</v>
      </c>
      <c r="J9" s="18" t="s">
        <v>1</v>
      </c>
      <c r="K9" s="18" t="s">
        <v>2</v>
      </c>
      <c r="L9" s="4"/>
      <c r="M9" s="4"/>
      <c r="N9" s="4"/>
      <c r="O9" s="8" t="s">
        <v>52</v>
      </c>
      <c r="P9" s="4"/>
      <c r="Q9" s="4"/>
      <c r="R9" s="4"/>
      <c r="S9" s="18" t="s">
        <v>5</v>
      </c>
      <c r="T9" s="18" t="s">
        <v>46</v>
      </c>
      <c r="U9" s="18" t="s">
        <v>33</v>
      </c>
      <c r="V9" s="18" t="s">
        <v>1</v>
      </c>
      <c r="W9" s="18" t="s">
        <v>2</v>
      </c>
    </row>
    <row r="10" spans="1:23" x14ac:dyDescent="0.25">
      <c r="A10" s="25" t="s">
        <v>7</v>
      </c>
      <c r="B10" s="25" t="s">
        <v>7</v>
      </c>
      <c r="C10" s="26">
        <f>_xlfn.XLOOKUP(Tabela13[[#This Row],[VENDEDOR]],[1]!Tabela2[VENDEDOR],[1]!Tabela2[META A])</f>
        <v>64500</v>
      </c>
      <c r="D10" s="26">
        <f>_xlfn.XLOOKUP(Tabela13[[#This Row],[VENDEDOR]],'[1]BASE PYTHON'!$E:$E,'[1]BASE PYTHON'!$F:$F,0)</f>
        <v>51405.95999999997</v>
      </c>
      <c r="E10" s="27">
        <f>Tabela13[[#This Row],[META A]]-Tabela13[[#This Row],[ATINGIDO]]</f>
        <v>13094.04000000003</v>
      </c>
      <c r="F10" s="4"/>
      <c r="G10" s="21" t="s">
        <v>18</v>
      </c>
      <c r="H10" s="21" t="s">
        <v>18</v>
      </c>
      <c r="I10" s="22">
        <f>_xlfn.XLOOKUP(Tabela5[[#This Row],[VENDEDOR]],[1]!Tabela1[VENDEDOR],[1]!Tabela1[VALOR])</f>
        <v>19700</v>
      </c>
      <c r="J10" s="22">
        <f>_xlfn.XLOOKUP(Tabela5[[#This Row],[VENDEDOR]],'[1]BASE PYTHON'!$H:$H,'[1]BASE PYTHON'!$I:$I,0)</f>
        <v>1646.54</v>
      </c>
      <c r="K10" s="23">
        <f>Tabela5[[#This Row],[COMPROMISSO]]-Tabela5[[#This Row],[ATINGIDO]]</f>
        <v>18053.46</v>
      </c>
      <c r="L10" s="4"/>
      <c r="M10" s="4" t="s">
        <v>5</v>
      </c>
      <c r="N10" s="4" t="s">
        <v>46</v>
      </c>
      <c r="O10" s="4" t="s">
        <v>6</v>
      </c>
      <c r="P10" s="4" t="s">
        <v>1</v>
      </c>
      <c r="Q10" s="4" t="s">
        <v>2</v>
      </c>
      <c r="R10" s="2"/>
      <c r="S10" s="19" t="s">
        <v>7</v>
      </c>
      <c r="T10" s="19" t="s">
        <v>7</v>
      </c>
      <c r="U10" s="19">
        <f>_xlfn.XLOOKUP(Tabela2[[#This Row],[VENDEDOR]],[1]!Tabela5[VENDEDOR],[1]!Tabela5[META A])</f>
        <v>36</v>
      </c>
      <c r="V10" s="19">
        <f>_xlfn.XLOOKUP(Tabela2[[#This Row],[VENDEDOR]],'[1]BASE PYTHON'!$K:$K,'[1]BASE PYTHON'!$N:$N,0)</f>
        <v>28</v>
      </c>
      <c r="W10" s="19">
        <f>U10-V10</f>
        <v>8</v>
      </c>
    </row>
    <row r="11" spans="1:23" x14ac:dyDescent="0.25">
      <c r="A11" s="16" t="s">
        <v>8</v>
      </c>
      <c r="B11" s="16" t="s">
        <v>8</v>
      </c>
      <c r="C11" s="17">
        <f>_xlfn.XLOOKUP(Tabela13[[#This Row],[VENDEDOR]],[1]!Tabela2[VENDEDOR],[1]!Tabela2[META A])</f>
        <v>325000</v>
      </c>
      <c r="D11" s="17">
        <f>_xlfn.XLOOKUP(Tabela13[[#This Row],[VENDEDOR]],'[1]BASE PYTHON'!$E:$E,'[1]BASE PYTHON'!$F:$F,0)</f>
        <v>308466.07999999967</v>
      </c>
      <c r="E11" s="24">
        <f>Tabela13[[#This Row],[META A]]-Tabela13[[#This Row],[ATINGIDO]]</f>
        <v>16533.920000000333</v>
      </c>
      <c r="F11" s="4"/>
      <c r="G11" s="21" t="s">
        <v>17</v>
      </c>
      <c r="H11" s="21" t="s">
        <v>17</v>
      </c>
      <c r="I11" s="22">
        <f>_xlfn.XLOOKUP(Tabela5[[#This Row],[VENDEDOR]],[1]!Tabela1[VENDEDOR],[1]!Tabela1[VALOR])</f>
        <v>14940</v>
      </c>
      <c r="J11" s="22">
        <f>_xlfn.XLOOKUP(Tabela5[[#This Row],[VENDEDOR]],'[1]BASE PYTHON'!$H:$H,'[1]BASE PYTHON'!$I:$I,0)</f>
        <v>3003.9500000000003</v>
      </c>
      <c r="K11" s="23">
        <f>Tabela5[[#This Row],[COMPROMISSO]]-Tabela5[[#This Row],[ATINGIDO]]</f>
        <v>11936.05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0</v>
      </c>
      <c r="P11" s="2">
        <f>IFERROR(GETPIVOTDATA("[Measures].[Soma de TOTAL 3]",'[1]BASE PYTHON'!$P$32,"[Intervalo 2].[REGIAO]","[Intervalo 2].[REGIAO].&amp;["&amp;N11&amp;"]","[Intervalo 2].[SEMANA]","[Intervalo 2].[SEMANA].&amp;["&amp;RIGHT($O$9,1)&amp;"]"),0)</f>
        <v>20641.849999999999</v>
      </c>
      <c r="Q11" s="2">
        <f>Tabela8[[#This Row],[COMPROMISSO]]-Tabela8[[#This Row],[ATINGIDO]]</f>
        <v>-20641.849999999999</v>
      </c>
      <c r="R11" s="2"/>
      <c r="S11" s="19" t="s">
        <v>8</v>
      </c>
      <c r="T11" s="19" t="s">
        <v>8</v>
      </c>
      <c r="U11" s="19">
        <f>_xlfn.XLOOKUP(Tabela2[[#This Row],[VENDEDOR]],[1]!Tabela5[VENDEDOR],[1]!Tabela5[META A])</f>
        <v>52</v>
      </c>
      <c r="V11" s="19">
        <f>_xlfn.XLOOKUP(Tabela2[[#This Row],[VENDEDOR]],'[1]BASE PYTHON'!$K:$K,'[1]BASE PYTHON'!$N:$N,0)</f>
        <v>50</v>
      </c>
      <c r="W11" s="19">
        <f t="shared" ref="W11:W20" si="0">U11-V11</f>
        <v>2</v>
      </c>
    </row>
    <row r="12" spans="1:23" x14ac:dyDescent="0.25">
      <c r="A12" s="25" t="s">
        <v>51</v>
      </c>
      <c r="B12" s="25" t="s">
        <v>39</v>
      </c>
      <c r="C12" s="26">
        <v>1000</v>
      </c>
      <c r="D12" s="26">
        <f>_xlfn.XLOOKUP(Tabela13[[#This Row],[VENDEDOR]],'[1]BASE PYTHON'!$E:$E,'[1]BASE PYTHON'!$F:$F,0)</f>
        <v>217.49</v>
      </c>
      <c r="E12" s="27">
        <f>Tabela13[[#This Row],[META A]]-Tabela13[[#This Row],[ATINGIDO]]</f>
        <v>782.51</v>
      </c>
      <c r="F12" s="4"/>
      <c r="G12" s="21" t="s">
        <v>19</v>
      </c>
      <c r="H12" s="21" t="s">
        <v>19</v>
      </c>
      <c r="I12" s="22">
        <f>_xlfn.XLOOKUP(Tabela5[[#This Row],[VENDEDOR]],[1]!Tabela1[VENDEDOR],[1]!Tabela1[VALOR])</f>
        <v>14750</v>
      </c>
      <c r="J12" s="22">
        <f>_xlfn.XLOOKUP(Tabela5[[#This Row],[VENDEDOR]],'[1]BASE PYTHON'!$H:$H,'[1]BASE PYTHON'!$I:$I,0)</f>
        <v>1448.9</v>
      </c>
      <c r="K12" s="23">
        <f>Tabela5[[#This Row],[COMPROMISSO]]-Tabela5[[#This Row],[ATINGIDO]]</f>
        <v>13301.1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69000</v>
      </c>
      <c r="P12" s="2">
        <f>IFERROR(GETPIVOTDATA("[Measures].[Soma de TOTAL 3]",'[1]BASE PYTHON'!$P$32,"[Intervalo 2].[REGIAO]","[Intervalo 2].[REGIAO].&amp;["&amp;N12&amp;"]","[Intervalo 2].[SEMANA]","[Intervalo 2].[SEMANA].&amp;["&amp;RIGHT($O$9,1)&amp;"]"),0)</f>
        <v>1724</v>
      </c>
      <c r="Q12" s="2">
        <f>Tabela8[[#This Row],[COMPROMISSO]]-Tabela8[[#This Row],[ATINGIDO]]</f>
        <v>67276</v>
      </c>
      <c r="R12" s="2"/>
      <c r="S12" s="19" t="s">
        <v>9</v>
      </c>
      <c r="T12" s="19" t="s">
        <v>9</v>
      </c>
      <c r="U12" s="19">
        <f>_xlfn.XLOOKUP(Tabela2[[#This Row],[VENDEDOR]],[1]!Tabela5[VENDEDOR],[1]!Tabela5[META A])</f>
        <v>41</v>
      </c>
      <c r="V12" s="19">
        <f>_xlfn.XLOOKUP(Tabela2[[#This Row],[VENDEDOR]],'[1]BASE PYTHON'!$K:$K,'[1]BASE PYTHON'!$N:$N,0)</f>
        <v>38</v>
      </c>
      <c r="W12" s="19">
        <f t="shared" si="0"/>
        <v>3</v>
      </c>
    </row>
    <row r="13" spans="1:23" x14ac:dyDescent="0.25">
      <c r="A13" s="16" t="s">
        <v>9</v>
      </c>
      <c r="B13" s="16" t="s">
        <v>9</v>
      </c>
      <c r="C13" s="17">
        <f>_xlfn.XLOOKUP(Tabela13[[#This Row],[VENDEDOR]],[1]!Tabela2[VENDEDOR],[1]!Tabela2[META A])</f>
        <v>90000</v>
      </c>
      <c r="D13" s="17">
        <f>_xlfn.XLOOKUP(Tabela13[[#This Row],[VENDEDOR]],'[1]BASE PYTHON'!$E:$E,'[1]BASE PYTHON'!$F:$F,0)</f>
        <v>70583.370000000039</v>
      </c>
      <c r="E13" s="24">
        <f>Tabela13[[#This Row],[META A]]-Tabela13[[#This Row],[ATINGIDO]]</f>
        <v>19416.629999999961</v>
      </c>
      <c r="F13" s="4"/>
      <c r="G13" s="21" t="s">
        <v>21</v>
      </c>
      <c r="H13" s="21" t="s">
        <v>21</v>
      </c>
      <c r="I13" s="22">
        <f>_xlfn.XLOOKUP(Tabela5[[#This Row],[VENDEDOR]],[1]!Tabela1[VENDEDOR],[1]!Tabela1[VALOR])</f>
        <v>22120</v>
      </c>
      <c r="J13" s="22">
        <f>_xlfn.XLOOKUP(Tabela5[[#This Row],[VENDEDOR]],'[1]BASE PYTHON'!$H:$H,'[1]BASE PYTHON'!$I:$I,0)</f>
        <v>0</v>
      </c>
      <c r="K13" s="23">
        <f>Tabela5[[#This Row],[COMPROMISSO]]-Tabela5[[#This Row],[ATINGIDO]]</f>
        <v>22120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138500</v>
      </c>
      <c r="P13" s="2">
        <f>IFERROR(GETPIVOTDATA("[Measures].[Soma de TOTAL 3]",'[1]BASE PYTHON'!$P$32,"[Intervalo 2].[REGIAO]","[Intervalo 2].[REGIAO].&amp;["&amp;N13&amp;"]","[Intervalo 2].[SEMANA]","[Intervalo 2].[SEMANA].&amp;["&amp;RIGHT($O$9,1)&amp;"]"),0)</f>
        <v>20495.8</v>
      </c>
      <c r="Q13" s="2">
        <f>Tabela8[[#This Row],[COMPROMISSO]]-Tabela8[[#This Row],[ATINGIDO]]</f>
        <v>118004.2</v>
      </c>
      <c r="R13" s="2"/>
      <c r="S13" s="19" t="s">
        <v>10</v>
      </c>
      <c r="T13" s="19" t="s">
        <v>10</v>
      </c>
      <c r="U13" s="19">
        <f>_xlfn.XLOOKUP(Tabela2[[#This Row],[VENDEDOR]],[1]!Tabela5[VENDEDOR],[1]!Tabela5[META A])</f>
        <v>59</v>
      </c>
      <c r="V13" s="19">
        <f>_xlfn.XLOOKUP(Tabela2[[#This Row],[VENDEDOR]],'[1]BASE PYTHON'!$K:$K,'[1]BASE PYTHON'!$N:$N,0)</f>
        <v>57</v>
      </c>
      <c r="W13" s="19">
        <f t="shared" si="0"/>
        <v>2</v>
      </c>
    </row>
    <row r="14" spans="1:23" x14ac:dyDescent="0.25">
      <c r="A14" s="25" t="s">
        <v>10</v>
      </c>
      <c r="B14" s="25" t="s">
        <v>10</v>
      </c>
      <c r="C14" s="26">
        <f>_xlfn.XLOOKUP(Tabela13[[#This Row],[VENDEDOR]],[1]!Tabela2[VENDEDOR],[1]!Tabela2[META A])</f>
        <v>273000</v>
      </c>
      <c r="D14" s="26">
        <f>_xlfn.XLOOKUP(Tabela13[[#This Row],[VENDEDOR]],'[1]BASE PYTHON'!$E:$E,'[1]BASE PYTHON'!$F:$F,0)</f>
        <v>214342.25999999989</v>
      </c>
      <c r="E14" s="27">
        <f>Tabela13[[#This Row],[META A]]-Tabela13[[#This Row],[ATINGIDO]]</f>
        <v>58657.740000000107</v>
      </c>
      <c r="F14" s="4"/>
      <c r="G14" s="21" t="s">
        <v>15</v>
      </c>
      <c r="H14" s="21" t="s">
        <v>43</v>
      </c>
      <c r="I14" s="22">
        <f>_xlfn.XLOOKUP(Tabela5[[#This Row],[VENDEDOR]],[1]!Tabela1[VENDEDOR],[1]!Tabela1[VALOR])</f>
        <v>10330</v>
      </c>
      <c r="J14" s="22">
        <f>_xlfn.XLOOKUP(Tabela5[[#This Row],[VENDEDOR]],'[1]BASE PYTHON'!$H:$H,'[1]BASE PYTHON'!$I:$I,0)</f>
        <v>2888</v>
      </c>
      <c r="K14" s="23">
        <f>Tabela5[[#This Row],[COMPROMISSO]]-Tabela5[[#This Row],[ATINGIDO]]</f>
        <v>7442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185000</v>
      </c>
      <c r="P14" s="2">
        <f>IFERROR(GETPIVOTDATA("[Measures].[Soma de TOTAL 3]",'[1]BASE PYTHON'!$P$32,"[Intervalo 2].[REGIAO]","[Intervalo 2].[REGIAO].&amp;["&amp;N14&amp;"]","[Intervalo 2].[SEMANA]","[Intervalo 2].[SEMANA].&amp;["&amp;RIGHT($O$9,1)&amp;"]"),0)</f>
        <v>88823.60000000002</v>
      </c>
      <c r="Q14" s="2">
        <f>Tabela8[[#This Row],[COMPROMISSO]]-Tabela8[[#This Row],[ATINGIDO]]</f>
        <v>96176.39999999998</v>
      </c>
      <c r="R14" s="2"/>
      <c r="S14" s="19" t="s">
        <v>11</v>
      </c>
      <c r="T14" s="19" t="s">
        <v>11</v>
      </c>
      <c r="U14" s="19">
        <f>_xlfn.XLOOKUP(Tabela2[[#This Row],[VENDEDOR]],[1]!Tabela5[VENDEDOR],[1]!Tabela5[META A])</f>
        <v>27</v>
      </c>
      <c r="V14" s="19">
        <f>_xlfn.XLOOKUP(Tabela2[[#This Row],[VENDEDOR]],'[1]BASE PYTHON'!$K:$K,'[1]BASE PYTHON'!$N:$N,0)</f>
        <v>26</v>
      </c>
      <c r="W14" s="19">
        <f t="shared" si="0"/>
        <v>1</v>
      </c>
    </row>
    <row r="15" spans="1:23" x14ac:dyDescent="0.25">
      <c r="A15" s="16" t="s">
        <v>11</v>
      </c>
      <c r="B15" s="16" t="s">
        <v>11</v>
      </c>
      <c r="C15" s="17">
        <f>_xlfn.XLOOKUP(Tabela13[[#This Row],[VENDEDOR]],[1]!Tabela2[VENDEDOR],[1]!Tabela2[META A])</f>
        <v>78000</v>
      </c>
      <c r="D15" s="17">
        <f>_xlfn.XLOOKUP(Tabela13[[#This Row],[VENDEDOR]],'[1]BASE PYTHON'!$E:$E,'[1]BASE PYTHON'!$F:$F,0)</f>
        <v>66475.08000000006</v>
      </c>
      <c r="E15" s="24">
        <f>Tabela13[[#This Row],[META A]]-Tabela13[[#This Row],[ATINGIDO]]</f>
        <v>11524.91999999994</v>
      </c>
      <c r="F15" s="4"/>
      <c r="G15" s="21" t="s">
        <v>8</v>
      </c>
      <c r="H15" s="21" t="s">
        <v>8</v>
      </c>
      <c r="I15" s="22">
        <f>_xlfn.XLOOKUP(Tabela5[[#This Row],[VENDEDOR]],[1]!Tabela1[VENDEDOR],[1]!Tabela1[VALOR])</f>
        <v>25680</v>
      </c>
      <c r="J15" s="22">
        <f>_xlfn.XLOOKUP(Tabela5[[#This Row],[VENDEDOR]],'[1]BASE PYTHON'!$H:$H,'[1]BASE PYTHON'!$I:$I,0)</f>
        <v>6572.8099999999995</v>
      </c>
      <c r="K15" s="23">
        <f>Tabela5[[#This Row],[COMPROMISSO]]-Tabela5[[#This Row],[ATINGIDO]]</f>
        <v>19107.190000000002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150000</v>
      </c>
      <c r="P15" s="2">
        <f>IFERROR(GETPIVOTDATA("[Measures].[Soma de TOTAL 3]",'[1]BASE PYTHON'!$P$32,"[Intervalo 2].[REGIAO]","[Intervalo 2].[REGIAO].&amp;["&amp;N15&amp;"]","[Intervalo 2].[SEMANA]","[Intervalo 2].[SEMANA].&amp;["&amp;RIGHT($O$9,1)&amp;"]"),0)</f>
        <v>22654.829999999998</v>
      </c>
      <c r="Q15" s="2">
        <f>Tabela8[[#This Row],[COMPROMISSO]]-Tabela8[[#This Row],[ATINGIDO]]</f>
        <v>127345.17</v>
      </c>
      <c r="R15" s="2"/>
      <c r="S15" s="19" t="s">
        <v>12</v>
      </c>
      <c r="T15" s="19" t="s">
        <v>12</v>
      </c>
      <c r="U15" s="19">
        <f>_xlfn.XLOOKUP(Tabela2[[#This Row],[VENDEDOR]],[1]!Tabela5[VENDEDOR],[1]!Tabela5[META A])</f>
        <v>48</v>
      </c>
      <c r="V15" s="19">
        <f>_xlfn.XLOOKUP(Tabela2[[#This Row],[VENDEDOR]],'[1]BASE PYTHON'!$K:$K,'[1]BASE PYTHON'!$N:$N,0)</f>
        <v>31</v>
      </c>
      <c r="W15" s="19">
        <f>U15-V15</f>
        <v>17</v>
      </c>
    </row>
    <row r="16" spans="1:23" x14ac:dyDescent="0.25">
      <c r="A16" s="25" t="s">
        <v>26</v>
      </c>
      <c r="B16" s="25" t="s">
        <v>26</v>
      </c>
      <c r="C16" s="26">
        <f>_xlfn.XLOOKUP(Tabela13[[#This Row],[VENDEDOR]],[1]!Tabela2[VENDEDOR],[1]!Tabela2[META A])</f>
        <v>325000</v>
      </c>
      <c r="D16" s="26">
        <f>_xlfn.XLOOKUP(Tabela13[[#This Row],[VENDEDOR]],'[1]BASE PYTHON'!$E:$E,'[1]BASE PYTHON'!$F:$F,0)</f>
        <v>281298.46999999997</v>
      </c>
      <c r="E16" s="27">
        <f>Tabela13[[#This Row],[META A]]-Tabela13[[#This Row],[ATINGIDO]]</f>
        <v>43701.530000000028</v>
      </c>
      <c r="F16" s="4"/>
      <c r="G16" s="21" t="s">
        <v>20</v>
      </c>
      <c r="H16" s="21" t="s">
        <v>20</v>
      </c>
      <c r="I16" s="22">
        <f>_xlfn.XLOOKUP(Tabela5[[#This Row],[VENDEDOR]],[1]!Tabela1[VENDEDOR],[1]!Tabela1[VALOR])</f>
        <v>9690</v>
      </c>
      <c r="J16" s="22">
        <f>_xlfn.XLOOKUP(Tabela5[[#This Row],[VENDEDOR]],'[1]BASE PYTHON'!$H:$H,'[1]BASE PYTHON'!$I:$I,0)</f>
        <v>2539.15</v>
      </c>
      <c r="K16" s="23">
        <f>Tabela5[[#This Row],[COMPROMISSO]]-Tabela5[[#This Row],[ATINGIDO]]</f>
        <v>7150.85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66000</v>
      </c>
      <c r="P16" s="2">
        <f>IFERROR(GETPIVOTDATA("[Measures].[Soma de TOTAL 3]",'[1]BASE PYTHON'!$P$32,"[Intervalo 2].[REGIAO]","[Intervalo 2].[REGIAO].&amp;["&amp;N16&amp;"]","[Intervalo 2].[SEMANA]","[Intervalo 2].[SEMANA].&amp;["&amp;RIGHT($O$9,1)&amp;"]"),0)</f>
        <v>0</v>
      </c>
      <c r="Q16" s="2">
        <f>Tabela8[[#This Row],[COMPROMISSO]]-Tabela8[[#This Row],[ATINGIDO]]</f>
        <v>66000</v>
      </c>
      <c r="R16" s="2"/>
      <c r="S16" s="19" t="s">
        <v>16</v>
      </c>
      <c r="T16" s="19" t="s">
        <v>16</v>
      </c>
      <c r="U16" s="19">
        <f>_xlfn.XLOOKUP(Tabela2[[#This Row],[VENDEDOR]],[1]!Tabela5[VENDEDOR],[1]!Tabela5[META A])</f>
        <v>39</v>
      </c>
      <c r="V16" s="19">
        <f>_xlfn.XLOOKUP(Tabela2[[#This Row],[VENDEDOR]],'[1]BASE PYTHON'!$K:$K,'[1]BASE PYTHON'!$N:$N,0)</f>
        <v>39</v>
      </c>
      <c r="W16" s="19">
        <f t="shared" si="0"/>
        <v>0</v>
      </c>
    </row>
    <row r="17" spans="1:23" x14ac:dyDescent="0.25">
      <c r="A17" s="16" t="s">
        <v>32</v>
      </c>
      <c r="B17" s="16" t="s">
        <v>32</v>
      </c>
      <c r="C17" s="17">
        <f>_xlfn.XLOOKUP(Tabela13[[#This Row],[VENDEDOR]],[1]!Tabela2[VENDEDOR],[1]!Tabela2[META A])</f>
        <v>170000</v>
      </c>
      <c r="D17" s="17">
        <f>_xlfn.XLOOKUP(Tabela13[[#This Row],[VENDEDOR]],'[1]BASE PYTHON'!$E:$E,'[1]BASE PYTHON'!$F:$F,0)</f>
        <v>289653.48000000004</v>
      </c>
      <c r="E17" s="24">
        <f>Tabela13[[#This Row],[META A]]-Tabela13[[#This Row],[ATINGIDO]]</f>
        <v>-119653.48000000004</v>
      </c>
      <c r="F17" s="4"/>
      <c r="G17" s="21" t="s">
        <v>16</v>
      </c>
      <c r="H17" s="21" t="s">
        <v>16</v>
      </c>
      <c r="I17" s="22">
        <f>_xlfn.XLOOKUP(Tabela5[[#This Row],[VENDEDOR]],[1]!Tabela1[VENDEDOR],[1]!Tabela1[VALOR])</f>
        <v>7260</v>
      </c>
      <c r="J17" s="22">
        <f>_xlfn.XLOOKUP(Tabela5[[#This Row],[VENDEDOR]],'[1]BASE PYTHON'!$H:$H,'[1]BASE PYTHON'!$I:$I,0)</f>
        <v>809.65000000000009</v>
      </c>
      <c r="K17" s="23">
        <f>Tabela5[[#This Row],[COMPROMISSO]]-Tabela5[[#This Row],[ATINGIDO]]</f>
        <v>6450.35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IFERROR(GETPIVOTDATA("[Measures].[Soma de TOTAL 3]",'[1]BASE PYTHON'!$P$32,"[Intervalo 2].[REGIAO]","[Intervalo 2].[REGIAO].&amp;["&amp;N17&amp;"]","[Intervalo 2].[SEMANA]","[Intervalo 2].[SEMANA].&amp;["&amp;RIGHT($O$9,1)&amp;"]"),0)</f>
        <v>23060.200000000012</v>
      </c>
      <c r="Q17" s="2">
        <f>Tabela8[[#This Row],[COMPROMISSO]]-Tabela8[[#This Row],[ATINGIDO]]</f>
        <v>-23060.200000000012</v>
      </c>
      <c r="R17" s="2"/>
      <c r="S17" s="19" t="s">
        <v>13</v>
      </c>
      <c r="T17" s="19" t="s">
        <v>41</v>
      </c>
      <c r="U17" s="19">
        <f>_xlfn.XLOOKUP(Tabela2[[#This Row],[VENDEDOR]],[1]!Tabela5[VENDEDOR],[1]!Tabela5[META A])</f>
        <v>49</v>
      </c>
      <c r="V17" s="19">
        <f>_xlfn.XLOOKUP(Tabela2[[#This Row],[VENDEDOR]],'[1]BASE PYTHON'!$K:$K,'[1]BASE PYTHON'!$N:$N,0)</f>
        <v>52</v>
      </c>
      <c r="W17" s="19">
        <f t="shared" si="0"/>
        <v>-3</v>
      </c>
    </row>
    <row r="18" spans="1:23" x14ac:dyDescent="0.25">
      <c r="A18" s="25" t="s">
        <v>29</v>
      </c>
      <c r="B18" s="25" t="s">
        <v>29</v>
      </c>
      <c r="C18" s="26">
        <f>_xlfn.XLOOKUP(Tabela13[[#This Row],[VENDEDOR]],[1]!Tabela2[VENDEDOR],[1]!Tabela2[META A])</f>
        <v>950000</v>
      </c>
      <c r="D18" s="26">
        <f>_xlfn.XLOOKUP(Tabela13[[#This Row],[VENDEDOR]],'[1]BASE PYTHON'!$E:$E,'[1]BASE PYTHON'!$F:$F,0)</f>
        <v>940217.00000000012</v>
      </c>
      <c r="E18" s="27">
        <f>Tabela13[[#This Row],[META A]]-Tabela13[[#This Row],[ATINGIDO]]</f>
        <v>9782.9999999998836</v>
      </c>
      <c r="F18" s="4"/>
      <c r="G18" s="21" t="s">
        <v>12</v>
      </c>
      <c r="H18" s="21" t="s">
        <v>12</v>
      </c>
      <c r="I18" s="22">
        <f>_xlfn.XLOOKUP(Tabela5[[#This Row],[VENDEDOR]],[1]!Tabela1[VENDEDOR],[1]!Tabela1[VALOR])</f>
        <v>10040</v>
      </c>
      <c r="J18" s="22">
        <f>_xlfn.XLOOKUP(Tabela5[[#This Row],[VENDEDOR]],'[1]BASE PYTHON'!$H:$H,'[1]BASE PYTHON'!$I:$I,0)</f>
        <v>954.5</v>
      </c>
      <c r="K18" s="23">
        <f>Tabela5[[#This Row],[COMPROMISSO]]-Tabela5[[#This Row],[ATINGIDO]]</f>
        <v>9085.5</v>
      </c>
      <c r="L18" s="4"/>
      <c r="M18" s="15"/>
      <c r="N18" s="4"/>
      <c r="O18" s="4"/>
      <c r="P18" s="2"/>
      <c r="Q18" s="2"/>
      <c r="R18" s="4"/>
      <c r="S18" s="19" t="s">
        <v>17</v>
      </c>
      <c r="T18" s="19" t="s">
        <v>17</v>
      </c>
      <c r="U18" s="19">
        <f>_xlfn.XLOOKUP(Tabela2[[#This Row],[VENDEDOR]],[1]!Tabela5[VENDEDOR],[1]!Tabela5[META A])</f>
        <v>45</v>
      </c>
      <c r="V18" s="19">
        <f>_xlfn.XLOOKUP(Tabela2[[#This Row],[VENDEDOR]],'[1]BASE PYTHON'!$K:$K,'[1]BASE PYTHON'!$N:$N,0)</f>
        <v>46</v>
      </c>
      <c r="W18" s="19">
        <f t="shared" si="0"/>
        <v>-1</v>
      </c>
    </row>
    <row r="19" spans="1:23" x14ac:dyDescent="0.25">
      <c r="A19" s="16" t="s">
        <v>31</v>
      </c>
      <c r="B19" s="16" t="s">
        <v>31</v>
      </c>
      <c r="C19" s="17">
        <f>_xlfn.XLOOKUP(Tabela13[[#This Row],[VENDEDOR]],[1]!Tabela2[VENDEDOR],[1]!Tabela2[META A])</f>
        <v>130000</v>
      </c>
      <c r="D19" s="17">
        <f>_xlfn.XLOOKUP(Tabela13[[#This Row],[VENDEDOR]],'[1]BASE PYTHON'!$E:$E,'[1]BASE PYTHON'!$F:$F,0)</f>
        <v>127140.10000000006</v>
      </c>
      <c r="E19" s="24">
        <f>Tabela13[[#This Row],[META A]]-Tabela13[[#This Row],[ATINGIDO]]</f>
        <v>2859.899999999936</v>
      </c>
      <c r="F19" s="4"/>
      <c r="G19" s="21" t="s">
        <v>13</v>
      </c>
      <c r="H19" s="21" t="s">
        <v>41</v>
      </c>
      <c r="I19" s="22">
        <f>_xlfn.XLOOKUP(Tabela5[[#This Row],[VENDEDOR]],[1]!Tabela1[VENDEDOR],[1]!Tabela1[VALOR])</f>
        <v>10180</v>
      </c>
      <c r="J19" s="22">
        <f>_xlfn.XLOOKUP(Tabela5[[#This Row],[VENDEDOR]],'[1]BASE PYTHON'!$H:$H,'[1]BASE PYTHON'!$I:$I,0)</f>
        <v>2571.2000000000003</v>
      </c>
      <c r="K19" s="23">
        <f>Tabela5[[#This Row],[COMPROMISSO]]-Tabela5[[#This Row],[ATINGIDO]]</f>
        <v>7608.7999999999993</v>
      </c>
      <c r="L19" s="4"/>
      <c r="M19" s="4"/>
      <c r="R19" s="4"/>
      <c r="S19" s="19" t="s">
        <v>18</v>
      </c>
      <c r="T19" s="19" t="s">
        <v>18</v>
      </c>
      <c r="U19" s="19">
        <f>_xlfn.XLOOKUP(Tabela2[[#This Row],[VENDEDOR]],[1]!Tabela5[VENDEDOR],[1]!Tabela5[META A])</f>
        <v>61</v>
      </c>
      <c r="V19" s="19">
        <f>_xlfn.XLOOKUP(Tabela2[[#This Row],[VENDEDOR]],'[1]BASE PYTHON'!$K:$K,'[1]BASE PYTHON'!$N:$N,0)</f>
        <v>63</v>
      </c>
      <c r="W19" s="19">
        <f t="shared" si="0"/>
        <v>-2</v>
      </c>
    </row>
    <row r="20" spans="1:23" x14ac:dyDescent="0.25">
      <c r="A20" s="25" t="s">
        <v>30</v>
      </c>
      <c r="B20" s="25" t="s">
        <v>30</v>
      </c>
      <c r="C20" s="26">
        <f>_xlfn.XLOOKUP(Tabela13[[#This Row],[VENDEDOR]],[1]!Tabela2[VENDEDOR],[1]!Tabela2[META A])</f>
        <v>560000</v>
      </c>
      <c r="D20" s="26">
        <f>_xlfn.XLOOKUP(Tabela13[[#This Row],[VENDEDOR]],'[1]BASE PYTHON'!$E:$E,'[1]BASE PYTHON'!$F:$F,0)</f>
        <v>302147.56999999995</v>
      </c>
      <c r="E20" s="27">
        <f>Tabela13[[#This Row],[META A]]-Tabela13[[#This Row],[ATINGIDO]]</f>
        <v>257852.43000000005</v>
      </c>
      <c r="F20" s="4"/>
      <c r="G20" s="21" t="s">
        <v>10</v>
      </c>
      <c r="H20" s="21" t="s">
        <v>10</v>
      </c>
      <c r="I20" s="22">
        <f>_xlfn.XLOOKUP(Tabela5[[#This Row],[VENDEDOR]],[1]!Tabela1[VENDEDOR],[1]!Tabela1[VALOR])</f>
        <v>13240</v>
      </c>
      <c r="J20" s="22">
        <f>_xlfn.XLOOKUP(Tabela5[[#This Row],[VENDEDOR]],'[1]BASE PYTHON'!$H:$H,'[1]BASE PYTHON'!$I:$I,0)</f>
        <v>1714.1000000000001</v>
      </c>
      <c r="K20" s="23">
        <f>Tabela5[[#This Row],[COMPROMISSO]]-Tabela5[[#This Row],[ATINGIDO]]</f>
        <v>11525.9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9" t="s">
        <v>14</v>
      </c>
      <c r="T20" s="19" t="s">
        <v>42</v>
      </c>
      <c r="U20" s="19">
        <f>_xlfn.XLOOKUP(Tabela2[[#This Row],[VENDEDOR]],[1]!Tabela5[VENDEDOR],[1]!Tabela5[META A])</f>
        <v>39</v>
      </c>
      <c r="V20" s="19">
        <f>_xlfn.XLOOKUP(Tabela2[[#This Row],[VENDEDOR]],'[1]BASE PYTHON'!$K:$K,'[1]BASE PYTHON'!$N:$N,0)</f>
        <v>30</v>
      </c>
      <c r="W20" s="19">
        <f t="shared" si="0"/>
        <v>9</v>
      </c>
    </row>
    <row r="21" spans="1:23" x14ac:dyDescent="0.25">
      <c r="A21" s="16" t="s">
        <v>28</v>
      </c>
      <c r="B21" s="16" t="s">
        <v>28</v>
      </c>
      <c r="C21" s="17">
        <f>_xlfn.XLOOKUP(Tabela13[[#This Row],[VENDEDOR]],[1]!Tabela2[VENDEDOR],[1]!Tabela2[META A])</f>
        <v>415000</v>
      </c>
      <c r="D21" s="17">
        <f>_xlfn.XLOOKUP(Tabela13[[#This Row],[VENDEDOR]],'[1]BASE PYTHON'!$E:$E,'[1]BASE PYTHON'!$F:$F,0)</f>
        <v>337504.09999999957</v>
      </c>
      <c r="E21" s="24">
        <f>Tabela13[[#This Row],[META A]]-Tabela13[[#This Row],[ATINGIDO]]</f>
        <v>77495.900000000431</v>
      </c>
      <c r="F21" s="4"/>
      <c r="G21" s="21" t="s">
        <v>11</v>
      </c>
      <c r="H21" s="21" t="s">
        <v>11</v>
      </c>
      <c r="I21" s="22">
        <f>_xlfn.XLOOKUP(Tabela5[[#This Row],[VENDEDOR]],[1]!Tabela1[VENDEDOR],[1]!Tabela1[VALOR])</f>
        <v>7840</v>
      </c>
      <c r="J21" s="22">
        <f>_xlfn.XLOOKUP(Tabela5[[#This Row],[VENDEDOR]],'[1]BASE PYTHON'!$H:$H,'[1]BASE PYTHON'!$I:$I,0)</f>
        <v>3104.2000000000007</v>
      </c>
      <c r="K21" s="23">
        <f>Tabela5[[#This Row],[COMPROMISSO]]-Tabela5[[#This Row],[ATINGIDO]]</f>
        <v>4735.7999999999993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371590.90909090912</v>
      </c>
      <c r="P21" s="2">
        <f>IFERROR(GETPIVOTDATA("[Measures].[Soma de TOTAL 3]",'[1]BASE PYTHON'!$P$32,"[Intervalo 2].[SEMANA]","[Intervalo 2].[SEMANA].&amp;[1]"),0)</f>
        <v>275241.61999999976</v>
      </c>
      <c r="Q21" s="7">
        <f>O21-P21</f>
        <v>96349.289090909355</v>
      </c>
      <c r="R21" s="4"/>
      <c r="S21" s="19" t="s">
        <v>19</v>
      </c>
      <c r="T21" s="19" t="s">
        <v>19</v>
      </c>
      <c r="U21" s="19">
        <f>_xlfn.XLOOKUP(Tabela2[[#This Row],[VENDEDOR]],[1]!Tabela5[VENDEDOR],[1]!Tabela5[META A])</f>
        <v>44</v>
      </c>
      <c r="V21" s="19">
        <f>_xlfn.XLOOKUP(Tabela2[[#This Row],[VENDEDOR]],'[1]BASE PYTHON'!$K:$K,'[1]BASE PYTHON'!$N:$N,0)</f>
        <v>27</v>
      </c>
      <c r="W21" s="19">
        <f t="shared" ref="W21:W26" si="1">U21-V21</f>
        <v>17</v>
      </c>
    </row>
    <row r="22" spans="1:23" x14ac:dyDescent="0.25">
      <c r="A22" s="25" t="s">
        <v>12</v>
      </c>
      <c r="B22" s="25" t="s">
        <v>12</v>
      </c>
      <c r="C22" s="26">
        <f>_xlfn.XLOOKUP(Tabela13[[#This Row],[VENDEDOR]],[1]!Tabela2[VENDEDOR],[1]!Tabela2[META A])</f>
        <v>122000</v>
      </c>
      <c r="D22" s="26">
        <f>_xlfn.XLOOKUP(Tabela13[[#This Row],[VENDEDOR]],'[1]BASE PYTHON'!$E:$E,'[1]BASE PYTHON'!$F:$F,0)</f>
        <v>88229.859999999913</v>
      </c>
      <c r="E22" s="27">
        <f>Tabela13[[#This Row],[META A]]-Tabela13[[#This Row],[ATINGIDO]]</f>
        <v>33770.140000000087</v>
      </c>
      <c r="F22" s="4"/>
      <c r="G22" s="21" t="s">
        <v>14</v>
      </c>
      <c r="H22" s="21" t="s">
        <v>14</v>
      </c>
      <c r="I22" s="22">
        <f>_xlfn.XLOOKUP(Tabela5[[#This Row],[VENDEDOR]],[1]!Tabela1[VENDEDOR],[1]!Tabela1[VALOR])</f>
        <v>9750</v>
      </c>
      <c r="J22" s="22">
        <f>_xlfn.XLOOKUP(Tabela5[[#This Row],[VENDEDOR]],'[1]BASE PYTHON'!$H:$H,'[1]BASE PYTHON'!$I:$I,0)</f>
        <v>3370.9000000000005</v>
      </c>
      <c r="K22" s="23">
        <f>Tabela5[[#This Row],[COMPROMISSO]]-Tabela5[[#This Row],[ATINGIDO]]</f>
        <v>6379.0999999999995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495454.54545454547</v>
      </c>
      <c r="P22" s="7">
        <f>IFERROR(GETPIVOTDATA("[Measures].[Soma de TOTAL 3]",'[1]BASE PYTHON'!$P$32,"[Intervalo 2].[SEMANA]","[Intervalo 2].[SEMANA].&amp;[2]"),0)</f>
        <v>563167.95000000042</v>
      </c>
      <c r="Q22" s="7">
        <f>O22-P22</f>
        <v>-67713.404545454949</v>
      </c>
      <c r="R22" s="4"/>
      <c r="S22" s="19" t="s">
        <v>20</v>
      </c>
      <c r="T22" s="19" t="s">
        <v>20</v>
      </c>
      <c r="U22" s="19">
        <f>_xlfn.XLOOKUP(Tabela2[[#This Row],[VENDEDOR]],[1]!Tabela5[VENDEDOR],[1]!Tabela5[META A])</f>
        <v>40</v>
      </c>
      <c r="V22" s="19">
        <f>_xlfn.XLOOKUP(Tabela2[[#This Row],[VENDEDOR]],'[1]BASE PYTHON'!$K:$K,'[1]BASE PYTHON'!$N:$N,0)</f>
        <v>28</v>
      </c>
      <c r="W22" s="19">
        <f t="shared" si="1"/>
        <v>12</v>
      </c>
    </row>
    <row r="23" spans="1:23" x14ac:dyDescent="0.25">
      <c r="A23" s="16" t="s">
        <v>13</v>
      </c>
      <c r="B23" s="16" t="s">
        <v>41</v>
      </c>
      <c r="C23" s="17">
        <f>_xlfn.XLOOKUP(Tabela13[[#This Row],[VENDEDOR]],[1]!Tabela2[VENDEDOR],[1]!Tabela2[META A])</f>
        <v>195000</v>
      </c>
      <c r="D23" s="17">
        <f>_xlfn.XLOOKUP(Tabela13[[#This Row],[VENDEDOR]],'[1]BASE PYTHON'!$E:$E,'[1]BASE PYTHON'!$F:$F,0)</f>
        <v>158238.83499999947</v>
      </c>
      <c r="E23" s="24">
        <f>Tabela13[[#This Row],[META A]]-Tabela13[[#This Row],[ATINGIDO]]</f>
        <v>36761.165000000532</v>
      </c>
      <c r="F23" s="4"/>
      <c r="G23" s="21" t="s">
        <v>9</v>
      </c>
      <c r="H23" s="21" t="s">
        <v>9</v>
      </c>
      <c r="I23" s="22">
        <f>_xlfn.XLOOKUP(Tabela5[[#This Row],[VENDEDOR]],[1]!Tabela1[VENDEDOR],[1]!Tabela1[VALOR])</f>
        <v>6760</v>
      </c>
      <c r="J23" s="22">
        <f>_xlfn.XLOOKUP(Tabela5[[#This Row],[VENDEDOR]],'[1]BASE PYTHON'!$H:$H,'[1]BASE PYTHON'!$I:$I,0)</f>
        <v>5424.9</v>
      </c>
      <c r="K23" s="23">
        <f>Tabela5[[#This Row],[COMPROMISSO]]-Tabela5[[#This Row],[ATINGIDO]]</f>
        <v>1335.1000000000004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619318.18181818188</v>
      </c>
      <c r="P23" s="7">
        <f>IFERROR(GETPIVOTDATA("[Measures].[Soma de TOTAL 3]",'[1]BASE PYTHON'!$P$32,"[Intervalo 2].[SEMANA]","[Intervalo 2].[SEMANA].&amp;[3]"),0)</f>
        <v>684697.14999999932</v>
      </c>
      <c r="Q23" s="7">
        <f>O23-P23</f>
        <v>-65378.968181817443</v>
      </c>
      <c r="R23" s="4"/>
      <c r="S23" s="19" t="s">
        <v>21</v>
      </c>
      <c r="T23" s="19" t="s">
        <v>21</v>
      </c>
      <c r="U23" s="19">
        <f>_xlfn.XLOOKUP(Tabela2[[#This Row],[VENDEDOR]],[1]!Tabela5[VENDEDOR],[1]!Tabela5[META A])</f>
        <v>55</v>
      </c>
      <c r="V23" s="19">
        <f>_xlfn.XLOOKUP(Tabela2[[#This Row],[VENDEDOR]],'[1]BASE PYTHON'!$K:$K,'[1]BASE PYTHON'!$N:$N,0)</f>
        <v>40</v>
      </c>
      <c r="W23" s="19">
        <f t="shared" si="1"/>
        <v>15</v>
      </c>
    </row>
    <row r="24" spans="1:23" x14ac:dyDescent="0.25">
      <c r="A24" s="25" t="s">
        <v>14</v>
      </c>
      <c r="B24" s="25" t="s">
        <v>42</v>
      </c>
      <c r="C24" s="26">
        <f>_xlfn.XLOOKUP(Tabela13[[#This Row],[VENDEDOR]],[1]!Tabela2[VENDEDOR],[1]!Tabela2[META A])</f>
        <v>140000</v>
      </c>
      <c r="D24" s="26">
        <f>_xlfn.XLOOKUP(Tabela13[[#This Row],[VENDEDOR]],'[1]BASE PYTHON'!$E:$E,'[1]BASE PYTHON'!$F:$F,0)</f>
        <v>114396.30999999997</v>
      </c>
      <c r="E24" s="27">
        <f>Tabela13[[#This Row],[META A]]-Tabela13[[#This Row],[ATINGIDO]]</f>
        <v>25603.690000000031</v>
      </c>
      <c r="F24" s="4"/>
      <c r="G24" s="21" t="s">
        <v>24</v>
      </c>
      <c r="H24" s="21" t="s">
        <v>45</v>
      </c>
      <c r="I24" s="22">
        <f>_xlfn.XLOOKUP(Tabela5[[#This Row],[VENDEDOR]],[1]!Tabela1[VENDEDOR],[1]!Tabela1[VALOR])</f>
        <v>3290</v>
      </c>
      <c r="J24" s="22">
        <f>_xlfn.XLOOKUP(Tabela5[[#This Row],[VENDEDOR]],'[1]BASE PYTHON'!$H:$H,'[1]BASE PYTHON'!$I:$I,0)</f>
        <v>552</v>
      </c>
      <c r="K24" s="23">
        <f>Tabela5[[#This Row],[COMPROMISSO]]-Tabela5[[#This Row],[ATINGIDO]]</f>
        <v>2738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619318.18181818188</v>
      </c>
      <c r="P24" s="7">
        <f>IFERROR(GETPIVOTDATA("[Measures].[Soma de TOTAL 3]",'[1]BASE PYTHON'!$P$32,"[Intervalo 2].[SEMANA]","[Intervalo 2].[SEMANA].&amp;[4]"),0)</f>
        <v>684913.8</v>
      </c>
      <c r="Q24" s="7">
        <f>O24-P24</f>
        <v>-65595.618181818165</v>
      </c>
      <c r="R24" s="4"/>
      <c r="S24" s="19" t="s">
        <v>22</v>
      </c>
      <c r="T24" s="19" t="s">
        <v>22</v>
      </c>
      <c r="U24" s="19">
        <f>_xlfn.XLOOKUP(Tabela2[[#This Row],[VENDEDOR]],[1]!Tabela5[VENDEDOR],[1]!Tabela5[META A])</f>
        <v>37</v>
      </c>
      <c r="V24" s="19">
        <f>_xlfn.XLOOKUP(Tabela2[[#This Row],[VENDEDOR]],'[1]BASE PYTHON'!$K:$K,'[1]BASE PYTHON'!$N:$N,0)</f>
        <v>23</v>
      </c>
      <c r="W24" s="19">
        <f t="shared" si="1"/>
        <v>14</v>
      </c>
    </row>
    <row r="25" spans="1:23" x14ac:dyDescent="0.25">
      <c r="A25" s="16" t="s">
        <v>15</v>
      </c>
      <c r="B25" s="16" t="s">
        <v>43</v>
      </c>
      <c r="C25" s="17">
        <f>_xlfn.XLOOKUP(Tabela13[[#This Row],[VENDEDOR]],[1]!Tabela2[VENDEDOR],[1]!Tabela2[META A])</f>
        <v>142500</v>
      </c>
      <c r="D25" s="17">
        <f>_xlfn.XLOOKUP(Tabela13[[#This Row],[VENDEDOR]],'[1]BASE PYTHON'!$E:$E,'[1]BASE PYTHON'!$F:$F,0)</f>
        <v>114697.97999999966</v>
      </c>
      <c r="E25" s="24">
        <f>Tabela13[[#This Row],[META A]]-Tabela13[[#This Row],[ATINGIDO]]</f>
        <v>27802.020000000339</v>
      </c>
      <c r="F25" s="4"/>
      <c r="G25" s="21" t="s">
        <v>22</v>
      </c>
      <c r="H25" s="21" t="s">
        <v>22</v>
      </c>
      <c r="I25" s="22">
        <f>_xlfn.XLOOKUP(Tabela5[[#This Row],[VENDEDOR]],[1]!Tabela1[VENDEDOR],[1]!Tabela1[VALOR])</f>
        <v>5360</v>
      </c>
      <c r="J25" s="22">
        <f>_xlfn.XLOOKUP(Tabela5[[#This Row],[VENDEDOR]],'[1]BASE PYTHON'!$H:$H,'[1]BASE PYTHON'!$I:$I,0)</f>
        <v>571.9799999999999</v>
      </c>
      <c r="K25" s="23">
        <f>Tabela5[[#This Row],[COMPROMISSO]]-Tabela5[[#This Row],[ATINGIDO]]</f>
        <v>4788.0200000000004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619318.18181818188</v>
      </c>
      <c r="P25" s="7">
        <f>IFERROR(GETPIVOTDATA("[Measures].[Soma de TOTAL 3]",'[1]BASE PYTHON'!$P$32,"[Intervalo 2].[SEMANA]","[Intervalo 2].[SEMANA].&amp;[5]"),0)</f>
        <v>177400.28</v>
      </c>
      <c r="Q25" s="7">
        <f>O25-P25</f>
        <v>441917.90181818185</v>
      </c>
      <c r="R25" s="4"/>
      <c r="S25" s="19" t="s">
        <v>15</v>
      </c>
      <c r="T25" s="19" t="s">
        <v>43</v>
      </c>
      <c r="U25" s="19">
        <f>_xlfn.XLOOKUP(Tabela2[[#This Row],[VENDEDOR]],[1]!Tabela5[VENDEDOR],[1]!Tabela5[META A])</f>
        <v>51</v>
      </c>
      <c r="V25" s="19">
        <f>_xlfn.XLOOKUP(Tabela2[[#This Row],[VENDEDOR]],'[1]BASE PYTHON'!$K:$K,'[1]BASE PYTHON'!$N:$N,0)</f>
        <v>45</v>
      </c>
      <c r="W25" s="19">
        <f t="shared" si="1"/>
        <v>6</v>
      </c>
    </row>
    <row r="26" spans="1:23" x14ac:dyDescent="0.25">
      <c r="A26" s="25" t="s">
        <v>16</v>
      </c>
      <c r="B26" s="25" t="s">
        <v>16</v>
      </c>
      <c r="C26" s="26">
        <f>_xlfn.XLOOKUP(Tabela13[[#This Row],[VENDEDOR]],[1]!Tabela2[VENDEDOR],[1]!Tabela2[META A])</f>
        <v>90000</v>
      </c>
      <c r="D26" s="26">
        <f>_xlfn.XLOOKUP(Tabela13[[#This Row],[VENDEDOR]],'[1]BASE PYTHON'!$E:$E,'[1]BASE PYTHON'!$F:$F,0)</f>
        <v>62719.520000000179</v>
      </c>
      <c r="E26" s="27">
        <f>Tabela13[[#This Row],[META A]]-Tabela13[[#This Row],[ATINGIDO]]</f>
        <v>27280.479999999821</v>
      </c>
      <c r="F26" s="4"/>
      <c r="G26" s="21" t="s">
        <v>23</v>
      </c>
      <c r="H26" s="21" t="s">
        <v>44</v>
      </c>
      <c r="I26" s="22">
        <f>_xlfn.XLOOKUP(Tabela5[[#This Row],[VENDEDOR]],[1]!Tabela1[VENDEDOR],[1]!Tabela1[VALOR])</f>
        <v>3670</v>
      </c>
      <c r="J26" s="22">
        <f>_xlfn.XLOOKUP(Tabela5[[#This Row],[VENDEDOR]],'[1]BASE PYTHON'!$H:$H,'[1]BASE PYTHON'!$I:$I,0)</f>
        <v>1149.2500000000002</v>
      </c>
      <c r="K26" s="23">
        <f>Tabela5[[#This Row],[COMPROMISSO]]-Tabela5[[#This Row],[ATINGIDO]]</f>
        <v>2520.75</v>
      </c>
      <c r="L26" s="4"/>
      <c r="M26" s="4"/>
      <c r="N26" s="4"/>
      <c r="O26" s="2"/>
      <c r="P26" s="4"/>
      <c r="Q26" s="4"/>
      <c r="R26" s="4"/>
      <c r="S26" s="19" t="s">
        <v>23</v>
      </c>
      <c r="T26" s="19" t="s">
        <v>44</v>
      </c>
      <c r="U26" s="19">
        <f>_xlfn.XLOOKUP(Tabela2[[#This Row],[VENDEDOR]],[1]!Tabela5[VENDEDOR],[1]!Tabela5[META A])</f>
        <v>35</v>
      </c>
      <c r="V26" s="19">
        <f>_xlfn.XLOOKUP(Tabela2[[#This Row],[VENDEDOR]],'[1]BASE PYTHON'!$K:$K,'[1]BASE PYTHON'!$N:$N,0)</f>
        <v>29</v>
      </c>
      <c r="W26" s="19">
        <f t="shared" si="1"/>
        <v>6</v>
      </c>
    </row>
    <row r="27" spans="1:23" x14ac:dyDescent="0.25">
      <c r="A27" s="16" t="s">
        <v>17</v>
      </c>
      <c r="B27" s="16" t="s">
        <v>17</v>
      </c>
      <c r="C27" s="17">
        <f>_xlfn.XLOOKUP(Tabela13[[#This Row],[VENDEDOR]],[1]!Tabela2[VENDEDOR],[1]!Tabela2[META A])</f>
        <v>237500</v>
      </c>
      <c r="D27" s="17">
        <f>_xlfn.XLOOKUP(Tabela13[[#This Row],[VENDEDOR]],'[1]BASE PYTHON'!$E:$E,'[1]BASE PYTHON'!$F:$F,0)</f>
        <v>207898.06999999942</v>
      </c>
      <c r="E27" s="24">
        <f>Tabela13[[#This Row],[META A]]-Tabela13[[#This Row],[ATINGIDO]]</f>
        <v>29601.930000000575</v>
      </c>
      <c r="F27" s="4"/>
      <c r="G27" s="21" t="s">
        <v>7</v>
      </c>
      <c r="H27" s="21" t="s">
        <v>7</v>
      </c>
      <c r="I27" s="22">
        <f>_xlfn.XLOOKUP(Tabela5[[#This Row],[VENDEDOR]],[1]!Tabela1[VENDEDOR],[1]!Tabela1[VALOR])</f>
        <v>5400</v>
      </c>
      <c r="J27" s="22">
        <f>_xlfn.XLOOKUP(Tabela5[[#This Row],[VENDEDOR]],'[1]BASE PYTHON'!$H:$H,'[1]BASE PYTHON'!$I:$I,0)</f>
        <v>534.59999999999991</v>
      </c>
      <c r="K27" s="23">
        <f>Tabela5[[#This Row],[COMPROMISSO]]-Tabela5[[#This Row],[ATINGIDO]]</f>
        <v>4865.3999999999996</v>
      </c>
      <c r="L27" s="4"/>
      <c r="M27" s="4"/>
      <c r="N27" s="4"/>
      <c r="O27" s="4"/>
      <c r="P27" s="4"/>
      <c r="Q27" s="4"/>
      <c r="R27" s="4"/>
    </row>
    <row r="28" spans="1:23" x14ac:dyDescent="0.25">
      <c r="A28" s="25" t="s">
        <v>18</v>
      </c>
      <c r="B28" s="25" t="s">
        <v>18</v>
      </c>
      <c r="C28" s="26">
        <f>_xlfn.XLOOKUP(Tabela13[[#This Row],[VENDEDOR]],[1]!Tabela2[VENDEDOR],[1]!Tabela2[META A])</f>
        <v>318500</v>
      </c>
      <c r="D28" s="26">
        <f>_xlfn.XLOOKUP(Tabela13[[#This Row],[VENDEDOR]],'[1]BASE PYTHON'!$E:$E,'[1]BASE PYTHON'!$F:$F,0)</f>
        <v>272980.00499999948</v>
      </c>
      <c r="E28" s="27">
        <f>Tabela13[[#This Row],[META A]]-Tabela13[[#This Row],[ATINGIDO]]</f>
        <v>45519.995000000519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27</v>
      </c>
      <c r="B29" s="16" t="s">
        <v>27</v>
      </c>
      <c r="C29" s="17">
        <f>_xlfn.XLOOKUP(Tabela13[[#This Row],[VENDEDOR]],[1]!Tabela2[VENDEDOR],[1]!Tabela2[META A])</f>
        <v>175000</v>
      </c>
      <c r="D29" s="17">
        <f>_xlfn.XLOOKUP(Tabela13[[#This Row],[VENDEDOR]],'[1]BASE PYTHON'!$E:$E,'[1]BASE PYTHON'!$F:$F,0)</f>
        <v>107460.07999999997</v>
      </c>
      <c r="E29" s="24">
        <f>Tabela13[[#This Row],[META A]]-Tabela13[[#This Row],[ATINGIDO]]</f>
        <v>67539.920000000027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5" t="s">
        <v>19</v>
      </c>
      <c r="B30" s="25" t="s">
        <v>19</v>
      </c>
      <c r="C30" s="26">
        <f>_xlfn.XLOOKUP(Tabela13[[#This Row],[VENDEDOR]],[1]!Tabela2[VENDEDOR],[1]!Tabela2[META A])</f>
        <v>134500</v>
      </c>
      <c r="D30" s="26">
        <f>_xlfn.XLOOKUP(Tabela13[[#This Row],[VENDEDOR]],'[1]BASE PYTHON'!$E:$E,'[1]BASE PYTHON'!$F:$F,0)</f>
        <v>110152.5499999999</v>
      </c>
      <c r="E30" s="27">
        <f>Tabela13[[#This Row],[META A]]-Tabela13[[#This Row],[ATINGIDO]]</f>
        <v>24347.450000000099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103.36363636363636</v>
      </c>
      <c r="V30" s="5">
        <f>IFERROR(GETPIVOTDATA("[Measures].[Contagem Distinta de COD_CLIENTE]",'[1]BASE PYTHON'!$P$85,"[Intervalo 2].[SEMANA]","[Intervalo 2].[SEMANA].&amp;[1]"),0)</f>
        <v>119</v>
      </c>
      <c r="W30" s="6">
        <f>U30-V30</f>
        <v>-15.63636363636364</v>
      </c>
    </row>
    <row r="31" spans="1:23" x14ac:dyDescent="0.25">
      <c r="A31" s="16" t="s">
        <v>20</v>
      </c>
      <c r="B31" s="16" t="s">
        <v>20</v>
      </c>
      <c r="C31" s="17">
        <f>_xlfn.XLOOKUP(Tabela13[[#This Row],[VENDEDOR]],[1]!Tabela2[VENDEDOR],[1]!Tabela2[META A])</f>
        <v>167000</v>
      </c>
      <c r="D31" s="17">
        <f>_xlfn.XLOOKUP(Tabela13[[#This Row],[VENDEDOR]],'[1]BASE PYTHON'!$E:$E,'[1]BASE PYTHON'!$F:$F,0)</f>
        <v>138670.31999999995</v>
      </c>
      <c r="E31" s="24">
        <f>Tabela13[[#This Row],[META A]]-Tabela13[[#This Row],[ATINGIDO]]</f>
        <v>28329.680000000051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390750</v>
      </c>
      <c r="J31" s="2">
        <f>IFERROR(GETPIVOTDATA("[Measures].[Soma de TOTAL 3]",'[1]BASE PYTHON'!$P$4,"[Intervalo 2].[SEMANA]","[Intervalo 2].[SEMANA].&amp;[1]"),0)</f>
        <v>270334.04000000004</v>
      </c>
      <c r="K31" s="7">
        <f>I31-J31</f>
        <v>120415.95999999996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137.81818181818181</v>
      </c>
      <c r="V31" s="6">
        <f>IFERROR(GETPIVOTDATA("[Measures].[Contagem Distinta de COD_CLIENTE]",'[1]BASE PYTHON'!$P$85,"[Intervalo 2].[SEMANA]","[Intervalo 2].[SEMANA].&amp;[2]"),0)</f>
        <v>214</v>
      </c>
      <c r="W31" s="6">
        <f t="shared" ref="W31:W33" si="2">U31-V31</f>
        <v>-76.181818181818187</v>
      </c>
    </row>
    <row r="32" spans="1:23" x14ac:dyDescent="0.25">
      <c r="A32" s="25" t="s">
        <v>21</v>
      </c>
      <c r="B32" s="25" t="s">
        <v>21</v>
      </c>
      <c r="C32" s="26">
        <f>_xlfn.XLOOKUP(Tabela13[[#This Row],[VENDEDOR]],[1]!Tabela2[VENDEDOR],[1]!Tabela2[META A])</f>
        <v>260000</v>
      </c>
      <c r="D32" s="26">
        <f>_xlfn.XLOOKUP(Tabela13[[#This Row],[VENDEDOR]],'[1]BASE PYTHON'!$E:$E,'[1]BASE PYTHON'!$F:$F,0)</f>
        <v>207544.25999999981</v>
      </c>
      <c r="E32" s="27">
        <f>Tabela13[[#This Row],[META A]]-Tabela13[[#This Row],[ATINGIDO]]</f>
        <v>52455.740000000194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521000</v>
      </c>
      <c r="J32" s="7">
        <f>IFERROR(GETPIVOTDATA("[Measures].[Soma de TOTAL 3]",'[1]BASE PYTHON'!$P$4,"[Intervalo 2].[SEMANA]","[Intervalo 2].[SEMANA].&amp;[2]"),0)</f>
        <v>539962.59000000334</v>
      </c>
      <c r="K32" s="7">
        <f t="shared" ref="K32:K34" si="3">I32-J32</f>
        <v>-18962.590000003343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172.27272727272725</v>
      </c>
      <c r="V32" s="6">
        <f>IFERROR(GETPIVOTDATA("[Measures].[Contagem Distinta de COD_CLIENTE]",'[1]BASE PYTHON'!$P$85,"[Intervalo 2].[SEMANA]","[Intervalo 2].[SEMANA].&amp;[3]"),0)</f>
        <v>294</v>
      </c>
      <c r="W32" s="6">
        <f t="shared" si="2"/>
        <v>-121.72727272727275</v>
      </c>
    </row>
    <row r="33" spans="1:23" x14ac:dyDescent="0.25">
      <c r="A33" s="16" t="s">
        <v>22</v>
      </c>
      <c r="B33" s="16" t="s">
        <v>22</v>
      </c>
      <c r="C33" s="17">
        <f>_xlfn.XLOOKUP(Tabela13[[#This Row],[VENDEDOR]],[1]!Tabela2[VENDEDOR],[1]!Tabela2[META A])</f>
        <v>100000</v>
      </c>
      <c r="D33" s="17">
        <f>_xlfn.XLOOKUP(Tabela13[[#This Row],[VENDEDOR]],'[1]BASE PYTHON'!$E:$E,'[1]BASE PYTHON'!$F:$F,0)</f>
        <v>72954.970000000059</v>
      </c>
      <c r="E33" s="24">
        <f>Tabela13[[#This Row],[META A]]-Tabela13[[#This Row],[ATINGIDO]]</f>
        <v>27045.029999999941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651250</v>
      </c>
      <c r="J33" s="7">
        <f>IFERROR(GETPIVOTDATA("[Measures].[Soma de TOTAL 3]",'[1]BASE PYTHON'!$P$4,"[Intervalo 2].[SEMANA]","[Intervalo 2].[SEMANA].&amp;[3]"),0)</f>
        <v>699011.54000000225</v>
      </c>
      <c r="K33" s="7">
        <f t="shared" si="3"/>
        <v>-47761.540000002249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172.27272727272725</v>
      </c>
      <c r="V33" s="6">
        <f>IFERROR(GETPIVOTDATA("[Measures].[Contagem Distinta de COD_CLIENTE]",'[1]BASE PYTHON'!$P$85,"[Intervalo 2].[SEMANA]","[Intervalo 2].[SEMANA].&amp;[4]"),0)</f>
        <v>270</v>
      </c>
      <c r="W33" s="6">
        <f t="shared" si="2"/>
        <v>-97.727272727272748</v>
      </c>
    </row>
    <row r="34" spans="1:23" x14ac:dyDescent="0.25">
      <c r="A34" s="25" t="s">
        <v>23</v>
      </c>
      <c r="B34" s="25" t="s">
        <v>44</v>
      </c>
      <c r="C34" s="26">
        <f>_xlfn.XLOOKUP(Tabela13[[#This Row],[VENDEDOR]],[1]!Tabela2[VENDEDOR],[1]!Tabela2[META A])</f>
        <v>55000</v>
      </c>
      <c r="D34" s="26">
        <f>_xlfn.XLOOKUP(Tabela13[[#This Row],[VENDEDOR]],'[1]BASE PYTHON'!$E:$E,'[1]BASE PYTHON'!$F:$F,0)</f>
        <v>37894.420000000027</v>
      </c>
      <c r="E34" s="27">
        <f>Tabela13[[#This Row],[META A]]-Tabela13[[#This Row],[ATINGIDO]]</f>
        <v>17105.579999999973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651250</v>
      </c>
      <c r="J34" s="7">
        <f>IFERROR(GETPIVOTDATA("[Measures].[Soma de TOTAL 3]",'[1]BASE PYTHON'!$P$4,"[Intervalo 2].[SEMANA]","[Intervalo 2].[SEMANA].&amp;[4]"),0)</f>
        <v>581379.53500000469</v>
      </c>
      <c r="K34" s="7">
        <f t="shared" si="3"/>
        <v>69870.464999995311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172.27272727272725</v>
      </c>
      <c r="V34" s="6">
        <f>IFERROR(GETPIVOTDATA("[Measures].[Contagem Distinta de COD_CLIENTE]",'[1]BASE PYTHON'!$P$85,"[Intervalo 2].[SEMANA]","[Intervalo 2].[SEMANA].&amp;[5]"),0)</f>
        <v>107</v>
      </c>
      <c r="W34" s="6">
        <f>U34-V34</f>
        <v>65.272727272727252</v>
      </c>
    </row>
    <row r="35" spans="1:23" x14ac:dyDescent="0.25">
      <c r="A35" s="16" t="s">
        <v>24</v>
      </c>
      <c r="B35" s="16" t="s">
        <v>45</v>
      </c>
      <c r="C35" s="17">
        <f>_xlfn.XLOOKUP(Tabela13[[#This Row],[VENDEDOR]],[1]!Tabela2[VENDEDOR],[1]!Tabela2[META A])</f>
        <v>73000</v>
      </c>
      <c r="D35" s="17">
        <f>_xlfn.XLOOKUP(Tabela13[[#This Row],[VENDEDOR]],'[1]BASE PYTHON'!$E:$E,'[1]BASE PYTHON'!$F:$F,0)</f>
        <v>66562.880000000019</v>
      </c>
      <c r="E35" s="24">
        <f>Tabela13[[#This Row],[META A]]-Tabela13[[#This Row],[ATINGIDO]]</f>
        <v>6437.1199999999808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651250</v>
      </c>
      <c r="J35" s="7">
        <f>IFERROR(GETPIVOTDATA("[Measures].[Soma de TOTAL 3]",'[1]BASE PYTHON'!$P$4,"[Intervalo 2].[SEMANA]","[Intervalo 2].[SEMANA].&amp;[5]"),0)</f>
        <v>273525.02500000026</v>
      </c>
      <c r="K35" s="7">
        <f>I35-J35</f>
        <v>377724.97499999974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17">
        <f>_xlfn.XLOOKUP(Tabela13[[#This Row],[VENDEDOR]],[1]!Tabela2[VENDEDOR],[1]!Tabela2[META A])</f>
        <v>1000</v>
      </c>
      <c r="D36" s="17">
        <f>_xlfn.XLOOKUP(Tabela13[[#This Row],[VENDEDOR]],'[1]BASE PYTHON'!$E:$E,'[1]BASE PYTHON'!$F:$F,0)</f>
        <v>1082.83</v>
      </c>
      <c r="E36" s="24">
        <f>Tabela13[[#This Row],[META A]]-Tabela13[[#This Row],[ATINGIDO]]</f>
        <v>-82.829999999999927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9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9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9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9"/>
      <c r="B40" s="4" t="s">
        <v>4</v>
      </c>
      <c r="C40" s="2" cm="1">
        <f t="array" ref="C40">_xlfn.XLOOKUP(Tabela3[[#This Row],[SEMANAL]],[1]!Tabela7[[#All],[Coluna1]],[1]!Tabela7[[#All],[Coluna2]])</f>
        <v>762477.27272727271</v>
      </c>
      <c r="D40" s="2">
        <f>IFERROR(GETPIVOTDATA("[Measures].[Soma de TOTAL 3]",'[1]BASE PYTHON'!$P$47,"[Intervalo 2].[SEMANA]","[Intervalo 2].[SEMANA].&amp;[1]"),0)</f>
        <v>545683.80000000156</v>
      </c>
      <c r="E40" s="7">
        <f>C40-D40</f>
        <v>216793.47272727115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9"/>
      <c r="B41" s="4" t="s">
        <v>48</v>
      </c>
      <c r="C41" s="2" cm="1">
        <f t="array" ref="C41">_xlfn.XLOOKUP(Tabela3[[#This Row],[SEMANAL]],[1]!Tabela7[[#All],[Coluna1]],[1]!Tabela7[[#All],[Coluna2]])</f>
        <v>1016636.3636363636</v>
      </c>
      <c r="D41" s="2">
        <f>IFERROR(GETPIVOTDATA("[Measures].[Soma de TOTAL 3]",'[1]BASE PYTHON'!$P$47,"[Intervalo 2].[SEMANA]","[Intervalo 2].[SEMANA].&amp;[2]"),0)</f>
        <v>1103560.189999996</v>
      </c>
      <c r="E41" s="7">
        <f t="shared" ref="E41:E43" si="4">C41-D41</f>
        <v>-86923.826363632339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9"/>
      <c r="B42" s="4" t="s">
        <v>49</v>
      </c>
      <c r="C42" s="2" cm="1">
        <f t="array" ref="C42">_xlfn.XLOOKUP(Tabela3[[#This Row],[SEMANAL]],[1]!Tabela7[[#All],[Coluna1]],[1]!Tabela7[[#All],[Coluna2]])</f>
        <v>1270795.4545454546</v>
      </c>
      <c r="D42" s="2">
        <f>IFERROR(GETPIVOTDATA("[Measures].[Soma de TOTAL 3]",'[1]BASE PYTHON'!$P$47,"[Intervalo 2].[SEMANA]","[Intervalo 2].[SEMANA].&amp;[3]"),0)</f>
        <v>1384150.9299999918</v>
      </c>
      <c r="E42" s="7">
        <f t="shared" si="4"/>
        <v>-113355.4754545372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9"/>
      <c r="B43" s="4" t="s">
        <v>50</v>
      </c>
      <c r="C43" s="2" cm="1">
        <f t="array" ref="C43">_xlfn.XLOOKUP(Tabela3[[#This Row],[SEMANAL]],[1]!Tabela7[[#All],[Coluna1]],[1]!Tabela7[[#All],[Coluna2]])</f>
        <v>1270795.4545454546</v>
      </c>
      <c r="D43" s="2">
        <f>IFERROR(GETPIVOTDATA("[Measures].[Soma de TOTAL 3]",'[1]BASE PYTHON'!$P$47,"[Intervalo 2].[SEMANA]","[Intervalo 2].[SEMANA].&amp;[4]"),0)</f>
        <v>1266562.6249999946</v>
      </c>
      <c r="E43" s="7">
        <f t="shared" si="4"/>
        <v>4232.8295454599429</v>
      </c>
    </row>
    <row r="44" spans="1:23" x14ac:dyDescent="0.25">
      <c r="A44" s="29"/>
      <c r="B44" s="4" t="s">
        <v>52</v>
      </c>
      <c r="C44" s="2" cm="1">
        <f t="array" ref="C44">_xlfn.XLOOKUP(Tabela3[[#This Row],[SEMANAL]],[1]!Tabela7[[#All],[Coluna1]],[1]!Tabela7[[#All],[Coluna2]])</f>
        <v>1270795.4545454546</v>
      </c>
      <c r="D44" s="2">
        <f>IFERROR(GETPIVOTDATA("[Measures].[Soma de TOTAL 3]",'[1]BASE PYTHON'!$P$47,"[Intervalo 2].[SEMANA]","[Intervalo 2].[SEMANA].&amp;[5]"),0)</f>
        <v>450976.30500000063</v>
      </c>
      <c r="E44" s="7">
        <f t="shared" ref="E44" si="5">C44-D44</f>
        <v>819819.14954545395</v>
      </c>
    </row>
    <row r="45" spans="1:23" x14ac:dyDescent="0.25">
      <c r="A45" s="29"/>
    </row>
    <row r="46" spans="1:23" x14ac:dyDescent="0.25">
      <c r="A46" s="29"/>
    </row>
    <row r="47" spans="1:23" x14ac:dyDescent="0.25">
      <c r="A47" s="29"/>
    </row>
    <row r="48" spans="1:23" x14ac:dyDescent="0.25">
      <c r="A48" s="29"/>
    </row>
    <row r="49" spans="1:1" x14ac:dyDescent="0.25">
      <c r="A49" s="29"/>
    </row>
    <row r="50" spans="1:1" x14ac:dyDescent="0.25">
      <c r="A50" s="29"/>
    </row>
    <row r="51" spans="1:1" x14ac:dyDescent="0.25">
      <c r="A51" s="29"/>
    </row>
    <row r="52" spans="1:1" x14ac:dyDescent="0.25">
      <c r="A52" s="29"/>
    </row>
    <row r="53" spans="1:1" x14ac:dyDescent="0.25">
      <c r="A53" s="29"/>
    </row>
    <row r="54" spans="1:1" x14ac:dyDescent="0.25">
      <c r="A54" s="29"/>
    </row>
    <row r="55" spans="1:1" x14ac:dyDescent="0.25">
      <c r="A55" s="29"/>
    </row>
    <row r="56" spans="1:1" x14ac:dyDescent="0.25">
      <c r="A56" s="29"/>
    </row>
    <row r="57" spans="1:1" x14ac:dyDescent="0.25">
      <c r="A57" s="29"/>
    </row>
    <row r="58" spans="1:1" x14ac:dyDescent="0.25">
      <c r="A58" s="29"/>
    </row>
    <row r="59" spans="1:1" x14ac:dyDescent="0.25">
      <c r="A59" s="29"/>
    </row>
    <row r="60" spans="1:1" x14ac:dyDescent="0.25">
      <c r="A60" s="29"/>
    </row>
    <row r="61" spans="1:1" x14ac:dyDescent="0.25">
      <c r="A61" s="29"/>
    </row>
    <row r="62" spans="1:1" x14ac:dyDescent="0.25">
      <c r="A62" s="29"/>
    </row>
    <row r="63" spans="1:1" x14ac:dyDescent="0.25">
      <c r="A63" s="29"/>
    </row>
  </sheetData>
  <phoneticPr fontId="2" type="noConversion"/>
  <conditionalFormatting sqref="A1:A1048576">
    <cfRule type="duplicateValues" dxfId="2" priority="1"/>
  </conditionalFormatting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2026-07-28T12:48:27Z</dcterms:modified>
</cp:coreProperties>
</file>