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C148349-9283-47B9-B51C-6D057BE1F2DB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4" i="2"/>
  <c r="D43" i="2"/>
  <c r="D42" i="2"/>
  <c r="D40" i="2"/>
  <c r="D41" i="2"/>
  <c r="V33" i="2"/>
  <c r="V31" i="2"/>
  <c r="P22" i="2"/>
  <c r="V32" i="2"/>
  <c r="P13" i="2"/>
  <c r="J33" i="2"/>
  <c r="P14" i="2"/>
  <c r="V30" i="2"/>
  <c r="P21" i="2"/>
  <c r="J32" i="2"/>
  <c r="P17" i="2"/>
  <c r="P25" i="2"/>
  <c r="P12" i="2"/>
  <c r="J35" i="2"/>
  <c r="P23" i="2"/>
  <c r="P24" i="2"/>
  <c r="V34" i="2"/>
  <c r="J34" i="2"/>
  <c r="P11" i="2"/>
  <c r="P15" i="2"/>
  <c r="P16" i="2"/>
  <c r="J31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0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<sst xmlns="http://schemas.openxmlformats.org/spreadsheetml/2006/main" count="215" uniqueCount="54">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</sst>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16669.849999999995</v>
          </cell>
          <cell r="H5" t="str">
            <v>CAMPINAS</v>
          </cell>
          <cell r="I5">
            <v>2910.05</v>
          </cell>
        </row>
        <row r="6">
          <cell r="E6" t="str">
            <v>CENTRO</v>
          </cell>
          <cell r="F6">
            <v>137438.79999999993</v>
          </cell>
          <cell r="H6" t="str">
            <v>CENTRO</v>
          </cell>
          <cell r="I6">
            <v>51855.85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8374.6299999999992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H8" t="str">
            <v>INTERLAGOS</v>
          </cell>
          <cell r="I8">
            <v>19211.759999999998</v>
          </cell>
          <cell r="K8" t="str">
            <v>CAMPINAS</v>
          </cell>
          <cell r="N8">
            <v>14</v>
          </cell>
        </row>
        <row r="9">
          <cell r="E9" t="str">
            <v>INDAIATUBA</v>
          </cell>
          <cell r="F9">
            <v>29887.225000000013</v>
          </cell>
          <cell r="H9" t="str">
            <v>JUNDIAI</v>
          </cell>
          <cell r="I9">
            <v>4849.7399999999989</v>
          </cell>
          <cell r="K9" t="str">
            <v>CENTRO</v>
          </cell>
          <cell r="N9">
            <v>29</v>
          </cell>
        </row>
        <row r="10">
          <cell r="E10" t="str">
            <v>INTERLAGOS</v>
          </cell>
          <cell r="F10">
            <v>77903.889999999956</v>
          </cell>
          <cell r="H10" t="str">
            <v>KEY CASA</v>
          </cell>
          <cell r="I10">
            <v>32649.700000000004</v>
          </cell>
          <cell r="K10" t="str">
            <v>INDAIATUBA</v>
          </cell>
          <cell r="N10">
            <v>16</v>
          </cell>
        </row>
        <row r="11">
          <cell r="E11" t="str">
            <v>JUNDIAI</v>
          </cell>
          <cell r="F11">
            <v>28488.650000000009</v>
          </cell>
          <cell r="H11" t="str">
            <v>KEY INTERIOR</v>
          </cell>
          <cell r="I11">
            <v>9825.6</v>
          </cell>
          <cell r="K11" t="str">
            <v>INTERLAGOS</v>
          </cell>
          <cell r="N11">
            <v>31</v>
          </cell>
        </row>
        <row r="12">
          <cell r="E12" t="str">
            <v>KEY ABC</v>
          </cell>
          <cell r="F12">
            <v>59165.240000000005</v>
          </cell>
          <cell r="H12" t="str">
            <v>KEY SP</v>
          </cell>
          <cell r="I12">
            <v>13773.72</v>
          </cell>
          <cell r="K12" t="str">
            <v>JUNDIAI</v>
          </cell>
          <cell r="N12">
            <v>8</v>
          </cell>
        </row>
        <row r="13">
          <cell r="E13" t="str">
            <v>KEY CASA</v>
          </cell>
          <cell r="F13">
            <v>158412.58999999994</v>
          </cell>
          <cell r="H13" t="str">
            <v>KEY ZL</v>
          </cell>
          <cell r="I13">
            <v>20260.399999999998</v>
          </cell>
          <cell r="K13" t="str">
            <v>LESTE</v>
          </cell>
          <cell r="N13">
            <v>16</v>
          </cell>
        </row>
        <row r="14">
          <cell r="E14" t="str">
            <v>KEY INTERIOR</v>
          </cell>
          <cell r="F14">
            <v>243599.69999999998</v>
          </cell>
          <cell r="H14" t="str">
            <v>LESTE</v>
          </cell>
          <cell r="I14">
            <v>11787.759999999997</v>
          </cell>
          <cell r="K14" t="str">
            <v>LESTE MOOCA</v>
          </cell>
          <cell r="N14">
            <v>23</v>
          </cell>
        </row>
        <row r="15">
          <cell r="E15" t="str">
            <v>KEY PIRACICABA</v>
          </cell>
          <cell r="F15">
            <v>0</v>
          </cell>
          <cell r="H15" t="str">
            <v>LESTE MOOCA</v>
          </cell>
          <cell r="I15">
            <v>10270.600000000002</v>
          </cell>
          <cell r="K15" t="str">
            <v>LESTE PENHA</v>
          </cell>
          <cell r="N15">
            <v>9</v>
          </cell>
        </row>
        <row r="16">
          <cell r="E16" t="str">
            <v>KEY SJC</v>
          </cell>
          <cell r="F16">
            <v>2225.3500000000004</v>
          </cell>
          <cell r="H16" t="str">
            <v>LESTE PENHA</v>
          </cell>
          <cell r="I16">
            <v>11125.099999999999</v>
          </cell>
          <cell r="K16" t="str">
            <v>LESTE TATUAPE</v>
          </cell>
          <cell r="N16">
            <v>12</v>
          </cell>
        </row>
        <row r="17">
          <cell r="E17" t="str">
            <v>KEY SP</v>
          </cell>
          <cell r="F17">
            <v>114671.21999999997</v>
          </cell>
          <cell r="H17" t="str">
            <v>LESTE TATUAPE</v>
          </cell>
          <cell r="I17">
            <v>5946.5999999999985</v>
          </cell>
          <cell r="K17" t="str">
            <v>MOGI</v>
          </cell>
          <cell r="N17">
            <v>11</v>
          </cell>
        </row>
        <row r="18">
          <cell r="E18" t="str">
            <v>KEY ZL</v>
          </cell>
          <cell r="F18">
            <v>88154.810000000056</v>
          </cell>
          <cell r="H18" t="str">
            <v>MOGI</v>
          </cell>
          <cell r="I18">
            <v>895.8</v>
          </cell>
          <cell r="K18" t="str">
            <v>NORTE</v>
          </cell>
          <cell r="N18">
            <v>20</v>
          </cell>
        </row>
        <row r="19">
          <cell r="E19" t="str">
            <v>LESTE</v>
          </cell>
          <cell r="F19">
            <v>36883.680000000029</v>
          </cell>
          <cell r="H19" t="str">
            <v>NORTE</v>
          </cell>
          <cell r="I19">
            <v>12994.110000000002</v>
          </cell>
          <cell r="K19" t="str">
            <v>OSASCO</v>
          </cell>
          <cell r="N19">
            <v>29</v>
          </cell>
        </row>
        <row r="20">
          <cell r="E20" t="str">
            <v>LESTE MOOCA</v>
          </cell>
          <cell r="F20">
            <v>47979.670000000027</v>
          </cell>
          <cell r="H20" t="str">
            <v>OSASCO</v>
          </cell>
          <cell r="I20">
            <v>24011.19</v>
          </cell>
          <cell r="K20" t="str">
            <v>PIRITUBA</v>
          </cell>
          <cell r="N20">
            <v>15</v>
          </cell>
        </row>
        <row r="21">
          <cell r="E21" t="str">
            <v>LESTE PENHA</v>
          </cell>
          <cell r="F21">
            <v>35395.750000000007</v>
          </cell>
          <cell r="H21" t="str">
            <v>PIRITUBA</v>
          </cell>
          <cell r="I21">
            <v>12034.65</v>
          </cell>
          <cell r="K21" t="str">
            <v>SANTO ANDRE</v>
          </cell>
          <cell r="N21">
            <v>12</v>
          </cell>
        </row>
        <row r="22">
          <cell r="E22" t="str">
            <v>LESTE TATUAPE</v>
          </cell>
          <cell r="F22">
            <v>23038.340000000022</v>
          </cell>
          <cell r="H22" t="str">
            <v>SANTO ANDRE</v>
          </cell>
          <cell r="I22">
            <v>11321.07</v>
          </cell>
          <cell r="K22" t="str">
            <v>SBC</v>
          </cell>
          <cell r="N22">
            <v>19</v>
          </cell>
        </row>
        <row r="23">
          <cell r="E23" t="str">
            <v>MOGI</v>
          </cell>
          <cell r="F23">
            <v>11855.669999999991</v>
          </cell>
          <cell r="H23" t="str">
            <v>SBC</v>
          </cell>
          <cell r="I23">
            <v>16720.199999999997</v>
          </cell>
          <cell r="K23" t="str">
            <v>SJC</v>
          </cell>
          <cell r="N23">
            <v>13</v>
          </cell>
        </row>
        <row r="24">
          <cell r="E24" t="str">
            <v>NORTE</v>
          </cell>
          <cell r="F24">
            <v>68913.260000000053</v>
          </cell>
          <cell r="H24" t="str">
            <v>SJC</v>
          </cell>
          <cell r="I24">
            <v>11583.999999999996</v>
          </cell>
          <cell r="K24" t="str">
            <v>SJC/VALE</v>
          </cell>
          <cell r="N24">
            <v>16</v>
          </cell>
        </row>
        <row r="25">
          <cell r="E25" t="str">
            <v>OSASCO</v>
          </cell>
          <cell r="F25">
            <v>101947.58500000001</v>
          </cell>
          <cell r="H25" t="str">
            <v>SJC/VALE</v>
          </cell>
          <cell r="I25">
            <v>2735.3500000000004</v>
          </cell>
          <cell r="K25" t="str">
            <v>Total Geral</v>
          </cell>
          <cell r="N25">
            <v>293</v>
          </cell>
        </row>
        <row r="26">
          <cell r="E26" t="str">
            <v>PIRITUBA</v>
          </cell>
          <cell r="F26">
            <v>38355.48000000001</v>
          </cell>
          <cell r="H26" t="str">
            <v>VENDEDOR INTERNO 1</v>
          </cell>
          <cell r="I26">
            <v>7115.2800000000007</v>
          </cell>
        </row>
        <row r="27">
          <cell r="E27" t="str">
            <v>SANTO ANDRE</v>
          </cell>
          <cell r="F27">
            <v>45186.94</v>
          </cell>
          <cell r="H27" t="str">
            <v>Total Geral</v>
          </cell>
          <cell r="I27">
            <v>302253.16000000015</v>
          </cell>
        </row>
        <row r="28">
          <cell r="E28" t="str">
            <v>SBC</v>
          </cell>
          <cell r="F28">
            <v>72230.800000000017</v>
          </cell>
        </row>
        <row r="29">
          <cell r="E29" t="str">
            <v>SJC</v>
          </cell>
          <cell r="F29">
            <v>25572.360000000004</v>
          </cell>
        </row>
        <row r="30">
          <cell r="E30" t="str">
            <v>SJC/VALE</v>
          </cell>
          <cell r="F30">
            <v>17330.629999999994</v>
          </cell>
        </row>
        <row r="31">
          <cell r="E31" t="str">
            <v>VENDEDOR INTERNO 1</v>
          </cell>
          <cell r="F31">
            <v>25340.400000000001</v>
          </cell>
        </row>
        <row r="32">
          <cell r="E32" t="str">
            <v>Total Geral</v>
          </cell>
          <cell r="F32">
            <v>1507381.170000003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B23" sqref="B23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300050</v>
      </c>
      <c r="J4" s="4"/>
      <c r="K4" s="4"/>
      <c r="L4" s="4"/>
      <c r="M4" s="4"/>
      <c r="N4" s="4" t="s">
        <v>37</v>
      </c>
      <c r="O4" s="7">
        <f>SUM(O11:O17)</f>
        <v>69500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1507381.17</v>
      </c>
      <c r="D5" s="2"/>
      <c r="E5" s="4"/>
      <c r="F5" s="4"/>
      <c r="G5" s="4"/>
      <c r="H5" s="4" t="s">
        <v>1</v>
      </c>
      <c r="I5" s="7">
        <f>SUM(J10:J27)</f>
        <v>225743.74000000002</v>
      </c>
      <c r="J5" s="4"/>
      <c r="K5" s="4"/>
      <c r="L5" s="4"/>
      <c r="M5" s="4"/>
      <c r="N5" s="4" t="s">
        <v>1</v>
      </c>
      <c r="O5" s="7">
        <f>SUM(P11:P17)</f>
        <v>76509.420000000013</v>
      </c>
      <c r="P5" s="4"/>
      <c r="Q5" s="4"/>
      <c r="R5" s="4"/>
      <c r="S5" s="4"/>
      <c r="T5" s="4" t="s">
        <v>1</v>
      </c>
      <c r="U5" s="4">
        <f>SUM(V10:V26)</f>
        <v>293</v>
      </c>
      <c r="V5" s="4"/>
      <c r="W5" s="4"/>
    </row>
    <row r="6" spans="1:23" x14ac:dyDescent="0.25">
      <c r="A6" s="4"/>
      <c r="B6" s="4" t="s">
        <v>2</v>
      </c>
      <c r="C6" s="2">
        <f>C4-C5</f>
        <v>4277118.83</v>
      </c>
      <c r="D6" s="2"/>
      <c r="E6" s="4"/>
      <c r="F6" s="4"/>
      <c r="G6" s="4"/>
      <c r="H6" s="4" t="s">
        <v>2</v>
      </c>
      <c r="I6" s="7">
        <f>I4-I5</f>
        <v>74306.25999999998</v>
      </c>
      <c r="J6" s="4"/>
      <c r="K6" s="4"/>
      <c r="L6" s="4"/>
      <c r="M6" s="4"/>
      <c r="N6" s="4" t="s">
        <v>2</v>
      </c>
      <c r="O6" s="7">
        <f>O4-O5</f>
        <v>-7009.4200000000128</v>
      </c>
      <c r="P6" s="4"/>
      <c r="Q6" s="4"/>
      <c r="R6" s="4"/>
      <c r="S6" s="4"/>
      <c r="T6" s="4" t="s">
        <v>2</v>
      </c>
      <c r="U6" s="4">
        <f>U4-U5</f>
        <v>490</v>
      </c>
      <c r="V6" s="4"/>
      <c r="W6" s="4"/>
    </row>
    <row r="7" spans="1:23" x14ac:dyDescent="0.25">
      <c r="A7" s="4"/>
      <c r="B7" s="4" t="s">
        <v>3</v>
      </c>
      <c r="C7" s="3">
        <f>1-(C6/C4)</f>
        <v>0.26058970870429599</v>
      </c>
      <c r="D7" s="2"/>
      <c r="E7" s="4"/>
      <c r="F7" s="4"/>
      <c r="G7" s="4"/>
      <c r="H7" s="4" t="s">
        <v>3</v>
      </c>
      <c r="I7" s="3">
        <f>1-(I6/I4)</f>
        <v>0.75235374104315955</v>
      </c>
      <c r="J7" s="4"/>
      <c r="K7" s="4"/>
      <c r="L7" s="4"/>
      <c r="M7" s="4"/>
      <c r="N7" s="4" t="s">
        <v>3</v>
      </c>
      <c r="O7" s="3">
        <f>1-(O6/O4)</f>
        <v>1.1008549640287772</v>
      </c>
      <c r="P7" s="4"/>
      <c r="Q7" s="4"/>
      <c r="R7" s="4"/>
      <c r="S7" s="4"/>
      <c r="T7" s="4" t="s">
        <v>3</v>
      </c>
      <c r="U7" s="3">
        <f>1-(U6/U4)</f>
        <v>0.37420178799489145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16669.849999999995</v>
      </c>
      <c r="E10" s="25">
        <f>Tabela13[[#This Row],[META A]]-Tabela13[[#This Row],[ATINGIDO]]</f>
        <v>47830.150000000009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28880</v>
      </c>
      <c r="J10" s="21">
        <f>_xlfn.XLOOKUP(Tabela5[[#This Row],[REFERENCIA]],'[1]BASE PYTHON'!$H:$H,'[1]BASE PYTHON'!$I:$I,0)</f>
        <v>24011.19</v>
      </c>
      <c r="K10" s="22">
        <f>Tabela5[[#This Row],[COMPROMISSO]]-Tabela5[[#This Row],[ATINGIDO]]</f>
        <v>4868.8100000000013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14</v>
      </c>
      <c r="W10" s="18">
        <f>U10-V10</f>
        <v>24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137438.79999999993</v>
      </c>
      <c r="E11" s="23">
        <f>Tabela13[[#This Row],[META A]]-Tabela13[[#This Row],[ATINGIDO]]</f>
        <v>192561.20000000007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23800</v>
      </c>
      <c r="J11" s="21">
        <f>_xlfn.XLOOKUP(Tabela5[[#This Row],[REFERENCIA]],'[1]BASE PYTHON'!$H:$H,'[1]BASE PYTHON'!$I:$I,0)</f>
        <v>12994.110000000002</v>
      </c>
      <c r="K11" s="22">
        <f>Tabela5[[#This Row],[COMPROMISSO]]-Tabela5[[#This Row],[ATINGIDO]]</f>
        <v>10805.889999999998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69500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29</v>
      </c>
      <c r="W11" s="18">
        <f t="shared" ref="W11:W20" si="0">U11-V11</f>
        <v>25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13480</v>
      </c>
      <c r="J12" s="21">
        <f>_xlfn.XLOOKUP(Tabela5[[#This Row],[REFERENCIA]],'[1]BASE PYTHON'!$H:$H,'[1]BASE PYTHON'!$I:$I,0)</f>
        <v>12034.65</v>
      </c>
      <c r="K12" s="22">
        <f>Tabela5[[#This Row],[COMPROMISSO]]-Tabela5[[#This Row],[ATINGIDO]]</f>
        <v>1445.3500000000004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16</v>
      </c>
      <c r="W12" s="18">
        <f t="shared" si="0"/>
        <v>27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29887.225000000013</v>
      </c>
      <c r="E13" s="23">
        <f>Tabela13[[#This Row],[META A]]-Tabela13[[#This Row],[ATINGIDO]]</f>
        <v>60112.774999999987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23470</v>
      </c>
      <c r="J13" s="21">
        <f>_xlfn.XLOOKUP(Tabela5[[#This Row],[REFERENCIA]],'[1]BASE PYTHON'!$H:$H,'[1]BASE PYTHON'!$I:$I,0)</f>
        <v>16720.199999999997</v>
      </c>
      <c r="K13" s="22">
        <f>Tabela5[[#This Row],[COMPROMISSO]]-Tabela5[[#This Row],[ATINGIDO]]</f>
        <v>6749.8000000000029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20260.399999999998</v>
      </c>
      <c r="Q13" s="2">
        <f>Tabela8[[#This Row],[COMPROMISSO]]-Tabela8[[#This Row],[ATINGIDO]]</f>
        <v>-20260.399999999998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31</v>
      </c>
      <c r="W13" s="18">
        <f t="shared" si="0"/>
        <v>30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77903.889999999956</v>
      </c>
      <c r="E14" s="25">
        <f>Tabela13[[#This Row],[META A]]-Tabela13[[#This Row],[ATINGIDO]]</f>
        <v>195096.11000000004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23230</v>
      </c>
      <c r="J14" s="21">
        <f>_xlfn.XLOOKUP(Tabela5[[#This Row],[REFERENCIA]],'[1]BASE PYTHON'!$H:$H,'[1]BASE PYTHON'!$I:$I,0)</f>
        <v>5946.5999999999985</v>
      </c>
      <c r="K14" s="22">
        <f>Tabela5[[#This Row],[COMPROMISSO]]-Tabela5[[#This Row],[ATINGIDO]]</f>
        <v>17283.400000000001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9825.6</v>
      </c>
      <c r="Q14" s="2">
        <f>Tabela8[[#This Row],[COMPROMISSO]]-Tabela8[[#This Row],[ATINGIDO]]</f>
        <v>-9825.6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8</v>
      </c>
      <c r="W14" s="18">
        <f t="shared" si="0"/>
        <v>21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28488.650000000009</v>
      </c>
      <c r="E15" s="23">
        <f>Tabela13[[#This Row],[META A]]-Tabela13[[#This Row],[ATINGIDO]]</f>
        <v>49511.349999999991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35090</v>
      </c>
      <c r="J15" s="21">
        <f>_xlfn.XLOOKUP(Tabela5[[#This Row],[REFERENCIA]],'[1]BASE PYTHON'!$H:$H,'[1]BASE PYTHON'!$I:$I,0)</f>
        <v>51855.85</v>
      </c>
      <c r="K15" s="22">
        <f>Tabela5[[#This Row],[COMPROMISSO]]-Tabela5[[#This Row],[ATINGIDO]]</f>
        <v>-16765.849999999999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13773.72</v>
      </c>
      <c r="Q15" s="2">
        <f>Tabela8[[#This Row],[COMPROMISSO]]-Tabela8[[#This Row],[ATINGIDO]]</f>
        <v>-13773.72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16</v>
      </c>
      <c r="W15" s="18">
        <f>U15-V15</f>
        <v>32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59165.240000000005</v>
      </c>
      <c r="E16" s="25">
        <f>Tabela13[[#This Row],[META A]]-Tabela13[[#This Row],[ATINGIDO]]</f>
        <v>290834.76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16310</v>
      </c>
      <c r="J16" s="21">
        <f>_xlfn.XLOOKUP(Tabela5[[#This Row],[REFERENCIA]],'[1]BASE PYTHON'!$H:$H,'[1]BASE PYTHON'!$I:$I,0)</f>
        <v>11321.07</v>
      </c>
      <c r="K16" s="22">
        <f>Tabela5[[#This Row],[COMPROMISSO]]-Tabela5[[#This Row],[ATINGIDO]]</f>
        <v>4988.93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11</v>
      </c>
      <c r="W16" s="18">
        <f t="shared" si="0"/>
        <v>30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158412.58999999994</v>
      </c>
      <c r="E17" s="23">
        <f>Tabela13[[#This Row],[META A]]-Tabela13[[#This Row],[ATINGIDO]]</f>
        <v>261587.41000000006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10760</v>
      </c>
      <c r="J17" s="21">
        <f>_xlfn.XLOOKUP(Tabela5[[#This Row],[REFERENCIA]],'[1]BASE PYTHON'!$H:$H,'[1]BASE PYTHON'!$I:$I,0)</f>
        <v>895.8</v>
      </c>
      <c r="K17" s="22">
        <f>Tabela5[[#This Row],[COMPROMISSO]]-Tabela5[[#This Row],[ATINGIDO]]</f>
        <v>9864.2000000000007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32649.700000000008</v>
      </c>
      <c r="Q17" s="2">
        <f>Tabela8[[#This Row],[COMPROMISSO]]-Tabela8[[#This Row],[ATINGIDO]]</f>
        <v>-32649.700000000008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23</v>
      </c>
      <c r="W17" s="18">
        <f t="shared" si="0"/>
        <v>28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243599.69999999998</v>
      </c>
      <c r="E18" s="25">
        <f>Tabela13[[#This Row],[META A]]-Tabela13[[#This Row],[ATINGIDO]]</f>
        <v>736400.3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12620</v>
      </c>
      <c r="J18" s="21">
        <f>_xlfn.XLOOKUP(Tabela5[[#This Row],[REFERENCIA]],'[1]BASE PYTHON'!$H:$H,'[1]BASE PYTHON'!$I:$I,0)</f>
        <v>11787.759999999997</v>
      </c>
      <c r="K18" s="22">
        <f>Tabela5[[#This Row],[COMPROMISSO]]-Tabela5[[#This Row],[ATINGIDO]]</f>
        <v>832.24000000000342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20</v>
      </c>
      <c r="W18" s="18">
        <f t="shared" si="0"/>
        <v>27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2225.3500000000004</v>
      </c>
      <c r="E19" s="23">
        <f>Tabela13[[#This Row],[META A]]-Tabela13[[#This Row],[ATINGIDO]]</f>
        <v>139774.65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19860</v>
      </c>
      <c r="J19" s="21">
        <f>_xlfn.XLOOKUP(Tabela5[[#This Row],[REFERENCIA]],'[1]BASE PYTHON'!$H:$H,'[1]BASE PYTHON'!$I:$I,0)</f>
        <v>10270.600000000002</v>
      </c>
      <c r="K19" s="22">
        <f>Tabela5[[#This Row],[COMPROMISSO]]-Tabela5[[#This Row],[ATINGIDO]]</f>
        <v>9589.3999999999978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29</v>
      </c>
      <c r="W19" s="18">
        <f t="shared" si="0"/>
        <v>34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114671.21999999997</v>
      </c>
      <c r="E20" s="25">
        <f>Tabela13[[#This Row],[META A]]-Tabela13[[#This Row],[ATINGIDO]]</f>
        <v>445328.78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21970</v>
      </c>
      <c r="J20" s="21">
        <f>_xlfn.XLOOKUP(Tabela5[[#This Row],[REFERENCIA]],'[1]BASE PYTHON'!$H:$H,'[1]BASE PYTHON'!$I:$I,0)</f>
        <v>19211.759999999998</v>
      </c>
      <c r="K20" s="22">
        <f>Tabela5[[#This Row],[COMPROMISSO]]-Tabela5[[#This Row],[ATINGIDO]]</f>
        <v>2758.2400000000016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9</v>
      </c>
      <c r="W20" s="18">
        <f t="shared" si="0"/>
        <v>32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88154.810000000056</v>
      </c>
      <c r="E21" s="23">
        <f>Tabela13[[#This Row],[META A]]-Tabela13[[#This Row],[ATINGIDO]]</f>
        <v>336845.18999999994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6840</v>
      </c>
      <c r="J21" s="21">
        <f>_xlfn.XLOOKUP(Tabela5[[#This Row],[REFERENCIA]],'[1]BASE PYTHON'!$H:$H,'[1]BASE PYTHON'!$I:$I,0)</f>
        <v>4849.7399999999989</v>
      </c>
      <c r="K21" s="22">
        <f>Tabela5[[#This Row],[COMPROMISSO]]-Tabela5[[#This Row],[ATINGIDO]]</f>
        <v>1990.2600000000011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15</v>
      </c>
      <c r="W21" s="18">
        <f t="shared" ref="W21:W26" si="1">U21-V21</f>
        <v>29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36883.680000000029</v>
      </c>
      <c r="E22" s="25">
        <f>Tabela13[[#This Row],[META A]]-Tabela13[[#This Row],[ATINGIDO]]</f>
        <v>85116.319999999978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18920</v>
      </c>
      <c r="J22" s="21">
        <f>_xlfn.XLOOKUP(Tabela5[[#This Row],[REFERENCIA]],'[1]BASE PYTHON'!$H:$H,'[1]BASE PYTHON'!$I:$I,0)</f>
        <v>11125.099999999999</v>
      </c>
      <c r="K22" s="22">
        <f>Tabela5[[#This Row],[COMPROMISSO]]-Tabela5[[#This Row],[ATINGIDO]]</f>
        <v>7794.9000000000015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GETPIVOTDATA("[Measures].[Soma de TOTAL 3]",'[1]BASE PYTHON'!$P$32,"[Intervalo 2].[SEMANA]","[Intervalo 2].[SEMANA].&amp;[2]")</f>
        <v>76509.419999999955</v>
      </c>
      <c r="Q22" s="7">
        <f>O22-P22</f>
        <v>608490.58000000007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12</v>
      </c>
      <c r="W22" s="18">
        <f t="shared" si="1"/>
        <v>28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47979.670000000027</v>
      </c>
      <c r="E23" s="23">
        <f>Tabela13[[#This Row],[META A]]-Tabela13[[#This Row],[ATINGIDO]]</f>
        <v>152020.32999999996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9940</v>
      </c>
      <c r="J23" s="21">
        <f>_xlfn.XLOOKUP(Tabela5[[#This Row],[REFERENCIA]],'[1]BASE PYTHON'!$H:$H,'[1]BASE PYTHON'!$I:$I,0)</f>
        <v>8374.6299999999992</v>
      </c>
      <c r="K23" s="22">
        <f>Tabela5[[#This Row],[COMPROMISSO]]-Tabela5[[#This Row],[ATINGIDO]]</f>
        <v>1565.3700000000008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19</v>
      </c>
      <c r="W23" s="18">
        <f t="shared" si="1"/>
        <v>36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35395.750000000007</v>
      </c>
      <c r="E24" s="25">
        <f>Tabela13[[#This Row],[META A]]-Tabela13[[#This Row],[ATINGIDO]]</f>
        <v>109604.25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10520</v>
      </c>
      <c r="J24" s="21">
        <f>_xlfn.XLOOKUP(Tabela5[[#This Row],[REFERENCIA]],'[1]BASE PYTHON'!$H:$H,'[1]BASE PYTHON'!$I:$I,0)</f>
        <v>7115.2800000000007</v>
      </c>
      <c r="K24" s="22">
        <f>Tabela5[[#This Row],[COMPROMISSO]]-Tabela5[[#This Row],[ATINGIDO]]</f>
        <v>3404.7199999999993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13</v>
      </c>
      <c r="W24" s="18">
        <f t="shared" si="1"/>
        <v>24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23038.340000000022</v>
      </c>
      <c r="E25" s="23">
        <f>Tabela13[[#This Row],[META A]]-Tabela13[[#This Row],[ATINGIDO]]</f>
        <v>123961.65999999997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15180</v>
      </c>
      <c r="J25" s="21">
        <f>_xlfn.XLOOKUP(Tabela5[[#This Row],[REFERENCIA]],'[1]BASE PYTHON'!$H:$H,'[1]BASE PYTHON'!$I:$I,0)</f>
        <v>11583.999999999996</v>
      </c>
      <c r="K25" s="22">
        <f>Tabela5[[#This Row],[COMPROMISSO]]-Tabela5[[#This Row],[ATINGIDO]]</f>
        <v>3596.0000000000036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12</v>
      </c>
      <c r="W25" s="18">
        <f t="shared" si="1"/>
        <v>41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11855.669999999991</v>
      </c>
      <c r="E26" s="25">
        <f>Tabela13[[#This Row],[META A]]-Tabela13[[#This Row],[ATINGIDO]]</f>
        <v>78144.330000000016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4290</v>
      </c>
      <c r="J26" s="21">
        <f>_xlfn.XLOOKUP(Tabela5[[#This Row],[REFERENCIA]],'[1]BASE PYTHON'!$H:$H,'[1]BASE PYTHON'!$I:$I,0)</f>
        <v>2735.3500000000004</v>
      </c>
      <c r="K26" s="22">
        <f>Tabela5[[#This Row],[COMPROMISSO]]-Tabela5[[#This Row],[ATINGIDO]]</f>
        <v>1554.6499999999996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16</v>
      </c>
      <c r="W26" s="18">
        <f t="shared" si="1"/>
        <v>22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68913.260000000053</v>
      </c>
      <c r="E27" s="23">
        <f>Tabela13[[#This Row],[META A]]-Tabela13[[#This Row],[ATINGIDO]]</f>
        <v>173086.73999999993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4890</v>
      </c>
      <c r="J27" s="21">
        <f>_xlfn.XLOOKUP(Tabela5[[#This Row],[REFERENCIA]],'[1]BASE PYTHON'!$H:$H,'[1]BASE PYTHON'!$I:$I,0)</f>
        <v>2910.05</v>
      </c>
      <c r="K27" s="22">
        <f>Tabela5[[#This Row],[COMPROMISSO]]-Tabela5[[#This Row],[ATINGIDO]]</f>
        <v>1979.9499999999998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101947.58500000001</v>
      </c>
      <c r="E28" s="25">
        <f>Tabela13[[#This Row],[META A]]-Tabela13[[#This Row],[ATINGIDO]]</f>
        <v>221552.41499999998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38355.48000000001</v>
      </c>
      <c r="E30" s="25">
        <f>Tabela13[[#This Row],[META A]]-Tabela13[[#This Row],[ATINGIDO]]</f>
        <v>101144.51999999999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45186.94</v>
      </c>
      <c r="E31" s="23">
        <f>Tabela13[[#This Row],[META A]]-Tabela13[[#This Row],[ATINGIDO]]</f>
        <v>121813.06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576966.17000000481</v>
      </c>
      <c r="K31" s="7">
        <f>I31-J31</f>
        <v>115057.63952380465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71</v>
      </c>
      <c r="W31" s="6">
        <f t="shared" ref="W31:W33" si="2">U31-V31</f>
        <v>115.42857142857142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72230.800000000017</v>
      </c>
      <c r="E32" s="25">
        <f>Tabela13[[#This Row],[META A]]-Tabela13[[#This Row],[ATINGIDO]]</f>
        <v>192769.19999999998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215473.14000000013</v>
      </c>
      <c r="K32" s="7">
        <f t="shared" ref="K32:K34" si="3">I32-J32</f>
        <v>476550.66952380934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25572.360000000004</v>
      </c>
      <c r="E33" s="23">
        <f>Tabela13[[#This Row],[META A]]-Tabela13[[#This Row],[ATINGIDO]]</f>
        <v>74427.64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17330.629999999994</v>
      </c>
      <c r="E34" s="25">
        <f>Tabela13[[#This Row],[META A]]-Tabela13[[#This Row],[ATINGIDO]]</f>
        <v>37669.37000000001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25340.400000000001</v>
      </c>
      <c r="E35" s="23">
        <f>Tabela13[[#This Row],[META A]]-Tabela13[[#This Row],[ATINGIDO]]</f>
        <v>49659.6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1205128.0099999986</v>
      </c>
      <c r="E40" s="7">
        <f>C40-D40</f>
        <v>172133.89476190624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302253.16000000021</v>
      </c>
      <c r="E41" s="7">
        <f t="shared" ref="E41:E43" si="4">C41-D41</f>
        <v>1075008.7447619047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2026-08-10T17:29:16Z</dcterms:modified>
</cp:coreProperties>
</file>