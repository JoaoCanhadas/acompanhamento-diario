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F0B4D870-79B1-45A9-979B-95F10088E15B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2" l="1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2" i="2"/>
  <c r="V30" i="2"/>
  <c r="P25" i="2"/>
  <c r="D43" i="2"/>
  <c r="P11" i="2"/>
  <c r="P15" i="2"/>
  <c r="P16" i="2"/>
  <c r="D42" i="2"/>
  <c r="P14" i="2"/>
  <c r="P12" i="2"/>
  <c r="V34" i="2"/>
  <c r="J34" i="2"/>
  <c r="J31" i="2"/>
  <c r="V33" i="2"/>
  <c r="V31" i="2"/>
  <c r="J33" i="2"/>
  <c r="V32" i="2"/>
  <c r="P21" i="2"/>
  <c r="J32" i="2"/>
  <c r="J35" i="2"/>
  <c r="P23" i="2"/>
  <c r="D40" i="2"/>
  <c r="P17" i="2"/>
  <c r="P13" i="2"/>
  <c r="P24" i="2"/>
  <c r="D44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<sst xmlns="http://schemas.openxmlformats.org/spreadsheetml/2006/main" count="215" uniqueCount="54">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</sst>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13752.249999999996</v>
          </cell>
        </row>
        <row r="6">
          <cell r="E6" t="str">
            <v>CENTRO</v>
          </cell>
          <cell r="F6">
            <v>85582.949999999939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</row>
        <row r="8">
          <cell r="E8" t="str">
            <v>IATAGAM JUNIOR</v>
          </cell>
          <cell r="F8">
            <v>89</v>
          </cell>
          <cell r="K8" t="str">
            <v>CAMPINAS</v>
          </cell>
        </row>
        <row r="9">
          <cell r="E9" t="str">
            <v>INDAIATUBA</v>
          </cell>
          <cell r="F9">
            <v>21512.595000000005</v>
          </cell>
          <cell r="K9" t="str">
            <v>CENTRO</v>
          </cell>
        </row>
        <row r="10">
          <cell r="E10" t="str">
            <v>INTERLAGOS</v>
          </cell>
          <cell r="F10">
            <v>58689.580000000031</v>
          </cell>
          <cell r="K10" t="str">
            <v>INDAIATUBA</v>
          </cell>
        </row>
        <row r="11">
          <cell r="E11" t="str">
            <v>JUNDIAI</v>
          </cell>
          <cell r="F11">
            <v>23638.910000000007</v>
          </cell>
          <cell r="K11" t="str">
            <v>INTERLAGOS</v>
          </cell>
        </row>
        <row r="12">
          <cell r="E12" t="str">
            <v>KEY ABC</v>
          </cell>
          <cell r="F12">
            <v>59165.240000000005</v>
          </cell>
          <cell r="K12" t="str">
            <v>JUNDIAI</v>
          </cell>
        </row>
        <row r="13">
          <cell r="E13" t="str">
            <v>KEY CASA</v>
          </cell>
          <cell r="F13">
            <v>125762.89000000001</v>
          </cell>
          <cell r="K13" t="str">
            <v>LESTE</v>
          </cell>
        </row>
        <row r="14">
          <cell r="E14" t="str">
            <v>KEY INTERIOR</v>
          </cell>
          <cell r="F14">
            <v>233774.1</v>
          </cell>
          <cell r="K14" t="str">
            <v>LESTE MOOCA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</row>
        <row r="16">
          <cell r="E16" t="str">
            <v>KEY SJC</v>
          </cell>
          <cell r="F16">
            <v>2225.3500000000004</v>
          </cell>
          <cell r="K16" t="str">
            <v>LESTE TATUAPE</v>
          </cell>
        </row>
        <row r="17">
          <cell r="E17" t="str">
            <v>KEY SP</v>
          </cell>
          <cell r="F17">
            <v>100897.49999999997</v>
          </cell>
          <cell r="K17" t="str">
            <v>MOGI</v>
          </cell>
        </row>
        <row r="18">
          <cell r="E18" t="str">
            <v>KEY ZL</v>
          </cell>
          <cell r="F18">
            <v>67894.410000000047</v>
          </cell>
          <cell r="K18" t="str">
            <v>NORTE</v>
          </cell>
        </row>
        <row r="19">
          <cell r="E19" t="str">
            <v>LESTE</v>
          </cell>
          <cell r="F19">
            <v>25095.920000000009</v>
          </cell>
          <cell r="K19" t="str">
            <v>OSASCO</v>
          </cell>
        </row>
        <row r="20">
          <cell r="E20" t="str">
            <v>LESTE MOOCA</v>
          </cell>
          <cell r="F20">
            <v>37709.070000000014</v>
          </cell>
          <cell r="K20" t="str">
            <v>PIRITUBA</v>
          </cell>
        </row>
        <row r="21">
          <cell r="E21" t="str">
            <v>LESTE PENHA</v>
          </cell>
          <cell r="F21">
            <v>24270.649999999994</v>
          </cell>
          <cell r="K21" t="str">
            <v>SANTO ANDRE</v>
          </cell>
        </row>
        <row r="22">
          <cell r="E22" t="str">
            <v>LESTE TATUAPE</v>
          </cell>
          <cell r="F22">
            <v>17091.739999999994</v>
          </cell>
          <cell r="K22" t="str">
            <v>SBC</v>
          </cell>
        </row>
        <row r="23">
          <cell r="E23" t="str">
            <v>MOGI</v>
          </cell>
          <cell r="F23">
            <v>10944.769999999991</v>
          </cell>
          <cell r="K23" t="str">
            <v>SJC</v>
          </cell>
        </row>
        <row r="24">
          <cell r="E24" t="str">
            <v>NORTE</v>
          </cell>
          <cell r="F24">
            <v>55919.150000000031</v>
          </cell>
          <cell r="K24" t="str">
            <v>SJC/VALE</v>
          </cell>
        </row>
        <row r="25">
          <cell r="E25" t="str">
            <v>OSASCO</v>
          </cell>
          <cell r="F25">
            <v>77936.394999999975</v>
          </cell>
          <cell r="K25" t="str">
            <v>Total Geral</v>
          </cell>
        </row>
        <row r="26">
          <cell r="E26" t="str">
            <v>PIRITUBA</v>
          </cell>
          <cell r="F26">
            <v>26320.830000000009</v>
          </cell>
        </row>
        <row r="27">
          <cell r="E27" t="str">
            <v>SANTO ANDRE</v>
          </cell>
          <cell r="F27">
            <v>33865.870000000017</v>
          </cell>
        </row>
        <row r="28">
          <cell r="E28" t="str">
            <v>SBC</v>
          </cell>
          <cell r="F28">
            <v>55510.600000000049</v>
          </cell>
        </row>
        <row r="29">
          <cell r="E29" t="str">
            <v>SJC</v>
          </cell>
          <cell r="F29">
            <v>13988.359999999999</v>
          </cell>
        </row>
        <row r="30">
          <cell r="E30" t="str">
            <v>SJC/VALE</v>
          </cell>
          <cell r="F30">
            <v>14580.179999999989</v>
          </cell>
        </row>
        <row r="31">
          <cell r="E31" t="str">
            <v>VENDEDOR INTERNO 1</v>
          </cell>
          <cell r="F31">
            <v>18225.119999999995</v>
          </cell>
        </row>
        <row r="32">
          <cell r="E32" t="str">
            <v>Total Geral</v>
          </cell>
          <cell r="F32">
            <v>1205087.7100000032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Row],[REFERENCIA]],'[2]BASE PYTHON'!$A$63:$A$79,#REF!)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300050</v>
      </c>
      <c r="J4" s="4"/>
      <c r="K4" s="4"/>
      <c r="L4" s="4"/>
      <c r="M4" s="4"/>
      <c r="N4" s="4" t="s">
        <v>37</v>
      </c>
      <c r="O4" s="7">
        <f>SUM(O11:O17)</f>
        <v>42500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1205087.7100000007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589719.49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4579412.2899999991</v>
      </c>
      <c r="D6" s="2"/>
      <c r="E6" s="4"/>
      <c r="F6" s="4"/>
      <c r="G6" s="4"/>
      <c r="H6" s="4" t="s">
        <v>2</v>
      </c>
      <c r="I6" s="7">
        <f>I4-I5</f>
        <v>300050</v>
      </c>
      <c r="J6" s="4"/>
      <c r="K6" s="4"/>
      <c r="L6" s="4"/>
      <c r="M6" s="4"/>
      <c r="N6" s="4" t="s">
        <v>2</v>
      </c>
      <c r="O6" s="7">
        <f>O4-O5</f>
        <v>-547219.49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</row>
    <row r="7" spans="1:23" x14ac:dyDescent="0.25">
      <c r="A7" s="4"/>
      <c r="B7" s="4" t="s">
        <v>3</v>
      </c>
      <c r="C7" s="3">
        <f>1-(C6/C4)</f>
        <v>0.2083304883741034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13.875752705882352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13752.249999999996</v>
      </c>
      <c r="E10" s="25">
        <f>Tabela13[[#This Row],[META A]]-Tabela13[[#This Row],[ATINGIDO]]</f>
        <v>50747.75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28880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28880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85582.949999999939</v>
      </c>
      <c r="E11" s="23">
        <f>Tabela13[[#This Row],[META A]]-Tabela13[[#This Row],[ATINGIDO]]</f>
        <v>244417.05000000005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23800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23800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42500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59165.240000000005</v>
      </c>
      <c r="Q11" s="2">
        <f>Tabela8[[#This Row],[COMPROMISSO]]-Tabela8[[#This Row],[ATINGIDO]]</f>
        <v>-16665.240000000005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13480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13480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21512.595000000005</v>
      </c>
      <c r="E13" s="23">
        <f>Tabela13[[#This Row],[META A]]-Tabela13[[#This Row],[ATINGIDO]]</f>
        <v>68487.404999999999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23470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23470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67894.410000000047</v>
      </c>
      <c r="Q13" s="2">
        <f>Tabela8[[#This Row],[COMPROMISSO]]-Tabela8[[#This Row],[ATINGIDO]]</f>
        <v>-67894.410000000047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58689.580000000031</v>
      </c>
      <c r="E14" s="25">
        <f>Tabela13[[#This Row],[META A]]-Tabela13[[#This Row],[ATINGIDO]]</f>
        <v>214310.41999999998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23230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23230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233774.1</v>
      </c>
      <c r="Q14" s="2">
        <f>Tabela8[[#This Row],[COMPROMISSO]]-Tabela8[[#This Row],[ATINGIDO]]</f>
        <v>-233774.1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23638.910000000007</v>
      </c>
      <c r="E15" s="23">
        <f>Tabela13[[#This Row],[META A]]-Tabela13[[#This Row],[ATINGIDO]]</f>
        <v>54361.09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35090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35090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100897.49999999997</v>
      </c>
      <c r="Q15" s="2">
        <f>Tabela8[[#This Row],[COMPROMISSO]]-Tabela8[[#This Row],[ATINGIDO]]</f>
        <v>-100897.49999999997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59165.240000000005</v>
      </c>
      <c r="E16" s="25">
        <f>Tabela13[[#This Row],[META A]]-Tabela13[[#This Row],[ATINGIDO]]</f>
        <v>290834.76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16310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16310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2225.3500000000004</v>
      </c>
      <c r="Q16" s="2">
        <f>Tabela8[[#This Row],[COMPROMISSO]]-Tabela8[[#This Row],[ATINGIDO]]</f>
        <v>-2225.3500000000004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125762.89000000001</v>
      </c>
      <c r="E17" s="23">
        <f>Tabela13[[#This Row],[META A]]-Tabela13[[#This Row],[ATINGIDO]]</f>
        <v>294237.11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10760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10760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125762.89000000001</v>
      </c>
      <c r="Q17" s="2">
        <f>Tabela8[[#This Row],[COMPROMISSO]]-Tabela8[[#This Row],[ATINGIDO]]</f>
        <v>-125762.89000000001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233774.1</v>
      </c>
      <c r="E18" s="25">
        <f>Tabela13[[#This Row],[META A]]-Tabela13[[#This Row],[ATINGIDO]]</f>
        <v>746225.9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12620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12620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2225.3500000000004</v>
      </c>
      <c r="E19" s="23">
        <f>Tabela13[[#This Row],[META A]]-Tabela13[[#This Row],[ATINGIDO]]</f>
        <v>139774.65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19860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19860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100897.49999999997</v>
      </c>
      <c r="E20" s="25">
        <f>Tabela13[[#This Row],[META A]]-Tabela13[[#This Row],[ATINGIDO]]</f>
        <v>459102.5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21970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21970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67894.410000000047</v>
      </c>
      <c r="E21" s="23">
        <f>Tabela13[[#This Row],[META A]]-Tabela13[[#This Row],[ATINGIDO]]</f>
        <v>357105.58999999997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6840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6840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589719.48999999987</v>
      </c>
      <c r="Q21" s="7">
        <f>O21-P21</f>
        <v>95280.510000000126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25095.920000000009</v>
      </c>
      <c r="E22" s="25">
        <f>Tabela13[[#This Row],[META A]]-Tabela13[[#This Row],[ATINGIDO]]</f>
        <v>96904.079999999987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18920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18920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37709.070000000014</v>
      </c>
      <c r="E23" s="23">
        <f>Tabela13[[#This Row],[META A]]-Tabela13[[#This Row],[ATINGIDO]]</f>
        <v>162290.93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9940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9940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24270.649999999994</v>
      </c>
      <c r="E24" s="25">
        <f>Tabela13[[#This Row],[META A]]-Tabela13[[#This Row],[ATINGIDO]]</f>
        <v>120729.35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10520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10520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17091.739999999994</v>
      </c>
      <c r="E25" s="23">
        <f>Tabela13[[#This Row],[META A]]-Tabela13[[#This Row],[ATINGIDO]]</f>
        <v>129908.26000000001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15180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15180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10944.769999999991</v>
      </c>
      <c r="E26" s="25">
        <f>Tabela13[[#This Row],[META A]]-Tabela13[[#This Row],[ATINGIDO]]</f>
        <v>79055.23000000001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4290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4290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55919.150000000031</v>
      </c>
      <c r="E27" s="23">
        <f>Tabela13[[#This Row],[META A]]-Tabela13[[#This Row],[ATINGIDO]]</f>
        <v>186080.84999999998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4890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4890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77936.394999999975</v>
      </c>
      <c r="E28" s="25">
        <f>Tabela13[[#This Row],[META A]]-Tabela13[[#This Row],[ATINGIDO]]</f>
        <v>245563.60500000004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26320.830000000009</v>
      </c>
      <c r="E30" s="25">
        <f>Tabela13[[#This Row],[META A]]-Tabela13[[#This Row],[ATINGIDO]]</f>
        <v>113179.16999999998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33865.870000000017</v>
      </c>
      <c r="E31" s="23">
        <f>Tabela13[[#This Row],[META A]]-Tabela13[[#This Row],[ATINGIDO]]</f>
        <v>133134.12999999998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576925.87000000128</v>
      </c>
      <c r="K31" s="7">
        <f>I31-J31</f>
        <v>115097.93952380819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55510.600000000049</v>
      </c>
      <c r="E32" s="25">
        <f>Tabela13[[#This Row],[META A]]-Tabela13[[#This Row],[ATINGIDO]]</f>
        <v>209489.39999999997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13988.359999999999</v>
      </c>
      <c r="E33" s="23">
        <f>Tabela13[[#This Row],[META A]]-Tabela13[[#This Row],[ATINGIDO]]</f>
        <v>86011.64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14580.179999999989</v>
      </c>
      <c r="E34" s="25">
        <f>Tabela13[[#This Row],[META A]]-Tabela13[[#This Row],[ATINGIDO]]</f>
        <v>40419.820000000007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18225.119999999995</v>
      </c>
      <c r="E35" s="23">
        <f>Tabela13[[#This Row],[META A]]-Tabela13[[#This Row],[ATINGIDO]]</f>
        <v>56774.880000000005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1205087.7100000032</v>
      </c>
      <c r="E40" s="7">
        <f>C40-D40</f>
        <v>172174.19476190163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INT((A6-(DATE(YEAR(A6),MONTH(A6),1)+(8-WEEKDAY(DATE(YEAR(A6),MONTH(A6),1),2))))/7)+1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2026-08-10T10:25:17Z</dcterms:modified>
</cp:coreProperties>
</file>