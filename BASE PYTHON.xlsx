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150C1C69-72B8-4478-BCE3-66FDB0EA1298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2" l="1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C39" i="2" l="1" a="1"/>
  <c r="C39" i="2" s="1"/>
  <c r="D36" i="2" l="1"/>
  <c r="J10" i="2"/>
  <c r="U5" i="2" l="1"/>
  <c r="P17" i="2"/>
  <c r="P16" i="2"/>
  <c r="P15" i="2"/>
  <c r="P14" i="2"/>
  <c r="P13" i="2"/>
  <c r="P12" i="2"/>
  <c r="P11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W14" i="2" s="1"/>
  <c r="U13" i="2"/>
  <c r="U12" i="2"/>
  <c r="U11" i="2"/>
  <c r="U10" i="2"/>
  <c r="W10" i="2" s="1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C41" i="2" a="1"/>
  <c r="C41" i="2" s="1"/>
  <c r="C42" i="2" a="1"/>
  <c r="C42" i="2" s="1"/>
  <c r="U30" i="2" a="1"/>
  <c r="U30" i="2" s="1"/>
  <c r="O16" i="2" a="1"/>
  <c r="O16" i="2" s="1"/>
  <c r="I34" i="2" a="1"/>
  <c r="I34" i="2" s="1"/>
  <c r="I31" i="2" a="1"/>
  <c r="I31" i="2" s="1"/>
  <c r="O17" i="2" a="1"/>
  <c r="O17" i="2" s="1"/>
  <c r="U31" i="2" a="1"/>
  <c r="U31" i="2" s="1"/>
  <c r="C40" i="2" a="1"/>
  <c r="C40" i="2" s="1"/>
  <c r="U33" i="2" a="1"/>
  <c r="U33" i="2" s="1"/>
  <c r="I33" i="2" a="1"/>
  <c r="I33" i="2" s="1"/>
  <c r="U32" i="2" a="1"/>
  <c r="U32" i="2" s="1"/>
  <c r="I32" i="2" a="1"/>
  <c r="I32" i="2" s="1"/>
  <c r="O12" i="2" a="1"/>
  <c r="O12" i="2" s="1"/>
  <c r="O15" i="2" a="1"/>
  <c r="O15" i="2" s="1"/>
  <c r="O11" i="2" a="1"/>
  <c r="O11" i="2" s="1"/>
  <c r="O14" i="2" a="1"/>
  <c r="O14" i="2" s="1"/>
  <c r="O13" i="2" a="1"/>
  <c r="O13" i="2" s="1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P23" i="2"/>
  <c r="V31" i="2"/>
  <c r="J34" i="2"/>
  <c r="V30" i="2"/>
  <c r="D39" i="2"/>
  <c r="P21" i="2"/>
  <c r="D41" i="2"/>
  <c r="D40" i="2"/>
  <c r="J32" i="2"/>
  <c r="P22" i="2"/>
  <c r="V33" i="2"/>
  <c r="D42" i="2"/>
  <c r="V32" i="2"/>
  <c r="J31" i="2"/>
  <c r="P20" i="2"/>
  <c r="J33" i="2"/>
  <c r="C5" i="2" l="1"/>
  <c r="E39" i="2"/>
  <c r="W31" i="2"/>
  <c r="W32" i="2"/>
  <c r="W30" i="2"/>
  <c r="I5" i="2"/>
  <c r="U4" i="2"/>
  <c r="U6" i="2" s="1"/>
  <c r="O5" i="2"/>
  <c r="O4" i="2"/>
  <c r="C4" i="2"/>
  <c r="W33" i="2"/>
  <c r="K34" i="2"/>
  <c r="K32" i="2"/>
  <c r="K33" i="2"/>
  <c r="E41" i="2"/>
  <c r="E42" i="2"/>
  <c r="K31" i="2"/>
  <c r="W18" i="2"/>
  <c r="O7" i="2" l="1"/>
  <c r="C7" i="2"/>
  <c r="U7" i="2"/>
  <c r="O6" i="2"/>
  <c r="C6" i="2"/>
  <c r="E36" i="2"/>
  <c r="W19" i="2" l="1"/>
  <c r="W24" i="2"/>
  <c r="W11" i="2"/>
  <c r="W12" i="2"/>
  <c r="W23" i="2"/>
  <c r="W22" i="2"/>
  <c r="W26" i="2"/>
  <c r="W25" i="2"/>
  <c r="W15" i="2"/>
  <c r="W27" i="2"/>
  <c r="W17" i="2"/>
  <c r="W20" i="2"/>
  <c r="W13" i="2"/>
  <c r="W21" i="2"/>
  <c r="W16" i="2"/>
  <c r="E11" i="2" l="1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10" i="2"/>
  <c r="Q12" i="2" l="1"/>
  <c r="Q13" i="2"/>
  <c r="Q14" i="2"/>
  <c r="Q15" i="2"/>
  <c r="Q16" i="2"/>
  <c r="Q17" i="2"/>
  <c r="Q11" i="2" l="1"/>
  <c r="E40" i="2" l="1"/>
  <c r="K26" i="2" l="1"/>
  <c r="K27" i="2"/>
  <c r="K20" i="2"/>
  <c r="K16" i="2"/>
  <c r="K12" i="2"/>
  <c r="K21" i="2"/>
  <c r="K15" i="2"/>
  <c r="K14" i="2"/>
  <c r="K23" i="2"/>
  <c r="K19" i="2"/>
  <c r="K18" i="2"/>
  <c r="K13" i="2"/>
  <c r="K11" i="2"/>
  <c r="K22" i="2"/>
  <c r="K25" i="2"/>
  <c r="K24" i="2"/>
  <c r="K17" i="2"/>
  <c r="K28" i="2" l="1"/>
  <c r="I10" i="2"/>
  <c r="I4" i="2" l="1"/>
  <c r="K10" i="2"/>
  <c r="I6" i="2" l="1"/>
  <c r="I7" i="2"/>
  <c r="O23" i="2" l="1" a="1"/>
  <c r="O23" i="2" s="1"/>
  <c r="Q23" i="2" s="1"/>
  <c r="O22" i="2" a="1"/>
  <c r="O22" i="2" s="1"/>
  <c r="Q22" i="2" s="1"/>
  <c r="O21" i="2" l="1" a="1"/>
  <c r="O21" i="2" s="1"/>
  <c r="Q21" i="2" s="1"/>
  <c r="O20" i="2" l="1" a="1"/>
  <c r="O20" i="2" s="1"/>
  <c r="Q2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5-26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<sst xmlns="http://schemas.openxmlformats.org/spreadsheetml/2006/main" count="215" uniqueCount="54">
  <si>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</si>
  <si>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</si>
  <si>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</si>
  <si>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</si>
  <si>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</si>
  <si>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</si>
  <si>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</si>
  <si>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</si>
  <si>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</si>
  <si>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</si>
  <si>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</si>
  <si>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</si>
  <si>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</si>
  <si>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</si>
  <si>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</si>
  <si>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</si>
  <si>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</si>
  <si>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</si>
  <si>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</si>
  <si>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PERDIZES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</si>
  <si>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</si>
  <si>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</si>
  <si>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</si>
  <si>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</si>
  <si>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</si>
  <si>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</si>
  <si>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</si>
  <si>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</si>
  <si>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</si>
  <si>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</si>
  <si>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</si>
  <si>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</si>
  <si>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</si>
  <si>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</si>
  <si>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</si>
  <si>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</si>
  <si>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</si>
  <si>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</si>
  <si>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</si>
  <si>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</si>
  <si>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</si>
  <si>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</si>
  <si>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</si>
  <si>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</si>
  <si>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</si>
  <si>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</si>
  <si>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</si>
  <si>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</si>
  <si>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REFERENCA</t>
  </si>
  <si>
    <t>SEMANAL</t>
  </si>
  <si>
    <t>SEMANA 2</t>
  </si>
  <si>
    <t>POSITIVACAO MILHO</t>
  </si>
  <si>
    <t>SEMANA 3</t>
  </si>
  <si>
    <t>SEMANA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</si>
</sst>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1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SENSUM"/>
      <sheetName val="CONVERSOR"/>
      <sheetName val="BASE PYTHON"/>
      <sheetName val="DIN MILHO"/>
      <sheetName val="Conversor CX vs KG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</v>
          </cell>
          <cell r="K1" t="str">
            <v>POSITIVACAO MILHO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26/05/2026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47906.06</v>
          </cell>
          <cell r="H5" t="str">
            <v>CAMPINAS</v>
          </cell>
          <cell r="I5">
            <v>3832.95</v>
          </cell>
        </row>
        <row r="6">
          <cell r="E6" t="str">
            <v>CENTRO</v>
          </cell>
          <cell r="F6">
            <v>255853.86999999947</v>
          </cell>
          <cell r="H6" t="str">
            <v>CENTRO</v>
          </cell>
          <cell r="I6">
            <v>5002.9000000000005</v>
          </cell>
          <cell r="K6" t="str">
            <v>Contagem Distinta de COD_CLIENTE</v>
          </cell>
        </row>
        <row r="7">
          <cell r="E7" t="str">
            <v>ECOMMERCE</v>
          </cell>
          <cell r="F7">
            <v>939.83999999999992</v>
          </cell>
          <cell r="H7" t="str">
            <v>INDAIATUBA</v>
          </cell>
          <cell r="I7">
            <v>1301.71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611.9</v>
          </cell>
          <cell r="H8" t="str">
            <v>INTERLAGOS</v>
          </cell>
          <cell r="I8">
            <v>3879.900000000001</v>
          </cell>
          <cell r="K8" t="str">
            <v>CAMPINAS</v>
          </cell>
          <cell r="N8">
            <v>19</v>
          </cell>
        </row>
        <row r="9">
          <cell r="E9" t="str">
            <v>INDAIATUBA</v>
          </cell>
          <cell r="F9">
            <v>76120.789999999964</v>
          </cell>
          <cell r="H9" t="str">
            <v>JUNDIAI</v>
          </cell>
          <cell r="I9">
            <v>3399.1999999999994</v>
          </cell>
          <cell r="K9" t="str">
            <v>CENTRO</v>
          </cell>
          <cell r="N9">
            <v>56</v>
          </cell>
        </row>
        <row r="10">
          <cell r="E10" t="str">
            <v>INTERLAGOS</v>
          </cell>
          <cell r="F10">
            <v>188526.14999999985</v>
          </cell>
          <cell r="H10" t="str">
            <v>LESTE</v>
          </cell>
          <cell r="I10">
            <v>2045.9</v>
          </cell>
          <cell r="K10" t="str">
            <v>INDAIATUBA</v>
          </cell>
          <cell r="N10">
            <v>34</v>
          </cell>
        </row>
        <row r="11">
          <cell r="E11" t="str">
            <v>JUNDIAI</v>
          </cell>
          <cell r="F11">
            <v>68069.979999999981</v>
          </cell>
          <cell r="H11" t="str">
            <v>LESTE MOOCA</v>
          </cell>
          <cell r="I11">
            <v>7483.15</v>
          </cell>
          <cell r="K11" t="str">
            <v>INTERLAGOS</v>
          </cell>
          <cell r="N11">
            <v>39</v>
          </cell>
        </row>
        <row r="12">
          <cell r="E12" t="str">
            <v>KEY ABC</v>
          </cell>
          <cell r="F12">
            <v>246499.1399999999</v>
          </cell>
          <cell r="H12" t="str">
            <v>LESTE PENHA</v>
          </cell>
          <cell r="I12">
            <v>6050.5199999999986</v>
          </cell>
          <cell r="K12" t="str">
            <v>JUNDIAI</v>
          </cell>
          <cell r="N12">
            <v>19</v>
          </cell>
        </row>
        <row r="13">
          <cell r="E13" t="str">
            <v>KEY CASA</v>
          </cell>
          <cell r="F13">
            <v>160151.88999999972</v>
          </cell>
          <cell r="H13" t="str">
            <v>LESTE TATUAPE</v>
          </cell>
          <cell r="I13">
            <v>2781.4500000000003</v>
          </cell>
          <cell r="K13" t="str">
            <v>LESTE</v>
          </cell>
          <cell r="N13">
            <v>19</v>
          </cell>
        </row>
        <row r="14">
          <cell r="E14" t="str">
            <v>KEY INTERIOR</v>
          </cell>
          <cell r="F14">
            <v>754319.69999999972</v>
          </cell>
          <cell r="H14" t="str">
            <v>MOGI</v>
          </cell>
          <cell r="I14">
            <v>1068.5999999999999</v>
          </cell>
          <cell r="K14" t="str">
            <v>LESTE MOOCA</v>
          </cell>
          <cell r="N14">
            <v>38</v>
          </cell>
        </row>
        <row r="15">
          <cell r="E15" t="str">
            <v>KEY SJC</v>
          </cell>
          <cell r="F15">
            <v>73448.850000000035</v>
          </cell>
          <cell r="H15" t="str">
            <v>NORTE</v>
          </cell>
          <cell r="I15">
            <v>5105.25</v>
          </cell>
          <cell r="K15" t="str">
            <v>LESTE PENHA</v>
          </cell>
          <cell r="N15">
            <v>14</v>
          </cell>
        </row>
        <row r="16">
          <cell r="E16" t="str">
            <v>KEY SP</v>
          </cell>
          <cell r="F16">
            <v>401603.64999999979</v>
          </cell>
          <cell r="H16" t="str">
            <v>OSASCO</v>
          </cell>
          <cell r="I16">
            <v>10797.129999999996</v>
          </cell>
          <cell r="K16" t="str">
            <v>LESTE TATUAPE</v>
          </cell>
          <cell r="N16">
            <v>46</v>
          </cell>
        </row>
        <row r="17">
          <cell r="E17" t="str">
            <v>KEY ZL</v>
          </cell>
          <cell r="F17">
            <v>290386.04999999981</v>
          </cell>
          <cell r="H17" t="str">
            <v>PERDIZES</v>
          </cell>
          <cell r="I17">
            <v>5737.8000000000011</v>
          </cell>
          <cell r="K17" t="str">
            <v>MOGI</v>
          </cell>
          <cell r="N17">
            <v>27</v>
          </cell>
        </row>
        <row r="18">
          <cell r="E18" t="str">
            <v>LESTE</v>
          </cell>
          <cell r="F18">
            <v>89097.179999999949</v>
          </cell>
          <cell r="H18" t="str">
            <v>PIRITUBA</v>
          </cell>
          <cell r="I18">
            <v>4076.0500000000006</v>
          </cell>
          <cell r="K18" t="str">
            <v>NORTE</v>
          </cell>
          <cell r="N18">
            <v>41</v>
          </cell>
        </row>
        <row r="19">
          <cell r="E19" t="str">
            <v>LESTE MOOCA</v>
          </cell>
          <cell r="F19">
            <v>128549.60999999967</v>
          </cell>
          <cell r="H19" t="str">
            <v>SANTO ANDRE</v>
          </cell>
          <cell r="I19">
            <v>3119.05</v>
          </cell>
          <cell r="K19" t="str">
            <v>OSASCO</v>
          </cell>
          <cell r="N19">
            <v>70</v>
          </cell>
        </row>
        <row r="20">
          <cell r="E20" t="str">
            <v>LESTE PENHA</v>
          </cell>
          <cell r="F20">
            <v>100430.04000000001</v>
          </cell>
          <cell r="H20" t="str">
            <v>SBC</v>
          </cell>
          <cell r="I20">
            <v>13809.31</v>
          </cell>
          <cell r="K20" t="str">
            <v>PERDIZES</v>
          </cell>
          <cell r="N20">
            <v>19</v>
          </cell>
        </row>
        <row r="21">
          <cell r="E21" t="str">
            <v>LESTE TATUAPE</v>
          </cell>
          <cell r="F21">
            <v>114463.64999999938</v>
          </cell>
          <cell r="H21" t="str">
            <v>SJC</v>
          </cell>
          <cell r="I21">
            <v>1190.3599999999999</v>
          </cell>
          <cell r="K21" t="str">
            <v>PIRITUBA</v>
          </cell>
          <cell r="N21">
            <v>33</v>
          </cell>
        </row>
        <row r="22">
          <cell r="E22" t="str">
            <v>MOGI</v>
          </cell>
          <cell r="F22">
            <v>63465.520000000128</v>
          </cell>
          <cell r="H22" t="str">
            <v>SJC/VALE</v>
          </cell>
          <cell r="I22">
            <v>1017.3299999999999</v>
          </cell>
          <cell r="K22" t="str">
            <v>SANTO ANDRE</v>
          </cell>
          <cell r="N22">
            <v>29</v>
          </cell>
        </row>
        <row r="23">
          <cell r="E23" t="str">
            <v>NORTE</v>
          </cell>
          <cell r="F23">
            <v>189006.12999999957</v>
          </cell>
          <cell r="H23" t="str">
            <v>VENDEDOR INTERNO 1</v>
          </cell>
          <cell r="I23">
            <v>3131.67</v>
          </cell>
          <cell r="K23" t="str">
            <v>SBC</v>
          </cell>
          <cell r="N23">
            <v>41</v>
          </cell>
        </row>
        <row r="24">
          <cell r="E24" t="str">
            <v>OSASCO</v>
          </cell>
          <cell r="F24">
            <v>261561.83499999988</v>
          </cell>
          <cell r="H24" t="str">
            <v>Total Geral</v>
          </cell>
          <cell r="I24">
            <v>84830.230000000054</v>
          </cell>
          <cell r="K24" t="str">
            <v>SJC</v>
          </cell>
          <cell r="N24">
            <v>20</v>
          </cell>
        </row>
        <row r="25">
          <cell r="E25" t="str">
            <v>PERDIZES</v>
          </cell>
          <cell r="F25">
            <v>82903.510000000024</v>
          </cell>
          <cell r="K25" t="str">
            <v>SJC/VALE</v>
          </cell>
          <cell r="N25">
            <v>19</v>
          </cell>
        </row>
        <row r="26">
          <cell r="E26" t="str">
            <v>PIRACICABA</v>
          </cell>
          <cell r="F26">
            <v>102906.86000000004</v>
          </cell>
          <cell r="K26" t="str">
            <v>Total Geral</v>
          </cell>
          <cell r="N26">
            <v>583</v>
          </cell>
        </row>
        <row r="27">
          <cell r="E27" t="str">
            <v>PIRITUBA</v>
          </cell>
          <cell r="F27">
            <v>112473.96999999986</v>
          </cell>
        </row>
        <row r="28">
          <cell r="E28" t="str">
            <v>SANTO ANDRE</v>
          </cell>
          <cell r="F28">
            <v>134643.04</v>
          </cell>
        </row>
        <row r="29">
          <cell r="E29" t="str">
            <v>SBC</v>
          </cell>
          <cell r="F29">
            <v>223288.15999999983</v>
          </cell>
        </row>
        <row r="30">
          <cell r="E30" t="str">
            <v>SJC</v>
          </cell>
          <cell r="F30">
            <v>63645.500000000058</v>
          </cell>
        </row>
        <row r="31">
          <cell r="E31" t="str">
            <v>SJC/VALE</v>
          </cell>
          <cell r="F31">
            <v>37911.810000000019</v>
          </cell>
        </row>
        <row r="32">
          <cell r="E32" t="str">
            <v>VENDEDOR INTERNO 1</v>
          </cell>
          <cell r="F32">
            <v>62805.409999999989</v>
          </cell>
          <cell r="P32" t="str">
            <v>Soma de TOTAL</v>
          </cell>
        </row>
        <row r="33">
          <cell r="E33" t="str">
            <v>Total Geral</v>
          </cell>
          <cell r="F33">
            <v>4331590.0949999597</v>
          </cell>
        </row>
        <row r="34">
          <cell r="P34" t="str">
            <v>KEY ABC</v>
          </cell>
          <cell r="R34">
            <v>137264.37</v>
          </cell>
        </row>
        <row r="35">
          <cell r="P35" t="str">
            <v>KEY CASA</v>
          </cell>
          <cell r="R35">
            <v>37752.599999999984</v>
          </cell>
        </row>
        <row r="36">
          <cell r="P36" t="str">
            <v>KEY INTERIOR</v>
          </cell>
          <cell r="R36">
            <v>363074.89999999997</v>
          </cell>
        </row>
        <row r="37">
          <cell r="P37" t="str">
            <v>KEY SJC</v>
          </cell>
          <cell r="R37">
            <v>33627.799999999988</v>
          </cell>
        </row>
        <row r="38">
          <cell r="P38" t="str">
            <v>KEY SP</v>
          </cell>
          <cell r="R38">
            <v>123308.7</v>
          </cell>
        </row>
        <row r="39">
          <cell r="P39" t="str">
            <v>KEY ZL</v>
          </cell>
          <cell r="R39">
            <v>89210.209999999963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73</v>
          </cell>
        </row>
        <row r="64">
          <cell r="A64" t="str">
            <v>NORTE</v>
          </cell>
          <cell r="B64">
            <v>49</v>
          </cell>
        </row>
        <row r="65">
          <cell r="A65" t="str">
            <v>PIRITUBA</v>
          </cell>
          <cell r="B65">
            <v>47</v>
          </cell>
        </row>
        <row r="66">
          <cell r="A66" t="str">
            <v>SBC</v>
          </cell>
          <cell r="B66">
            <v>53</v>
          </cell>
        </row>
        <row r="67">
          <cell r="A67" t="str">
            <v>LESTE TATUAPE</v>
          </cell>
          <cell r="B67">
            <v>39</v>
          </cell>
        </row>
        <row r="68">
          <cell r="A68" t="str">
            <v>CENTRO</v>
          </cell>
          <cell r="B68">
            <v>72</v>
          </cell>
        </row>
        <row r="69">
          <cell r="A69" t="str">
            <v>SANTO ANDRE</v>
          </cell>
          <cell r="B69">
            <v>46</v>
          </cell>
        </row>
        <row r="70">
          <cell r="A70" t="str">
            <v>MOGI</v>
          </cell>
          <cell r="B70">
            <v>44</v>
          </cell>
        </row>
        <row r="71">
          <cell r="A71" t="str">
            <v>LESTE</v>
          </cell>
          <cell r="B71">
            <v>39</v>
          </cell>
        </row>
        <row r="72">
          <cell r="A72" t="str">
            <v>LESTE MOOCA</v>
          </cell>
          <cell r="B72">
            <v>47</v>
          </cell>
        </row>
        <row r="73">
          <cell r="A73" t="str">
            <v>INTERLAGOS</v>
          </cell>
          <cell r="B73">
            <v>58</v>
          </cell>
        </row>
        <row r="74">
          <cell r="A74" t="str">
            <v>PERDIZES</v>
          </cell>
          <cell r="B74">
            <v>32</v>
          </cell>
        </row>
        <row r="75">
          <cell r="A75" t="str">
            <v>JUNDIAI</v>
          </cell>
          <cell r="B75">
            <v>29</v>
          </cell>
        </row>
        <row r="76">
          <cell r="A76" t="str">
            <v>LESTE PENHA</v>
          </cell>
          <cell r="B76">
            <v>39</v>
          </cell>
        </row>
        <row r="77">
          <cell r="A77" t="str">
            <v>INDAIATUBA</v>
          </cell>
          <cell r="B77">
            <v>40</v>
          </cell>
        </row>
        <row r="78">
          <cell r="A78" t="str">
            <v>SJC</v>
          </cell>
          <cell r="B78">
            <v>27</v>
          </cell>
        </row>
        <row r="79">
          <cell r="A79" t="str">
            <v>SJC/VALE</v>
          </cell>
          <cell r="B79">
            <v>33</v>
          </cell>
        </row>
        <row r="80">
          <cell r="A80" t="str">
            <v>CAMPINAS</v>
          </cell>
          <cell r="B80">
            <v>33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8">
          <cell r="E88">
            <v>54000</v>
          </cell>
        </row>
        <row r="89">
          <cell r="E89">
            <v>233000</v>
          </cell>
        </row>
        <row r="90">
          <cell r="E90">
            <v>233000</v>
          </cell>
        </row>
        <row r="91">
          <cell r="E91">
            <v>146500</v>
          </cell>
        </row>
        <row r="92">
          <cell r="E92">
            <v>51000</v>
          </cell>
        </row>
      </sheetData>
      <sheetData sheetId="6"/>
      <sheetData sheetId="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0" dataDxfId="69">
  <tableColumns count="2">
    <tableColumn id="1" xr3:uid="{3308613D-E7FC-469E-B078-C5AC910E183B}" name="Coluna1" dataDxfId="68"/>
    <tableColumn id="2" xr3:uid="{C994D666-6174-475E-AE71-1F12062A5225}" name="Coluna2" headerRowDxfId="67" dataDxfId="66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588D8F-0EAF-4694-8155-49E9449C8646}" name="Tabela2" displayName="Tabela2" ref="A9:E36" totalsRowShown="0" headerRowDxfId="65" dataDxfId="64">
  <autoFilter ref="A9:E36" xr:uid="{AF588D8F-0EAF-4694-8155-49E9449C864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DE539CA3-DD4F-4562-9255-667EB2ABB37D}" name="REFERENCIA" dataDxfId="63"/>
    <tableColumn id="2" xr3:uid="{B6B5F834-D2C3-4E6B-9152-8D2305647335}" name="VENDEDOR" dataDxfId="62"/>
    <tableColumn id="3" xr3:uid="{7919932F-13DB-49D5-8C5B-D7469C8E992A}" name="META A" dataDxfId="61" dataCellStyle="Moeda">
      <calculatedColumnFormula>_xlfn.XLOOKUP(A10,[1]!Tabela4[VENDEDOR],[1]!Tabela4[META A])</calculatedColumnFormula>
    </tableColumn>
    <tableColumn id="4" xr3:uid="{6BCB028E-83E7-4C15-A040-683869678C23}" name="ATINGIDO" dataDxfId="60" dataCellStyle="Moeda">
      <calculatedColumnFormula>IFERROR(_xlfn.XLOOKUP(A10,'[1]BASE PYTHON'!$E:$E,'[1]BASE PYTHON'!$F:$F),0)</calculatedColumnFormula>
    </tableColumn>
    <tableColumn id="5" xr3:uid="{0EA33871-188E-4A83-8657-B6F207C7245D}" name="FALTA" dataDxfId="59">
      <calculatedColumnFormula>C10-D10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8:E42" totalsRowShown="0" headerRowDxfId="58" dataDxfId="57">
  <autoFilter ref="B38:E42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56"/>
    <tableColumn id="2" xr3:uid="{06063E15-5C9E-4303-B5F6-B9D0B178DB82}" name="META" dataDxfId="55" dataCellStyle="Moeda">
      <calculatedColumnFormula array="1">IFERROR(_xlfn.XLOOKUP(B39,[1]!Tabela7[[#All],[Coluna1]],[1]!Tabela7[[#All],[Coluna2]]),0)</calculatedColumnFormula>
    </tableColumn>
    <tableColumn id="3" xr3:uid="{425F53BB-8CBB-40E8-9773-1C7C39906AD7}" name="REALIZADO" dataDxfId="54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53">
      <calculatedColumnFormula>C39-D39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52" dataDxfId="51">
  <tableColumns count="2">
    <tableColumn id="1" xr3:uid="{C661D03F-A79A-4D24-86FD-3574B6E5537D}" name="Coluna1" dataDxfId="50"/>
    <tableColumn id="2" xr3:uid="{7EF7A574-C8A3-4CB7-9C98-86948FE130EB}" name="Coluna2" headerRowDxfId="49" data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F0EC2C2-A52E-4D47-97B3-678B19401BEF}" name="Tabela5" displayName="Tabela5" ref="G9:K28" totalsRowShown="0" headerRowDxfId="47" dataDxfId="46">
  <autoFilter ref="G9:K28" xr:uid="{4F0EC2C2-A52E-4D47-97B3-678B19401BE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0D4D84CB-5C40-4B8B-B729-ACB9E6533B94}" name="REFERENCIA" dataDxfId="45"/>
    <tableColumn id="2" xr3:uid="{3E3AB0E2-F62B-4424-B617-E867D719DDB5}" name="VENDEDOR" dataDxfId="44"/>
    <tableColumn id="3" xr3:uid="{9941E429-6355-4240-BED7-987A5372BF7E}" name="COMPROMISSO" dataDxfId="43" dataCellStyle="Moeda">
      <calculatedColumnFormula>_xlfn.XLOOKUP(G10,[1]!Tabela1[VENDEDOR],[1]!Tabela1[VALOR])</calculatedColumnFormula>
    </tableColumn>
    <tableColumn id="4" xr3:uid="{19E4A6B6-F14F-478B-9480-45017062F357}" name="ATINGIDO" dataDxfId="42" dataCellStyle="Moeda">
      <calculatedColumnFormula>IFERROR(_xlfn.XLOOKUP(G10,'[1]BASE PYTHON'!$H:$H,'[1]BASE PYTHON'!$I:$I),0)</calculatedColumnFormula>
    </tableColumn>
    <tableColumn id="5" xr3:uid="{73981291-35E4-400C-A341-764C2B1C460A}" name="FALTA" dataDxfId="41">
      <calculatedColumnFormula>I10-J10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4" totalsRowShown="0" headerRowDxfId="40" dataDxfId="39">
  <autoFilter ref="H30:K34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38"/>
    <tableColumn id="2" xr3:uid="{67CE9FE2-AA11-4BD4-9F34-EDC9123EA89F}" name="META" dataDxfId="37" dataCellStyle="Moeda">
      <calculatedColumnFormula array="1">IFERROR(_xlfn.XLOOKUP(H31,[1]!Tabela9[[#All],[Coluna1]],[1]!Tabela9[[#All],[Coluna2]]),0)</calculatedColumnFormula>
    </tableColumn>
    <tableColumn id="3" xr3:uid="{14D3AA11-9DFC-420F-8F5A-5002E14D4AAA}" name="REALIZADO" dataDxfId="36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35">
      <calculatedColumnFormula>I31-J31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34" dataDxfId="33">
  <tableColumns count="2">
    <tableColumn id="1" xr3:uid="{0139F26F-4C9F-4E96-9F64-C5C5B271DCA9}" name="Coluna1" dataDxfId="32"/>
    <tableColumn id="2" xr3:uid="{1DA3E17F-38EB-4042-B2F0-3DFB7629A3F5}" name="Coluna2" headerRowDxfId="31" dataDxfId="30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29" dataDxfId="28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27"/>
    <tableColumn id="2" xr3:uid="{0B55D821-52F8-4CE2-9F16-C5BCDBCE53AC}" name="VENDEDOR" dataDxfId="26"/>
    <tableColumn id="3" xr3:uid="{B5D24BF0-392E-420D-BB1D-3FED1D3383B5}" name="COMPROMISSO" dataDxfId="25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24" dataCellStyle="Moeda">
      <calculatedColumnFormula>IFERROR(_xlfn.XLOOKUP(Tabela8[[#This Row],[REFERENCIA]],'[1]BASE PYTHON'!$P$34:$P$39,'[1]BASE PYTHON'!$R$34:$R$39),0)</calculatedColumnFormula>
    </tableColumn>
    <tableColumn id="5" xr3:uid="{CA195FA3-3822-41FA-8A93-2D86914C048E}" name="FALTA" dataDxfId="23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19:Q23" totalsRowShown="0" headerRowDxfId="22" dataDxfId="21">
  <autoFilter ref="N19:Q23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20"/>
    <tableColumn id="2" xr3:uid="{7B11DBA8-6FBD-4B67-BDA9-6624DF753EFD}" name="META" dataDxfId="19" dataCellStyle="Moeda">
      <calculatedColumnFormula array="1">IFERROR(_xlfn.XLOOKUP(N20,[1]!Tabela10[[#All],[Coluna1]],[1]!Tabela10[[#All],[Coluna2]]),0)</calculatedColumnFormula>
    </tableColumn>
    <tableColumn id="3" xr3:uid="{0B727490-D536-4FC5-B857-CD92C459F1FB}" name="REALIZADO" dataDxfId="18">
      <calculatedColumnFormula>IFERROR(GETPIVOTDATA("[Measures].[Soma de TOTAL 3]",'[1]BASE PYTHON'!$P$32,"[Intervalo 2].[SEMANA]","[Intervalo 2].[SEMANA].&amp;[2]"),0)</calculatedColumnFormula>
    </tableColumn>
    <tableColumn id="4" xr3:uid="{84544AF4-5466-4CAC-A349-7B2C804BDA05}" name="FALTA" dataDxfId="17">
      <calculatedColumnFormula>O20-P20</calculatedColumnFormula>
    </tableColumn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16" dataDxfId="15">
  <tableColumns count="2">
    <tableColumn id="1" xr3:uid="{870B59CA-1EA4-4CA9-BDCF-4A342A313131}" name="Coluna1" dataDxfId="14"/>
    <tableColumn id="2" xr3:uid="{6FE31DF2-1DB4-4D4B-8783-48EA07B43B53}" name="Coluna2" dataDxfId="13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D294CDB-54E7-40E9-918D-B86BC1FA5B4D}" name="Tabela11" displayName="Tabela11" ref="S9:W27" totalsRowShown="0" headerRowDxfId="12" dataDxfId="11">
  <autoFilter ref="S9:W27" xr:uid="{8D294CDB-54E7-40E9-918D-B86BC1FA5B4D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S10:W27">
    <sortCondition ref="T10:T27"/>
  </sortState>
  <tableColumns count="5">
    <tableColumn id="1" xr3:uid="{6C671431-FBD2-41CB-81F2-E1D2D5C3888E}" name="REFERENCA" dataDxfId="10"/>
    <tableColumn id="2" xr3:uid="{3321EAFD-68B3-45FD-82F1-B5E31F19D7D3}" name="VENDEDOR" dataDxfId="9"/>
    <tableColumn id="3" xr3:uid="{AD30FAD6-BD3A-4C4F-AF4F-02A7C67B6AB2}" name="META A" dataDxfId="8">
      <calculatedColumnFormula>_xlfn.XLOOKUP(S10,'[1]BASE PYTHON'!$A$63:$A$80,'[1]BASE PYTHON'!$B$63:$B$80)</calculatedColumnFormula>
    </tableColumn>
    <tableColumn id="4" xr3:uid="{35971163-4E8E-4FB4-9A55-B9150EF30EA3}" name="ATINGIDO" dataDxfId="7">
      <calculatedColumnFormula>IFERROR(_xlfn.XLOOKUP(S10,'[1]BASE PYTHON'!$K:$K,'[1]BASE PYTHON'!$N:$N),0)</calculatedColumnFormula>
    </tableColumn>
    <tableColumn id="5" xr3:uid="{900877A2-EB90-4B84-84FB-93F04FC17C31}" name="FALTA" dataDxfId="6">
      <calculatedColumnFormula>U10-V10</calculatedColumnFormula>
    </tableColumn>
  </tableColumns>
  <tableStyleInfo name="TableStyleMedium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3" totalsRowShown="0" headerRowDxfId="5" dataDxfId="4">
  <autoFilter ref="T29:W33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"/>
    <tableColumn id="2" xr3:uid="{B849FCBC-ED0F-47D9-B4E7-149FFE3500D9}" name="META" dataDxfId="2" dataCellStyle="Moeda">
      <calculatedColumnFormula array="1">IFERROR(_xlfn.XLOOKUP(T30,[1]!Tabela11[[#All],[Coluna1]],[1]!Tabela11[[#All],[Coluna2]]),0)</calculatedColumnFormula>
    </tableColumn>
    <tableColumn id="3" xr3:uid="{A81AB4FC-EF49-4A93-8229-1B0CBFC88744}" name="REALIZADO" dataDxfId="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0">
      <calculatedColumnFormula>U30-V30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42"/>
  <sheetViews>
    <sheetView showGridLines="0" tabSelected="1" zoomScale="85" zoomScaleNormal="85" workbookViewId="0">
      <selection activeCell="F6" sqref="F6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18.42578125" style="2" bestFit="1" customWidth="1"/>
    <col min="4" max="4" width="18.42578125" style="1" bestFit="1" customWidth="1"/>
    <col min="5" max="5" width="18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2.7109375" bestFit="1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29.7109375" bestFit="1" customWidth="1"/>
    <col min="21" max="21" width="12.28515625" bestFit="1" customWidth="1"/>
    <col min="22" max="22" width="17.28515625" bestFit="1" customWidth="1"/>
    <col min="23" max="23" width="10.5703125" bestFit="1" customWidth="1"/>
  </cols>
  <sheetData>
    <row r="1" spans="1:23" ht="21" x14ac:dyDescent="0.35">
      <c r="A1" s="4"/>
      <c r="B1" s="13" t="s">
        <v>35</v>
      </c>
      <c r="C1" s="9"/>
      <c r="D1" s="9"/>
      <c r="E1" s="14"/>
      <c r="F1" s="14"/>
      <c r="G1" s="14"/>
      <c r="H1" s="10" t="s">
        <v>36</v>
      </c>
      <c r="I1" s="14"/>
      <c r="J1" s="14"/>
      <c r="K1" s="14"/>
      <c r="L1" s="14"/>
      <c r="M1" s="14"/>
      <c r="N1" s="11" t="s">
        <v>37</v>
      </c>
      <c r="O1" s="14"/>
      <c r="P1" s="14"/>
      <c r="Q1" s="14"/>
      <c r="R1" s="14"/>
      <c r="S1" s="14"/>
      <c r="T1" s="12" t="s">
        <v>51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39</v>
      </c>
      <c r="C4" s="2">
        <f>SUM(C10:C36)</f>
        <v>5181500</v>
      </c>
      <c r="D4" s="2"/>
      <c r="E4" s="4"/>
      <c r="F4" s="4"/>
      <c r="G4" s="4"/>
      <c r="H4" s="4" t="s">
        <v>0</v>
      </c>
      <c r="I4" s="7">
        <f>SUM(I10:I28)</f>
        <v>200030</v>
      </c>
      <c r="J4" s="4"/>
      <c r="K4" s="4"/>
      <c r="L4" s="4"/>
      <c r="M4" s="4"/>
      <c r="N4" s="4" t="s">
        <v>38</v>
      </c>
      <c r="O4" s="7">
        <f>SUM(O11:O17)</f>
        <v>717500</v>
      </c>
      <c r="P4" s="4"/>
      <c r="Q4" s="4"/>
      <c r="R4" s="4"/>
      <c r="S4" s="4"/>
      <c r="T4" s="4" t="s">
        <v>39</v>
      </c>
      <c r="U4" s="4">
        <f>SUM(U10:U27)</f>
        <v>800</v>
      </c>
      <c r="V4" s="4"/>
      <c r="W4" s="4"/>
    </row>
    <row r="5" spans="1:23" x14ac:dyDescent="0.25">
      <c r="A5" s="4"/>
      <c r="B5" s="4" t="s">
        <v>1</v>
      </c>
      <c r="C5" s="2">
        <f>SUM(D10:D36)</f>
        <v>4330978.1949999966</v>
      </c>
      <c r="D5" s="2"/>
      <c r="E5" s="4"/>
      <c r="F5" s="4"/>
      <c r="G5" s="4"/>
      <c r="H5" s="4" t="s">
        <v>1</v>
      </c>
      <c r="I5" s="7">
        <f>SUM(J10:J28)</f>
        <v>84830.23000000001</v>
      </c>
      <c r="J5" s="4"/>
      <c r="K5" s="4"/>
      <c r="L5" s="4"/>
      <c r="M5" s="4"/>
      <c r="N5" s="4" t="s">
        <v>1</v>
      </c>
      <c r="O5" s="7">
        <f>SUM(P11:P17)</f>
        <v>784238.58</v>
      </c>
      <c r="P5" s="4"/>
      <c r="Q5" s="4"/>
      <c r="R5" s="4"/>
      <c r="S5" s="4"/>
      <c r="T5" s="4" t="s">
        <v>1</v>
      </c>
      <c r="U5" s="4">
        <f>SUM(Tabela11[ATINGIDO])</f>
        <v>583</v>
      </c>
      <c r="V5" s="4"/>
      <c r="W5" s="4"/>
    </row>
    <row r="6" spans="1:23" x14ac:dyDescent="0.25">
      <c r="A6" s="4"/>
      <c r="B6" s="4" t="s">
        <v>2</v>
      </c>
      <c r="C6" s="2">
        <f>C4-C5</f>
        <v>850521.80500000343</v>
      </c>
      <c r="D6" s="2"/>
      <c r="E6" s="4"/>
      <c r="F6" s="4"/>
      <c r="G6" s="4"/>
      <c r="H6" s="4" t="s">
        <v>2</v>
      </c>
      <c r="I6" s="7">
        <f>I4-I5</f>
        <v>115199.76999999999</v>
      </c>
      <c r="J6" s="4"/>
      <c r="K6" s="4"/>
      <c r="L6" s="4"/>
      <c r="M6" s="4"/>
      <c r="N6" s="4" t="s">
        <v>2</v>
      </c>
      <c r="O6" s="7">
        <f>O4-O5</f>
        <v>-66738.579999999958</v>
      </c>
      <c r="P6" s="4"/>
      <c r="Q6" s="4"/>
      <c r="R6" s="4"/>
      <c r="S6" s="4"/>
      <c r="T6" s="4" t="s">
        <v>2</v>
      </c>
      <c r="U6" s="4">
        <f>U4-U5</f>
        <v>217</v>
      </c>
      <c r="V6" s="4"/>
      <c r="W6" s="4"/>
    </row>
    <row r="7" spans="1:23" x14ac:dyDescent="0.25">
      <c r="A7" s="4"/>
      <c r="B7" s="4" t="s">
        <v>3</v>
      </c>
      <c r="C7" s="3">
        <f>C5/C4</f>
        <v>0.83585413393804819</v>
      </c>
      <c r="D7" s="2"/>
      <c r="E7" s="4"/>
      <c r="F7" s="4"/>
      <c r="G7" s="4"/>
      <c r="H7" s="4" t="s">
        <v>3</v>
      </c>
      <c r="I7" s="3">
        <f>I5/I4</f>
        <v>0.42408753686946965</v>
      </c>
      <c r="J7" s="4"/>
      <c r="K7" s="4"/>
      <c r="L7" s="4"/>
      <c r="M7" s="4"/>
      <c r="N7" s="4" t="s">
        <v>3</v>
      </c>
      <c r="O7" s="3">
        <f>O5/O4</f>
        <v>1.0930154425087106</v>
      </c>
      <c r="P7" s="4"/>
      <c r="Q7" s="4"/>
      <c r="R7" s="4"/>
      <c r="S7" s="4"/>
      <c r="T7" s="4" t="s">
        <v>3</v>
      </c>
      <c r="U7" s="3">
        <f>U5/U4</f>
        <v>0.72875000000000001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4" t="s">
        <v>47</v>
      </c>
      <c r="B9" s="4" t="s">
        <v>5</v>
      </c>
      <c r="C9" s="2" t="s">
        <v>34</v>
      </c>
      <c r="D9" s="2" t="s">
        <v>1</v>
      </c>
      <c r="E9" s="4" t="s">
        <v>2</v>
      </c>
      <c r="F9" s="4"/>
      <c r="G9" s="4" t="s">
        <v>47</v>
      </c>
      <c r="H9" s="4" t="s">
        <v>5</v>
      </c>
      <c r="I9" s="4" t="s">
        <v>6</v>
      </c>
      <c r="J9" s="4" t="s">
        <v>1</v>
      </c>
      <c r="K9" s="4" t="s">
        <v>2</v>
      </c>
      <c r="L9" s="4"/>
      <c r="M9" s="4"/>
      <c r="N9" s="4"/>
      <c r="O9" s="8" t="s">
        <v>53</v>
      </c>
      <c r="P9" s="4"/>
      <c r="Q9" s="4"/>
      <c r="R9" s="4"/>
      <c r="S9" s="4" t="s">
        <v>48</v>
      </c>
      <c r="T9" s="4" t="s">
        <v>5</v>
      </c>
      <c r="U9" s="4" t="s">
        <v>34</v>
      </c>
      <c r="V9" s="4" t="s">
        <v>1</v>
      </c>
      <c r="W9" s="4" t="s">
        <v>2</v>
      </c>
    </row>
    <row r="10" spans="1:23" x14ac:dyDescent="0.25">
      <c r="A10" s="4" t="s">
        <v>7</v>
      </c>
      <c r="B10" s="4" t="s">
        <v>7</v>
      </c>
      <c r="C10" s="2">
        <f>_xlfn.XLOOKUP(A10,[1]!Tabela4[VENDEDOR],[1]!Tabela4[META A])</f>
        <v>64500</v>
      </c>
      <c r="D10" s="2">
        <f>IFERROR(_xlfn.XLOOKUP(A10,'[1]BASE PYTHON'!$E:$E,'[1]BASE PYTHON'!$F:$F),0)</f>
        <v>47906.06</v>
      </c>
      <c r="E10" s="7">
        <f>C10-D10</f>
        <v>16593.940000000002</v>
      </c>
      <c r="F10" s="4"/>
      <c r="G10" s="4" t="s">
        <v>18</v>
      </c>
      <c r="H10" s="4" t="s">
        <v>18</v>
      </c>
      <c r="I10" s="2">
        <f>_xlfn.XLOOKUP(G10,[1]!Tabela1[VENDEDOR],[1]!Tabela1[VALOR])</f>
        <v>21000</v>
      </c>
      <c r="J10" s="2">
        <f>IFERROR(_xlfn.XLOOKUP(G10,'[1]BASE PYTHON'!$H:$H,'[1]BASE PYTHON'!$I:$I),0)</f>
        <v>10797.129999999996</v>
      </c>
      <c r="K10" s="7">
        <f>I10-J10</f>
        <v>10202.870000000004</v>
      </c>
      <c r="L10" s="4"/>
      <c r="M10" s="4" t="s">
        <v>47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4" t="s">
        <v>7</v>
      </c>
      <c r="T10" s="4" t="s">
        <v>7</v>
      </c>
      <c r="U10" s="4">
        <f>_xlfn.XLOOKUP(S10,'[1]BASE PYTHON'!$A$63:$A$80,'[1]BASE PYTHON'!$B$63:$B$80)</f>
        <v>33</v>
      </c>
      <c r="V10" s="4">
        <f>IFERROR(_xlfn.XLOOKUP(S10,'[1]BASE PYTHON'!$K:$K,'[1]BASE PYTHON'!$N:$N),0)</f>
        <v>19</v>
      </c>
      <c r="W10" s="4">
        <f>U10-V10</f>
        <v>14</v>
      </c>
    </row>
    <row r="11" spans="1:23" x14ac:dyDescent="0.25">
      <c r="A11" s="4" t="s">
        <v>8</v>
      </c>
      <c r="B11" s="4" t="s">
        <v>8</v>
      </c>
      <c r="C11" s="2">
        <f>_xlfn.XLOOKUP(A11,[1]!Tabela4[VENDEDOR],[1]!Tabela4[META A])</f>
        <v>315000</v>
      </c>
      <c r="D11" s="2">
        <f>IFERROR(_xlfn.XLOOKUP(A11,'[1]BASE PYTHON'!$E:$E,'[1]BASE PYTHON'!$F:$F),0)</f>
        <v>255853.86999999947</v>
      </c>
      <c r="E11" s="7">
        <f t="shared" ref="E11:E36" si="0">C11-D11</f>
        <v>59146.130000000529</v>
      </c>
      <c r="F11" s="4"/>
      <c r="G11" s="4" t="s">
        <v>17</v>
      </c>
      <c r="H11" s="4" t="s">
        <v>17</v>
      </c>
      <c r="I11" s="2">
        <f>_xlfn.XLOOKUP(G11,[1]!Tabela1[VENDEDOR],[1]!Tabela1[VALOR])</f>
        <v>14000</v>
      </c>
      <c r="J11" s="2">
        <f>IFERROR(_xlfn.XLOOKUP(G11,'[1]BASE PYTHON'!$H:$H,'[1]BASE PYTHON'!$I:$I),0)</f>
        <v>5105.25</v>
      </c>
      <c r="K11" s="7">
        <f t="shared" ref="K11:K28" si="1">I11-J11</f>
        <v>8894.75</v>
      </c>
      <c r="L11" s="4"/>
      <c r="M11" s="4" t="s">
        <v>27</v>
      </c>
      <c r="N11" s="4" t="s">
        <v>27</v>
      </c>
      <c r="O11" s="2" cm="1">
        <f t="array" ref="O11">IFERROR(_xlfn.XLOOKUP(M11,[1]!Tabela3[[#All],[VENDEDOR]],INDEX([1]!Tabela3[#All],0,MATCH($O$9,[1]!Tabela3[#Headers],0))),0)</f>
        <v>0</v>
      </c>
      <c r="P11" s="2">
        <f>IFERROR(_xlfn.XLOOKUP(Tabela8[[#This Row],[REFERENCIA]],'[1]BASE PYTHON'!$P$34:$P$39,'[1]BASE PYTHON'!$R$34:$R$39),0)</f>
        <v>137264.37</v>
      </c>
      <c r="Q11" s="2">
        <f t="shared" ref="Q11:Q17" si="2">O11-P11</f>
        <v>-137264.37</v>
      </c>
      <c r="R11" s="2"/>
      <c r="S11" s="4" t="s">
        <v>8</v>
      </c>
      <c r="T11" s="4" t="s">
        <v>8</v>
      </c>
      <c r="U11" s="4">
        <f>_xlfn.XLOOKUP(S11,'[1]BASE PYTHON'!$A$63:$A$80,'[1]BASE PYTHON'!$B$63:$B$80)</f>
        <v>72</v>
      </c>
      <c r="V11" s="4">
        <f>IFERROR(_xlfn.XLOOKUP(S11,'[1]BASE PYTHON'!$K:$K,'[1]BASE PYTHON'!$N:$N),0)</f>
        <v>56</v>
      </c>
      <c r="W11" s="4">
        <f t="shared" ref="W11:W27" si="3">U11-V11</f>
        <v>16</v>
      </c>
    </row>
    <row r="12" spans="1:23" x14ac:dyDescent="0.25">
      <c r="A12" s="4" t="s">
        <v>40</v>
      </c>
      <c r="B12" s="4" t="s">
        <v>40</v>
      </c>
      <c r="C12" s="2">
        <f>_xlfn.XLOOKUP(A12,[1]!Tabela4[VENDEDOR],[1]!Tabela4[META A])</f>
        <v>1000</v>
      </c>
      <c r="D12" s="2">
        <f>IFERROR(_xlfn.XLOOKUP(A12,'[1]BASE PYTHON'!$E:$E,'[1]BASE PYTHON'!$F:$F),0)</f>
        <v>939.83999999999992</v>
      </c>
      <c r="E12" s="7">
        <f t="shared" si="0"/>
        <v>60.160000000000082</v>
      </c>
      <c r="F12" s="4"/>
      <c r="G12" s="4" t="s">
        <v>20</v>
      </c>
      <c r="H12" s="4" t="s">
        <v>20</v>
      </c>
      <c r="I12" s="2">
        <f>_xlfn.XLOOKUP(G12,[1]!Tabela1[VENDEDOR],[1]!Tabela1[VALOR])</f>
        <v>14220</v>
      </c>
      <c r="J12" s="2">
        <f>IFERROR(_xlfn.XLOOKUP(G12,'[1]BASE PYTHON'!$H:$H,'[1]BASE PYTHON'!$I:$I),0)</f>
        <v>4076.0500000000006</v>
      </c>
      <c r="K12" s="7">
        <f t="shared" si="1"/>
        <v>10143.949999999999</v>
      </c>
      <c r="L12" s="4"/>
      <c r="M12" s="4" t="s">
        <v>41</v>
      </c>
      <c r="N12" s="4" t="s">
        <v>28</v>
      </c>
      <c r="O12" s="2" cm="1">
        <f t="array" ref="O12">IFERROR(_xlfn.XLOOKUP(M12,[1]!Tabela3[[#All],[VENDEDOR]],INDEX([1]!Tabela3[#All],0,MATCH($O$9,[1]!Tabela3[#Headers],0))),0)</f>
        <v>54000</v>
      </c>
      <c r="P12" s="2">
        <f>IFERROR(_xlfn.XLOOKUP(Tabela8[[#This Row],[REFERENCIA]],'[1]BASE PYTHON'!$P$34:$P$39,'[1]BASE PYTHON'!$R$34:$R$39),0)</f>
        <v>0</v>
      </c>
      <c r="Q12" s="2">
        <f t="shared" si="2"/>
        <v>54000</v>
      </c>
      <c r="R12" s="2"/>
      <c r="S12" s="4" t="s">
        <v>9</v>
      </c>
      <c r="T12" s="4" t="s">
        <v>9</v>
      </c>
      <c r="U12" s="4">
        <f>_xlfn.XLOOKUP(S12,'[1]BASE PYTHON'!$A$63:$A$80,'[1]BASE PYTHON'!$B$63:$B$80)</f>
        <v>40</v>
      </c>
      <c r="V12" s="4">
        <f>IFERROR(_xlfn.XLOOKUP(S12,'[1]BASE PYTHON'!$K:$K,'[1]BASE PYTHON'!$N:$N),0)</f>
        <v>34</v>
      </c>
      <c r="W12" s="4">
        <f t="shared" si="3"/>
        <v>6</v>
      </c>
    </row>
    <row r="13" spans="1:23" x14ac:dyDescent="0.25">
      <c r="A13" s="4" t="s">
        <v>9</v>
      </c>
      <c r="B13" s="4" t="s">
        <v>9</v>
      </c>
      <c r="C13" s="2">
        <f>_xlfn.XLOOKUP(A13,[1]!Tabela4[VENDEDOR],[1]!Tabela4[META A])</f>
        <v>80000</v>
      </c>
      <c r="D13" s="2">
        <f>IFERROR(_xlfn.XLOOKUP(A13,'[1]BASE PYTHON'!$E:$E,'[1]BASE PYTHON'!$F:$F),0)</f>
        <v>76120.789999999964</v>
      </c>
      <c r="E13" s="7">
        <f t="shared" si="0"/>
        <v>3879.2100000000355</v>
      </c>
      <c r="F13" s="4"/>
      <c r="G13" s="4" t="s">
        <v>22</v>
      </c>
      <c r="H13" s="4" t="s">
        <v>22</v>
      </c>
      <c r="I13" s="2">
        <f>_xlfn.XLOOKUP(G13,[1]!Tabela1[VENDEDOR],[1]!Tabela1[VALOR])</f>
        <v>19000</v>
      </c>
      <c r="J13" s="2">
        <f>IFERROR(_xlfn.XLOOKUP(G13,'[1]BASE PYTHON'!$H:$H,'[1]BASE PYTHON'!$I:$I),0)</f>
        <v>13809.31</v>
      </c>
      <c r="K13" s="7">
        <f t="shared" si="1"/>
        <v>5190.6900000000005</v>
      </c>
      <c r="L13" s="4"/>
      <c r="M13" s="4" t="s">
        <v>29</v>
      </c>
      <c r="N13" s="4" t="s">
        <v>29</v>
      </c>
      <c r="O13" s="2" cm="1">
        <f t="array" ref="O13">IFERROR(_xlfn.XLOOKUP(M13,[1]!Tabela3[[#All],[VENDEDOR]],INDEX([1]!Tabela3[#All],0,MATCH($O$9,[1]!Tabela3[#Headers],0))),0)</f>
        <v>233000</v>
      </c>
      <c r="P13" s="2">
        <f>IFERROR(_xlfn.XLOOKUP(Tabela8[[#This Row],[REFERENCIA]],'[1]BASE PYTHON'!$P$34:$P$39,'[1]BASE PYTHON'!$R$34:$R$39),0)</f>
        <v>89210.209999999963</v>
      </c>
      <c r="Q13" s="2">
        <f t="shared" si="2"/>
        <v>143789.79000000004</v>
      </c>
      <c r="R13" s="2"/>
      <c r="S13" s="4" t="s">
        <v>10</v>
      </c>
      <c r="T13" s="4" t="s">
        <v>10</v>
      </c>
      <c r="U13" s="4">
        <f>_xlfn.XLOOKUP(S13,'[1]BASE PYTHON'!$A$63:$A$80,'[1]BASE PYTHON'!$B$63:$B$80)</f>
        <v>58</v>
      </c>
      <c r="V13" s="4">
        <f>IFERROR(_xlfn.XLOOKUP(S13,'[1]BASE PYTHON'!$K:$K,'[1]BASE PYTHON'!$N:$N),0)</f>
        <v>39</v>
      </c>
      <c r="W13" s="4">
        <f t="shared" si="3"/>
        <v>19</v>
      </c>
    </row>
    <row r="14" spans="1:23" x14ac:dyDescent="0.25">
      <c r="A14" s="4" t="s">
        <v>10</v>
      </c>
      <c r="B14" s="4" t="s">
        <v>10</v>
      </c>
      <c r="C14" s="2">
        <f>_xlfn.XLOOKUP(A14,[1]!Tabela4[VENDEDOR],[1]!Tabela4[META A])</f>
        <v>215000</v>
      </c>
      <c r="D14" s="2">
        <f>IFERROR(_xlfn.XLOOKUP(A14,'[1]BASE PYTHON'!$E:$E,'[1]BASE PYTHON'!$F:$F),0)</f>
        <v>188526.14999999985</v>
      </c>
      <c r="E14" s="7">
        <f t="shared" si="0"/>
        <v>26473.850000000151</v>
      </c>
      <c r="F14" s="4"/>
      <c r="G14" s="4" t="s">
        <v>15</v>
      </c>
      <c r="H14" s="4" t="s">
        <v>44</v>
      </c>
      <c r="I14" s="2">
        <f>_xlfn.XLOOKUP(G14,[1]!Tabela1[VENDEDOR],[1]!Tabela1[VALOR])</f>
        <v>8250</v>
      </c>
      <c r="J14" s="2">
        <f>IFERROR(_xlfn.XLOOKUP(G14,'[1]BASE PYTHON'!$H:$H,'[1]BASE PYTHON'!$I:$I),0)</f>
        <v>2781.4500000000003</v>
      </c>
      <c r="K14" s="7">
        <f t="shared" si="1"/>
        <v>5468.5499999999993</v>
      </c>
      <c r="L14" s="4"/>
      <c r="M14" s="4" t="s">
        <v>30</v>
      </c>
      <c r="N14" s="4" t="s">
        <v>30</v>
      </c>
      <c r="O14" s="2" cm="1">
        <f t="array" ref="O14">IFERROR(_xlfn.XLOOKUP(M14,[1]!Tabela3[[#All],[VENDEDOR]],INDEX([1]!Tabela3[#All],0,MATCH($O$9,[1]!Tabela3[#Headers],0))),0)</f>
        <v>233000</v>
      </c>
      <c r="P14" s="2">
        <f>IFERROR(_xlfn.XLOOKUP(Tabela8[[#This Row],[REFERENCIA]],'[1]BASE PYTHON'!$P$34:$P$39,'[1]BASE PYTHON'!$R$34:$R$39),0)</f>
        <v>363074.89999999997</v>
      </c>
      <c r="Q14" s="2">
        <f t="shared" si="2"/>
        <v>-130074.89999999997</v>
      </c>
      <c r="R14" s="2"/>
      <c r="S14" s="4" t="s">
        <v>11</v>
      </c>
      <c r="T14" s="4" t="s">
        <v>11</v>
      </c>
      <c r="U14" s="4">
        <f>_xlfn.XLOOKUP(S14,'[1]BASE PYTHON'!$A$63:$A$80,'[1]BASE PYTHON'!$B$63:$B$80)</f>
        <v>29</v>
      </c>
      <c r="V14" s="4">
        <f>IFERROR(_xlfn.XLOOKUP(S14,'[1]BASE PYTHON'!$K:$K,'[1]BASE PYTHON'!$N:$N),0)</f>
        <v>19</v>
      </c>
      <c r="W14" s="4">
        <f>U14-V14</f>
        <v>10</v>
      </c>
    </row>
    <row r="15" spans="1:23" x14ac:dyDescent="0.25">
      <c r="A15" s="4" t="s">
        <v>11</v>
      </c>
      <c r="B15" s="4" t="s">
        <v>11</v>
      </c>
      <c r="C15" s="2">
        <f>_xlfn.XLOOKUP(A15,[1]!Tabela4[VENDEDOR],[1]!Tabela4[META A])</f>
        <v>68000</v>
      </c>
      <c r="D15" s="2">
        <f>IFERROR(_xlfn.XLOOKUP(A15,'[1]BASE PYTHON'!$E:$E,'[1]BASE PYTHON'!$F:$F),0)</f>
        <v>68069.979999999981</v>
      </c>
      <c r="E15" s="7">
        <f t="shared" si="0"/>
        <v>-69.979999999981374</v>
      </c>
      <c r="F15" s="4"/>
      <c r="G15" s="4" t="s">
        <v>8</v>
      </c>
      <c r="H15" s="4" t="s">
        <v>8</v>
      </c>
      <c r="I15" s="2">
        <f>_xlfn.XLOOKUP(G15,[1]!Tabela1[VENDEDOR],[1]!Tabela1[VALOR])</f>
        <v>25330</v>
      </c>
      <c r="J15" s="2">
        <f>IFERROR(_xlfn.XLOOKUP(G15,'[1]BASE PYTHON'!$H:$H,'[1]BASE PYTHON'!$I:$I),0)</f>
        <v>5002.9000000000005</v>
      </c>
      <c r="K15" s="7">
        <f t="shared" si="1"/>
        <v>20327.099999999999</v>
      </c>
      <c r="L15" s="4"/>
      <c r="M15" s="4" t="s">
        <v>31</v>
      </c>
      <c r="N15" s="4" t="s">
        <v>31</v>
      </c>
      <c r="O15" s="2" cm="1">
        <f t="array" ref="O15">IFERROR(_xlfn.XLOOKUP(M15,[1]!Tabela3[[#All],[VENDEDOR]],INDEX([1]!Tabela3[#All],0,MATCH($O$9,[1]!Tabela3[#Headers],0))),0)</f>
        <v>146500</v>
      </c>
      <c r="P15" s="2">
        <f>IFERROR(_xlfn.XLOOKUP(Tabela8[[#This Row],[REFERENCIA]],'[1]BASE PYTHON'!$P$34:$P$39,'[1]BASE PYTHON'!$R$34:$R$39),0)</f>
        <v>123308.7</v>
      </c>
      <c r="Q15" s="2">
        <f t="shared" si="2"/>
        <v>23191.300000000003</v>
      </c>
      <c r="R15" s="2"/>
      <c r="S15" s="4" t="s">
        <v>12</v>
      </c>
      <c r="T15" s="4" t="s">
        <v>12</v>
      </c>
      <c r="U15" s="4">
        <f>_xlfn.XLOOKUP(S15,'[1]BASE PYTHON'!$A$63:$A$80,'[1]BASE PYTHON'!$B$63:$B$80)</f>
        <v>39</v>
      </c>
      <c r="V15" s="4">
        <f>IFERROR(_xlfn.XLOOKUP(S15,'[1]BASE PYTHON'!$K:$K,'[1]BASE PYTHON'!$N:$N),0)</f>
        <v>19</v>
      </c>
      <c r="W15" s="4">
        <f t="shared" si="3"/>
        <v>20</v>
      </c>
    </row>
    <row r="16" spans="1:23" x14ac:dyDescent="0.25">
      <c r="A16" s="4" t="s">
        <v>27</v>
      </c>
      <c r="B16" s="4" t="s">
        <v>27</v>
      </c>
      <c r="C16" s="2">
        <f>_xlfn.XLOOKUP(A16,[1]!Tabela4[VENDEDOR],[1]!Tabela4[META A])</f>
        <v>260000</v>
      </c>
      <c r="D16" s="2">
        <f>IFERROR(_xlfn.XLOOKUP(A16,'[1]BASE PYTHON'!$E:$E,'[1]BASE PYTHON'!$F:$F),0)</f>
        <v>246499.1399999999</v>
      </c>
      <c r="E16" s="7">
        <f t="shared" si="0"/>
        <v>13500.860000000102</v>
      </c>
      <c r="F16" s="4"/>
      <c r="G16" s="4" t="s">
        <v>21</v>
      </c>
      <c r="H16" s="4" t="s">
        <v>21</v>
      </c>
      <c r="I16" s="2">
        <f>_xlfn.XLOOKUP(G16,[1]!Tabela1[VENDEDOR],[1]!Tabela1[VALOR])</f>
        <v>9950</v>
      </c>
      <c r="J16" s="2">
        <f>IFERROR(_xlfn.XLOOKUP(G16,'[1]BASE PYTHON'!$H:$H,'[1]BASE PYTHON'!$I:$I),0)</f>
        <v>3119.05</v>
      </c>
      <c r="K16" s="7">
        <f t="shared" si="1"/>
        <v>6830.95</v>
      </c>
      <c r="L16" s="4"/>
      <c r="M16" s="4" t="s">
        <v>32</v>
      </c>
      <c r="N16" s="4" t="s">
        <v>32</v>
      </c>
      <c r="O16" s="2" cm="1">
        <f t="array" ref="O16">IFERROR(_xlfn.XLOOKUP(M16,[1]!Tabela3[[#All],[VENDEDOR]],INDEX([1]!Tabela3[#All],0,MATCH($O$9,[1]!Tabela3[#Headers],0))),0)</f>
        <v>51000</v>
      </c>
      <c r="P16" s="2">
        <f>IFERROR(_xlfn.XLOOKUP(Tabela8[[#This Row],[REFERENCIA]],'[1]BASE PYTHON'!$P$34:$P$39,'[1]BASE PYTHON'!$R$34:$R$39),0)</f>
        <v>33627.799999999988</v>
      </c>
      <c r="Q16" s="2">
        <f t="shared" si="2"/>
        <v>17372.200000000012</v>
      </c>
      <c r="R16" s="2"/>
      <c r="S16" s="4" t="s">
        <v>16</v>
      </c>
      <c r="T16" s="4" t="s">
        <v>16</v>
      </c>
      <c r="U16" s="4">
        <f>_xlfn.XLOOKUP(S16,'[1]BASE PYTHON'!$A$63:$A$80,'[1]BASE PYTHON'!$B$63:$B$80)</f>
        <v>44</v>
      </c>
      <c r="V16" s="4">
        <f>IFERROR(_xlfn.XLOOKUP(S16,'[1]BASE PYTHON'!$K:$K,'[1]BASE PYTHON'!$N:$N),0)</f>
        <v>27</v>
      </c>
      <c r="W16" s="4">
        <f t="shared" si="3"/>
        <v>17</v>
      </c>
    </row>
    <row r="17" spans="1:23" x14ac:dyDescent="0.25">
      <c r="A17" s="4" t="s">
        <v>33</v>
      </c>
      <c r="B17" s="4" t="s">
        <v>33</v>
      </c>
      <c r="C17" s="2">
        <f>_xlfn.XLOOKUP(A17,[1]!Tabela4[VENDEDOR],[1]!Tabela4[META A])</f>
        <v>125000</v>
      </c>
      <c r="D17" s="2">
        <f>IFERROR(_xlfn.XLOOKUP(A17,'[1]BASE PYTHON'!$E:$E,'[1]BASE PYTHON'!$F:$F),0)</f>
        <v>160151.88999999972</v>
      </c>
      <c r="E17" s="7">
        <f t="shared" si="0"/>
        <v>-35151.889999999723</v>
      </c>
      <c r="F17" s="4"/>
      <c r="G17" s="4" t="s">
        <v>16</v>
      </c>
      <c r="H17" s="4" t="s">
        <v>16</v>
      </c>
      <c r="I17" s="2">
        <f>_xlfn.XLOOKUP(G17,[1]!Tabela1[VENDEDOR],[1]!Tabela1[VALOR])</f>
        <v>3190</v>
      </c>
      <c r="J17" s="2">
        <f>IFERROR(_xlfn.XLOOKUP(G17,'[1]BASE PYTHON'!$H:$H,'[1]BASE PYTHON'!$I:$I),0)</f>
        <v>1068.5999999999999</v>
      </c>
      <c r="K17" s="7">
        <f t="shared" si="1"/>
        <v>2121.4</v>
      </c>
      <c r="L17" s="15"/>
      <c r="M17" s="4" t="s">
        <v>33</v>
      </c>
      <c r="N17" s="4" t="s">
        <v>33</v>
      </c>
      <c r="O17" s="2" cm="1">
        <f t="array" ref="O17">IFERROR(_xlfn.XLOOKUP(M17,[1]!Tabela3[[#All],[VENDEDOR]],INDEX([1]!Tabela3[#All],0,MATCH($O$9,[1]!Tabela3[#Headers],0))),0)</f>
        <v>0</v>
      </c>
      <c r="P17" s="2">
        <f>IFERROR(_xlfn.XLOOKUP(Tabela8[[#This Row],[REFERENCIA]],'[1]BASE PYTHON'!$P$34:$P$39,'[1]BASE PYTHON'!$R$34:$R$39),0)</f>
        <v>37752.599999999984</v>
      </c>
      <c r="Q17" s="2">
        <f t="shared" si="2"/>
        <v>-37752.599999999984</v>
      </c>
      <c r="R17" s="2"/>
      <c r="S17" s="4" t="s">
        <v>13</v>
      </c>
      <c r="T17" s="4" t="s">
        <v>42</v>
      </c>
      <c r="U17" s="4">
        <f>_xlfn.XLOOKUP(S17,'[1]BASE PYTHON'!$A$63:$A$80,'[1]BASE PYTHON'!$B$63:$B$80)</f>
        <v>47</v>
      </c>
      <c r="V17" s="4">
        <f>IFERROR(_xlfn.XLOOKUP(S17,'[1]BASE PYTHON'!$K:$K,'[1]BASE PYTHON'!$N:$N),0)</f>
        <v>38</v>
      </c>
      <c r="W17" s="4">
        <f t="shared" si="3"/>
        <v>9</v>
      </c>
    </row>
    <row r="18" spans="1:23" x14ac:dyDescent="0.25">
      <c r="A18" s="4" t="s">
        <v>30</v>
      </c>
      <c r="B18" s="4" t="s">
        <v>30</v>
      </c>
      <c r="C18" s="2">
        <f>_xlfn.XLOOKUP(A18,[1]!Tabela4[VENDEDOR],[1]!Tabela4[META A])</f>
        <v>800000</v>
      </c>
      <c r="D18" s="2">
        <f>IFERROR(_xlfn.XLOOKUP(A18,'[1]BASE PYTHON'!$E:$E,'[1]BASE PYTHON'!$F:$F),0)</f>
        <v>754319.69999999972</v>
      </c>
      <c r="E18" s="7">
        <f t="shared" si="0"/>
        <v>45680.300000000279</v>
      </c>
      <c r="F18" s="4"/>
      <c r="G18" s="4" t="s">
        <v>12</v>
      </c>
      <c r="H18" s="4" t="s">
        <v>12</v>
      </c>
      <c r="I18" s="2">
        <f>_xlfn.XLOOKUP(G18,[1]!Tabela1[VENDEDOR],[1]!Tabela1[VALOR])</f>
        <v>5710</v>
      </c>
      <c r="J18" s="2">
        <f>IFERROR(_xlfn.XLOOKUP(G18,'[1]BASE PYTHON'!$H:$H,'[1]BASE PYTHON'!$I:$I),0)</f>
        <v>2045.9</v>
      </c>
      <c r="K18" s="7">
        <f t="shared" si="1"/>
        <v>3664.1</v>
      </c>
      <c r="L18" s="4"/>
      <c r="M18" s="15"/>
      <c r="N18" s="4"/>
      <c r="O18" s="4"/>
      <c r="P18" s="2"/>
      <c r="Q18" s="2"/>
      <c r="R18" s="4"/>
      <c r="S18" s="4" t="s">
        <v>17</v>
      </c>
      <c r="T18" s="4" t="s">
        <v>17</v>
      </c>
      <c r="U18" s="4">
        <f>_xlfn.XLOOKUP(S18,'[1]BASE PYTHON'!$A$63:$A$80,'[1]BASE PYTHON'!$B$63:$B$80)</f>
        <v>49</v>
      </c>
      <c r="V18" s="4">
        <f>IFERROR(_xlfn.XLOOKUP(S18,'[1]BASE PYTHON'!$K:$K,'[1]BASE PYTHON'!$N:$N),0)</f>
        <v>41</v>
      </c>
      <c r="W18" s="4">
        <f t="shared" si="3"/>
        <v>8</v>
      </c>
    </row>
    <row r="19" spans="1:23" x14ac:dyDescent="0.25">
      <c r="A19" s="4" t="s">
        <v>32</v>
      </c>
      <c r="B19" s="4" t="s">
        <v>32</v>
      </c>
      <c r="C19" s="2">
        <f>_xlfn.XLOOKUP(A19,[1]!Tabela4[VENDEDOR],[1]!Tabela4[META A])</f>
        <v>115000</v>
      </c>
      <c r="D19" s="2">
        <f>IFERROR(_xlfn.XLOOKUP(A19,'[1]BASE PYTHON'!$E:$E,'[1]BASE PYTHON'!$F:$F),0)</f>
        <v>73448.850000000035</v>
      </c>
      <c r="E19" s="7">
        <f t="shared" si="0"/>
        <v>41551.149999999965</v>
      </c>
      <c r="F19" s="4"/>
      <c r="G19" s="4" t="s">
        <v>13</v>
      </c>
      <c r="H19" s="4" t="s">
        <v>42</v>
      </c>
      <c r="I19" s="2">
        <f>_xlfn.XLOOKUP(G19,[1]!Tabela1[VENDEDOR],[1]!Tabela1[VALOR])</f>
        <v>14000</v>
      </c>
      <c r="J19" s="2">
        <f>IFERROR(_xlfn.XLOOKUP(G19,'[1]BASE PYTHON'!$H:$H,'[1]BASE PYTHON'!$I:$I),0)</f>
        <v>7483.15</v>
      </c>
      <c r="K19" s="7">
        <f t="shared" si="1"/>
        <v>6516.85</v>
      </c>
      <c r="L19" s="4"/>
      <c r="M19" s="4"/>
      <c r="N19" s="4" t="s">
        <v>49</v>
      </c>
      <c r="O19" s="4" t="s">
        <v>26</v>
      </c>
      <c r="P19" s="4" t="s">
        <v>3</v>
      </c>
      <c r="Q19" s="4" t="s">
        <v>2</v>
      </c>
      <c r="R19" s="4"/>
      <c r="S19" s="4" t="s">
        <v>18</v>
      </c>
      <c r="T19" s="4" t="s">
        <v>18</v>
      </c>
      <c r="U19" s="4">
        <f>_xlfn.XLOOKUP(S19,'[1]BASE PYTHON'!$A$63:$A$80,'[1]BASE PYTHON'!$B$63:$B$80)</f>
        <v>73</v>
      </c>
      <c r="V19" s="4">
        <f>IFERROR(_xlfn.XLOOKUP(S19,'[1]BASE PYTHON'!$K:$K,'[1]BASE PYTHON'!$N:$N),0)</f>
        <v>70</v>
      </c>
      <c r="W19" s="4">
        <f t="shared" si="3"/>
        <v>3</v>
      </c>
    </row>
    <row r="20" spans="1:23" x14ac:dyDescent="0.25">
      <c r="A20" s="4" t="s">
        <v>31</v>
      </c>
      <c r="B20" s="4" t="s">
        <v>31</v>
      </c>
      <c r="C20" s="2">
        <f>_xlfn.XLOOKUP(A20,[1]!Tabela4[VENDEDOR],[1]!Tabela4[META A])</f>
        <v>500000</v>
      </c>
      <c r="D20" s="2">
        <f>IFERROR(_xlfn.XLOOKUP(A20,'[1]BASE PYTHON'!$E:$E,'[1]BASE PYTHON'!$F:$F),0)</f>
        <v>401603.64999999979</v>
      </c>
      <c r="E20" s="7">
        <f t="shared" si="0"/>
        <v>98396.35000000021</v>
      </c>
      <c r="F20" s="4"/>
      <c r="G20" s="4" t="s">
        <v>10</v>
      </c>
      <c r="H20" s="4" t="s">
        <v>10</v>
      </c>
      <c r="I20" s="2">
        <f>_xlfn.XLOOKUP(G20,[1]!Tabela1[VENDEDOR],[1]!Tabela1[VALOR])</f>
        <v>15010</v>
      </c>
      <c r="J20" s="2">
        <f>IFERROR(_xlfn.XLOOKUP(G20,'[1]BASE PYTHON'!$H:$H,'[1]BASE PYTHON'!$I:$I),0)</f>
        <v>3879.900000000001</v>
      </c>
      <c r="K20" s="7">
        <f t="shared" si="1"/>
        <v>11130.099999999999</v>
      </c>
      <c r="L20" s="4"/>
      <c r="M20" s="4"/>
      <c r="N20" s="4" t="s">
        <v>4</v>
      </c>
      <c r="O20" s="2" cm="1">
        <f t="array" ref="O20">IFERROR(_xlfn.XLOOKUP(N20,[1]!Tabela10[[#All],[Coluna1]],[1]!Tabela10[[#All],[Coluna2]]),0)</f>
        <v>505000</v>
      </c>
      <c r="P20" s="2">
        <f>IFERROR(GETPIVOTDATA("[Measures].[Soma de TOTAL 3]",'[1]BASE PYTHON'!$P$32,"[Intervalo 2].[SEMANA]","[Intervalo 2].[SEMANA].&amp;[2]"),0)</f>
        <v>520661.21999999991</v>
      </c>
      <c r="Q20" s="7">
        <f>O20-P20</f>
        <v>-15661.219999999914</v>
      </c>
      <c r="R20" s="4"/>
      <c r="S20" s="4" t="s">
        <v>14</v>
      </c>
      <c r="T20" s="4" t="s">
        <v>43</v>
      </c>
      <c r="U20" s="4">
        <f>_xlfn.XLOOKUP(S20,'[1]BASE PYTHON'!$A$63:$A$80,'[1]BASE PYTHON'!$B$63:$B$80)</f>
        <v>39</v>
      </c>
      <c r="V20" s="4">
        <f>IFERROR(_xlfn.XLOOKUP(S20,'[1]BASE PYTHON'!$K:$K,'[1]BASE PYTHON'!$N:$N),0)</f>
        <v>14</v>
      </c>
      <c r="W20" s="4">
        <f t="shared" si="3"/>
        <v>25</v>
      </c>
    </row>
    <row r="21" spans="1:23" x14ac:dyDescent="0.25">
      <c r="A21" s="4" t="s">
        <v>29</v>
      </c>
      <c r="B21" s="4" t="s">
        <v>29</v>
      </c>
      <c r="C21" s="2">
        <f>_xlfn.XLOOKUP(A21,[1]!Tabela4[VENDEDOR],[1]!Tabela4[META A])</f>
        <v>427500</v>
      </c>
      <c r="D21" s="2">
        <f>IFERROR(_xlfn.XLOOKUP(A21,'[1]BASE PYTHON'!$E:$E,'[1]BASE PYTHON'!$F:$F),0)</f>
        <v>290386.04999999981</v>
      </c>
      <c r="E21" s="7">
        <f t="shared" si="0"/>
        <v>137113.95000000019</v>
      </c>
      <c r="F21" s="4"/>
      <c r="G21" s="4" t="s">
        <v>19</v>
      </c>
      <c r="H21" s="4" t="s">
        <v>19</v>
      </c>
      <c r="I21" s="2">
        <f>_xlfn.XLOOKUP(G21,[1]!Tabela1[VENDEDOR],[1]!Tabela1[VALOR])</f>
        <v>9910</v>
      </c>
      <c r="J21" s="2">
        <f>IFERROR(_xlfn.XLOOKUP(G21,'[1]BASE PYTHON'!$H:$H,'[1]BASE PYTHON'!$I:$I),0)</f>
        <v>5737.8000000000011</v>
      </c>
      <c r="K21" s="7">
        <f t="shared" si="1"/>
        <v>4172.1999999999989</v>
      </c>
      <c r="L21" s="4"/>
      <c r="M21" s="4"/>
      <c r="N21" s="4" t="s">
        <v>50</v>
      </c>
      <c r="O21" s="2" cm="1">
        <f t="array" ref="O21">IFERROR(_xlfn.XLOOKUP(N21,[1]!Tabela10[[#All],[Coluna1]],[1]!Tabela10[[#All],[Coluna2]]),0)</f>
        <v>627000</v>
      </c>
      <c r="P21" s="7">
        <f>IFERROR(GETPIVOTDATA("[Measures].[Soma de TOTAL 3]",'[1]BASE PYTHON'!$P$32,"[Intervalo 2].[SEMANA]","[Intervalo 2].[SEMANA].&amp;[3]"),0)</f>
        <v>784238.58000000031</v>
      </c>
      <c r="Q21" s="7">
        <f>O21-P21</f>
        <v>-157238.58000000031</v>
      </c>
      <c r="R21" s="4"/>
      <c r="S21" s="4" t="s">
        <v>19</v>
      </c>
      <c r="T21" s="4" t="s">
        <v>19</v>
      </c>
      <c r="U21" s="4">
        <f>_xlfn.XLOOKUP(S21,'[1]BASE PYTHON'!$A$63:$A$80,'[1]BASE PYTHON'!$B$63:$B$80)</f>
        <v>32</v>
      </c>
      <c r="V21" s="4">
        <f>IFERROR(_xlfn.XLOOKUP(S21,'[1]BASE PYTHON'!$K:$K,'[1]BASE PYTHON'!$N:$N),0)</f>
        <v>19</v>
      </c>
      <c r="W21" s="4">
        <f t="shared" si="3"/>
        <v>13</v>
      </c>
    </row>
    <row r="22" spans="1:23" x14ac:dyDescent="0.25">
      <c r="A22" s="4" t="s">
        <v>12</v>
      </c>
      <c r="B22" s="4" t="s">
        <v>12</v>
      </c>
      <c r="C22" s="2">
        <f>_xlfn.XLOOKUP(A22,[1]!Tabela4[VENDEDOR],[1]!Tabela4[META A])</f>
        <v>119500</v>
      </c>
      <c r="D22" s="2">
        <f>IFERROR(_xlfn.XLOOKUP(A22,'[1]BASE PYTHON'!$E:$E,'[1]BASE PYTHON'!$F:$F),0)</f>
        <v>89097.179999999949</v>
      </c>
      <c r="E22" s="7">
        <f t="shared" si="0"/>
        <v>30402.820000000051</v>
      </c>
      <c r="F22" s="4"/>
      <c r="G22" s="4" t="s">
        <v>11</v>
      </c>
      <c r="H22" s="4" t="s">
        <v>11</v>
      </c>
      <c r="I22" s="2">
        <f>_xlfn.XLOOKUP(G22,[1]!Tabela1[VENDEDOR],[1]!Tabela1[VALOR])</f>
        <v>2670</v>
      </c>
      <c r="J22" s="2">
        <f>IFERROR(_xlfn.XLOOKUP(G22,'[1]BASE PYTHON'!$H:$H,'[1]BASE PYTHON'!$I:$I),0)</f>
        <v>3399.1999999999994</v>
      </c>
      <c r="K22" s="7">
        <f t="shared" si="1"/>
        <v>-729.19999999999936</v>
      </c>
      <c r="L22" s="4"/>
      <c r="M22" s="4"/>
      <c r="N22" s="4" t="s">
        <v>52</v>
      </c>
      <c r="O22" s="2" cm="1">
        <f t="array" ref="O22">IFERROR(_xlfn.XLOOKUP(N22,[1]!Tabela10[[#All],[Coluna1]],[1]!Tabela10[[#All],[Coluna2]]),0)</f>
        <v>586500</v>
      </c>
      <c r="P22" s="7">
        <f>IFERROR(GETPIVOTDATA("[Measures].[Soma de TOTAL 3]",'[1]BASE PYTHON'!$P$32,"[Intervalo 2].[SEMANA]","[Intervalo 2].[SEMANA].&amp;[4]"),0)</f>
        <v>477253.26999999938</v>
      </c>
      <c r="Q22" s="7">
        <f>O22-P22</f>
        <v>109246.73000000062</v>
      </c>
      <c r="R22" s="4"/>
      <c r="S22" s="4" t="s">
        <v>20</v>
      </c>
      <c r="T22" s="4" t="s">
        <v>20</v>
      </c>
      <c r="U22" s="4">
        <f>_xlfn.XLOOKUP(S22,'[1]BASE PYTHON'!$A$63:$A$80,'[1]BASE PYTHON'!$B$63:$B$80)</f>
        <v>47</v>
      </c>
      <c r="V22" s="4">
        <f>IFERROR(_xlfn.XLOOKUP(S22,'[1]BASE PYTHON'!$K:$K,'[1]BASE PYTHON'!$N:$N),0)</f>
        <v>33</v>
      </c>
      <c r="W22" s="4">
        <f t="shared" si="3"/>
        <v>14</v>
      </c>
    </row>
    <row r="23" spans="1:23" x14ac:dyDescent="0.25">
      <c r="A23" s="4" t="s">
        <v>13</v>
      </c>
      <c r="B23" s="4" t="s">
        <v>42</v>
      </c>
      <c r="C23" s="2">
        <f>_xlfn.XLOOKUP(A23,[1]!Tabela4[VENDEDOR],[1]!Tabela4[META A])</f>
        <v>157000</v>
      </c>
      <c r="D23" s="2">
        <f>IFERROR(_xlfn.XLOOKUP(A23,'[1]BASE PYTHON'!$E:$E,'[1]BASE PYTHON'!$F:$F),0)</f>
        <v>128549.60999999967</v>
      </c>
      <c r="E23" s="7">
        <f t="shared" si="0"/>
        <v>28450.390000000334</v>
      </c>
      <c r="F23" s="4"/>
      <c r="G23" s="4" t="s">
        <v>14</v>
      </c>
      <c r="H23" s="4" t="s">
        <v>14</v>
      </c>
      <c r="I23" s="2">
        <f>_xlfn.XLOOKUP(G23,[1]!Tabela1[VENDEDOR],[1]!Tabela1[VALOR])</f>
        <v>12900</v>
      </c>
      <c r="J23" s="2">
        <f>IFERROR(_xlfn.XLOOKUP(G23,'[1]BASE PYTHON'!$H:$H,'[1]BASE PYTHON'!$I:$I),0)</f>
        <v>6050.5199999999986</v>
      </c>
      <c r="K23" s="7">
        <f t="shared" si="1"/>
        <v>6849.4800000000014</v>
      </c>
      <c r="L23" s="4"/>
      <c r="M23" s="4"/>
      <c r="N23" s="4" t="s">
        <v>53</v>
      </c>
      <c r="O23" s="2" cm="1">
        <f t="array" ref="O23">IFERROR(_xlfn.XLOOKUP(N23,[1]!Tabela10[[#All],[Coluna1]],[1]!Tabela10[[#All],[Coluna2]]),0)</f>
        <v>717500</v>
      </c>
      <c r="P23" s="7">
        <f>IFERROR(GETPIVOTDATA("[Measures].[Soma de TOTAL 3]",'[1]BASE PYTHON'!$P$32,"[Intervalo 2].[SEMANA]","[Intervalo 2].[SEMANA].&amp;[5]"),0)</f>
        <v>144256.21000000002</v>
      </c>
      <c r="Q23" s="7">
        <f>O23-P23</f>
        <v>573243.79</v>
      </c>
      <c r="R23" s="4"/>
      <c r="S23" s="4" t="s">
        <v>21</v>
      </c>
      <c r="T23" s="4" t="s">
        <v>21</v>
      </c>
      <c r="U23" s="4">
        <f>_xlfn.XLOOKUP(S23,'[1]BASE PYTHON'!$A$63:$A$80,'[1]BASE PYTHON'!$B$63:$B$80)</f>
        <v>46</v>
      </c>
      <c r="V23" s="4">
        <f>IFERROR(_xlfn.XLOOKUP(S23,'[1]BASE PYTHON'!$K:$K,'[1]BASE PYTHON'!$N:$N),0)</f>
        <v>29</v>
      </c>
      <c r="W23" s="4">
        <f t="shared" si="3"/>
        <v>17</v>
      </c>
    </row>
    <row r="24" spans="1:23" x14ac:dyDescent="0.25">
      <c r="A24" s="4" t="s">
        <v>14</v>
      </c>
      <c r="B24" s="4" t="s">
        <v>43</v>
      </c>
      <c r="C24" s="2">
        <f>_xlfn.XLOOKUP(A24,[1]!Tabela4[VENDEDOR],[1]!Tabela4[META A])</f>
        <v>120000</v>
      </c>
      <c r="D24" s="2">
        <f>IFERROR(_xlfn.XLOOKUP(A24,'[1]BASE PYTHON'!$E:$E,'[1]BASE PYTHON'!$F:$F),0)</f>
        <v>100430.04000000001</v>
      </c>
      <c r="E24" s="7">
        <f t="shared" si="0"/>
        <v>19569.959999999992</v>
      </c>
      <c r="F24" s="4"/>
      <c r="G24" s="4" t="s">
        <v>9</v>
      </c>
      <c r="H24" s="4" t="s">
        <v>9</v>
      </c>
      <c r="I24" s="2">
        <f>_xlfn.XLOOKUP(G24,[1]!Tabela1[VENDEDOR],[1]!Tabela1[VALOR])</f>
        <v>5460</v>
      </c>
      <c r="J24" s="2">
        <f>IFERROR(_xlfn.XLOOKUP(G24,'[1]BASE PYTHON'!$H:$H,'[1]BASE PYTHON'!$I:$I),0)</f>
        <v>1301.71</v>
      </c>
      <c r="K24" s="7">
        <f t="shared" si="1"/>
        <v>4158.29</v>
      </c>
      <c r="L24" s="4"/>
      <c r="M24" s="4"/>
      <c r="N24" s="4"/>
      <c r="O24" s="2"/>
      <c r="P24" s="4"/>
      <c r="Q24" s="4"/>
      <c r="R24" s="4"/>
      <c r="S24" s="4" t="s">
        <v>22</v>
      </c>
      <c r="T24" s="4" t="s">
        <v>22</v>
      </c>
      <c r="U24" s="4">
        <f>_xlfn.XLOOKUP(S24,'[1]BASE PYTHON'!$A$63:$A$80,'[1]BASE PYTHON'!$B$63:$B$80)</f>
        <v>53</v>
      </c>
      <c r="V24" s="4">
        <f>IFERROR(_xlfn.XLOOKUP(S24,'[1]BASE PYTHON'!$K:$K,'[1]BASE PYTHON'!$N:$N),0)</f>
        <v>41</v>
      </c>
      <c r="W24" s="4">
        <f t="shared" si="3"/>
        <v>12</v>
      </c>
    </row>
    <row r="25" spans="1:23" x14ac:dyDescent="0.25">
      <c r="A25" s="4" t="s">
        <v>15</v>
      </c>
      <c r="B25" s="4" t="s">
        <v>44</v>
      </c>
      <c r="C25" s="2">
        <f>_xlfn.XLOOKUP(A25,[1]!Tabela4[VENDEDOR],[1]!Tabela4[META A])</f>
        <v>135000</v>
      </c>
      <c r="D25" s="2">
        <f>IFERROR(_xlfn.XLOOKUP(A25,'[1]BASE PYTHON'!$E:$E,'[1]BASE PYTHON'!$F:$F),0)</f>
        <v>114463.64999999938</v>
      </c>
      <c r="E25" s="7">
        <f t="shared" si="0"/>
        <v>20536.350000000617</v>
      </c>
      <c r="F25" s="4"/>
      <c r="G25" s="4" t="s">
        <v>25</v>
      </c>
      <c r="H25" s="4" t="s">
        <v>46</v>
      </c>
      <c r="I25" s="2">
        <f>_xlfn.XLOOKUP(G25,[1]!Tabela1[VENDEDOR],[1]!Tabela1[VALOR])</f>
        <v>4810</v>
      </c>
      <c r="J25" s="2">
        <f>IFERROR(_xlfn.XLOOKUP(G25,'[1]BASE PYTHON'!$H:$H,'[1]BASE PYTHON'!$I:$I),0)</f>
        <v>3131.67</v>
      </c>
      <c r="K25" s="7">
        <f t="shared" si="1"/>
        <v>1678.33</v>
      </c>
      <c r="L25" s="4"/>
      <c r="M25" s="4"/>
      <c r="N25" s="4"/>
      <c r="O25" s="4"/>
      <c r="P25" s="4"/>
      <c r="Q25" s="4"/>
      <c r="R25" s="4"/>
      <c r="S25" s="4" t="s">
        <v>23</v>
      </c>
      <c r="T25" s="4" t="s">
        <v>23</v>
      </c>
      <c r="U25" s="4">
        <f>_xlfn.XLOOKUP(S25,'[1]BASE PYTHON'!$A$63:$A$80,'[1]BASE PYTHON'!$B$63:$B$80)</f>
        <v>27</v>
      </c>
      <c r="V25" s="4">
        <f>IFERROR(_xlfn.XLOOKUP(S25,'[1]BASE PYTHON'!$K:$K,'[1]BASE PYTHON'!$N:$N),0)</f>
        <v>20</v>
      </c>
      <c r="W25" s="4">
        <f t="shared" si="3"/>
        <v>7</v>
      </c>
    </row>
    <row r="26" spans="1:23" x14ac:dyDescent="0.25">
      <c r="A26" s="4" t="s">
        <v>16</v>
      </c>
      <c r="B26" s="4" t="s">
        <v>16</v>
      </c>
      <c r="C26" s="2">
        <f>_xlfn.XLOOKUP(A26,[1]!Tabela4[VENDEDOR],[1]!Tabela4[META A])</f>
        <v>90000</v>
      </c>
      <c r="D26" s="2">
        <f>IFERROR(_xlfn.XLOOKUP(A26,'[1]BASE PYTHON'!$E:$E,'[1]BASE PYTHON'!$F:$F),0)</f>
        <v>63465.520000000128</v>
      </c>
      <c r="E26" s="7">
        <f t="shared" si="0"/>
        <v>26534.479999999872</v>
      </c>
      <c r="F26" s="4"/>
      <c r="G26" s="4" t="s">
        <v>23</v>
      </c>
      <c r="H26" s="4" t="s">
        <v>23</v>
      </c>
      <c r="I26" s="2">
        <f>_xlfn.XLOOKUP(G26,[1]!Tabela1[VENDEDOR],[1]!Tabela1[VALOR])</f>
        <v>6810</v>
      </c>
      <c r="J26" s="2">
        <f>IFERROR(_xlfn.XLOOKUP(G26,'[1]BASE PYTHON'!$H:$H,'[1]BASE PYTHON'!$I:$I),0)</f>
        <v>1190.3599999999999</v>
      </c>
      <c r="K26" s="7">
        <f t="shared" si="1"/>
        <v>5619.64</v>
      </c>
      <c r="L26" s="4"/>
      <c r="M26" s="4"/>
      <c r="N26" s="4"/>
      <c r="O26" s="2"/>
      <c r="P26" s="4"/>
      <c r="Q26" s="4"/>
      <c r="R26" s="4"/>
      <c r="S26" s="4" t="s">
        <v>15</v>
      </c>
      <c r="T26" s="4" t="s">
        <v>44</v>
      </c>
      <c r="U26" s="4">
        <f>_xlfn.XLOOKUP(S26,'[1]BASE PYTHON'!$A$63:$A$80,'[1]BASE PYTHON'!$B$63:$B$80)</f>
        <v>39</v>
      </c>
      <c r="V26" s="4">
        <f>IFERROR(_xlfn.XLOOKUP(S26,'[1]BASE PYTHON'!$K:$K,'[1]BASE PYTHON'!$N:$N),0)</f>
        <v>46</v>
      </c>
      <c r="W26" s="4">
        <f t="shared" si="3"/>
        <v>-7</v>
      </c>
    </row>
    <row r="27" spans="1:23" x14ac:dyDescent="0.25">
      <c r="A27" s="4" t="s">
        <v>17</v>
      </c>
      <c r="B27" s="4" t="s">
        <v>17</v>
      </c>
      <c r="C27" s="2">
        <f>_xlfn.XLOOKUP(A27,[1]!Tabela4[VENDEDOR],[1]!Tabela4[META A])</f>
        <v>235000</v>
      </c>
      <c r="D27" s="2">
        <f>IFERROR(_xlfn.XLOOKUP(A27,'[1]BASE PYTHON'!$E:$E,'[1]BASE PYTHON'!$F:$F),0)</f>
        <v>189006.12999999957</v>
      </c>
      <c r="E27" s="7">
        <f t="shared" si="0"/>
        <v>45993.870000000432</v>
      </c>
      <c r="F27" s="4"/>
      <c r="G27" s="4" t="s">
        <v>24</v>
      </c>
      <c r="H27" s="4" t="s">
        <v>45</v>
      </c>
      <c r="I27" s="2">
        <f>_xlfn.XLOOKUP(G27,[1]!Tabela1[VENDEDOR],[1]!Tabela1[VALOR])</f>
        <v>3090</v>
      </c>
      <c r="J27" s="2">
        <f>IFERROR(_xlfn.XLOOKUP(G27,'[1]BASE PYTHON'!$H:$H,'[1]BASE PYTHON'!$I:$I),0)</f>
        <v>1017.3299999999999</v>
      </c>
      <c r="K27" s="7">
        <f t="shared" si="1"/>
        <v>2072.67</v>
      </c>
      <c r="L27" s="4"/>
      <c r="M27" s="4"/>
      <c r="N27" s="4"/>
      <c r="O27" s="4"/>
      <c r="P27" s="4"/>
      <c r="Q27" s="4"/>
      <c r="R27" s="4"/>
      <c r="S27" s="4" t="s">
        <v>24</v>
      </c>
      <c r="T27" s="4" t="s">
        <v>45</v>
      </c>
      <c r="U27" s="4">
        <f>_xlfn.XLOOKUP(S27,'[1]BASE PYTHON'!$A$63:$A$80,'[1]BASE PYTHON'!$B$63:$B$80)</f>
        <v>33</v>
      </c>
      <c r="V27" s="4">
        <f>IFERROR(_xlfn.XLOOKUP(S27,'[1]BASE PYTHON'!$K:$K,'[1]BASE PYTHON'!$N:$N),0)</f>
        <v>19</v>
      </c>
      <c r="W27" s="4">
        <f t="shared" si="3"/>
        <v>14</v>
      </c>
    </row>
    <row r="28" spans="1:23" x14ac:dyDescent="0.25">
      <c r="A28" s="4" t="s">
        <v>18</v>
      </c>
      <c r="B28" s="4" t="s">
        <v>18</v>
      </c>
      <c r="C28" s="2">
        <f>_xlfn.XLOOKUP(A28,[1]!Tabela4[VENDEDOR],[1]!Tabela4[META A])</f>
        <v>302000</v>
      </c>
      <c r="D28" s="2">
        <f>IFERROR(_xlfn.XLOOKUP(A28,'[1]BASE PYTHON'!$E:$E,'[1]BASE PYTHON'!$F:$F),0)</f>
        <v>261561.83499999988</v>
      </c>
      <c r="E28" s="7">
        <f t="shared" si="0"/>
        <v>40438.165000000125</v>
      </c>
      <c r="F28" s="4"/>
      <c r="G28" s="4" t="s">
        <v>7</v>
      </c>
      <c r="H28" s="4" t="s">
        <v>7</v>
      </c>
      <c r="I28" s="2">
        <f>_xlfn.XLOOKUP(G28,[1]!Tabela1[VENDEDOR],[1]!Tabela1[VALOR])</f>
        <v>4720</v>
      </c>
      <c r="J28" s="2">
        <f>IFERROR(_xlfn.XLOOKUP(G28,'[1]BASE PYTHON'!$H:$H,'[1]BASE PYTHON'!$I:$I),0)</f>
        <v>3832.95</v>
      </c>
      <c r="K28" s="7">
        <f t="shared" si="1"/>
        <v>887.05000000000018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4" t="s">
        <v>19</v>
      </c>
      <c r="B29" s="4" t="s">
        <v>19</v>
      </c>
      <c r="C29" s="2">
        <f>_xlfn.XLOOKUP(A29,[1]!Tabela4[VENDEDOR],[1]!Tabela4[META A])</f>
        <v>113000</v>
      </c>
      <c r="D29" s="2">
        <f>IFERROR(_xlfn.XLOOKUP(A29,'[1]BASE PYTHON'!$E:$E,'[1]BASE PYTHON'!$F:$F),0)</f>
        <v>82903.510000000024</v>
      </c>
      <c r="E29" s="7">
        <f t="shared" si="0"/>
        <v>30096.489999999976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49</v>
      </c>
      <c r="U29" s="4" t="s">
        <v>26</v>
      </c>
      <c r="V29" s="4" t="s">
        <v>3</v>
      </c>
      <c r="W29" s="4" t="s">
        <v>2</v>
      </c>
    </row>
    <row r="30" spans="1:23" x14ac:dyDescent="0.25">
      <c r="A30" s="4" t="s">
        <v>41</v>
      </c>
      <c r="B30" s="4" t="s">
        <v>28</v>
      </c>
      <c r="C30" s="2">
        <f>_xlfn.XLOOKUP(A30,[1]!Tabela4[VENDEDOR],[1]!Tabela4[META A])</f>
        <v>170000</v>
      </c>
      <c r="D30" s="2">
        <f>IFERROR(_xlfn.XLOOKUP(A30,'[1]BASE PYTHON'!$E:$E,'[1]BASE PYTHON'!$F:$F),0)</f>
        <v>102906.86000000004</v>
      </c>
      <c r="E30" s="7">
        <f t="shared" si="0"/>
        <v>67093.139999999956</v>
      </c>
      <c r="F30" s="4"/>
      <c r="G30" s="4"/>
      <c r="H30" s="4" t="s">
        <v>49</v>
      </c>
      <c r="I30" s="4" t="s">
        <v>26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IFERROR(_xlfn.XLOOKUP(T30,[1]!Tabela11[[#All],[Coluna1]],[1]!Tabela11[[#All],[Coluna2]]),0)</f>
        <v>200</v>
      </c>
      <c r="V30" s="5">
        <f>IFERROR(GETPIVOTDATA("[Measures].[Contagem Distinta de COD_CLIENTE]",'[1]BASE PYTHON'!$P$85,"[Intervalo 2].[SEMANA]","[Intervalo 2].[SEMANA].&amp;[2]"),0)</f>
        <v>178</v>
      </c>
      <c r="W30" s="6">
        <f>U30-V30</f>
        <v>22</v>
      </c>
    </row>
    <row r="31" spans="1:23" x14ac:dyDescent="0.25">
      <c r="A31" s="4" t="s">
        <v>20</v>
      </c>
      <c r="B31" s="4" t="s">
        <v>20</v>
      </c>
      <c r="C31" s="2">
        <f>_xlfn.XLOOKUP(A31,[1]!Tabela4[VENDEDOR],[1]!Tabela4[META A])</f>
        <v>126000</v>
      </c>
      <c r="D31" s="2">
        <f>IFERROR(_xlfn.XLOOKUP(A31,'[1]BASE PYTHON'!$E:$E,'[1]BASE PYTHON'!$F:$F),0)</f>
        <v>112473.96999999986</v>
      </c>
      <c r="E31" s="7">
        <f t="shared" si="0"/>
        <v>13526.030000000144</v>
      </c>
      <c r="F31" s="4"/>
      <c r="G31" s="4"/>
      <c r="H31" s="4" t="s">
        <v>4</v>
      </c>
      <c r="I31" s="2" cm="1">
        <f t="array" ref="I31">IFERROR(_xlfn.XLOOKUP(H31,[1]!Tabela9[[#All],[Coluna1]],[1]!Tabela9[[#All],[Coluna2]]),0)</f>
        <v>700000</v>
      </c>
      <c r="J31" s="2">
        <f>IFERROR(GETPIVOTDATA("[Measures].[Soma de TOTAL 3]",'[1]BASE PYTHON'!$P$4,"[Intervalo 2].[SEMANA]","[Intervalo 2].[SEMANA].&amp;[2]"),0)</f>
        <v>645369.17500000272</v>
      </c>
      <c r="K31" s="7">
        <f>I31-J31</f>
        <v>54630.824999997276</v>
      </c>
      <c r="L31" s="4"/>
      <c r="M31" s="4"/>
      <c r="N31" s="4"/>
      <c r="O31" s="4"/>
      <c r="P31" s="4"/>
      <c r="Q31" s="4"/>
      <c r="R31" s="4"/>
      <c r="S31" s="4"/>
      <c r="T31" s="4" t="s">
        <v>50</v>
      </c>
      <c r="U31" s="5" cm="1">
        <f t="array" ref="U31">IFERROR(_xlfn.XLOOKUP(T31,[1]!Tabela11[[#All],[Coluna1]],[1]!Tabela11[[#All],[Coluna2]]),0)</f>
        <v>200</v>
      </c>
      <c r="V31" s="6">
        <f>IFERROR(GETPIVOTDATA("[Measures].[Contagem Distinta de COD_CLIENTE]",'[1]BASE PYTHON'!$P$85,"[Intervalo 2].[SEMANA]","[Intervalo 2].[SEMANA].&amp;[3]"),0)</f>
        <v>254</v>
      </c>
      <c r="W31" s="6">
        <f>U31-V31</f>
        <v>-54</v>
      </c>
    </row>
    <row r="32" spans="1:23" x14ac:dyDescent="0.25">
      <c r="A32" s="4" t="s">
        <v>21</v>
      </c>
      <c r="B32" s="4" t="s">
        <v>21</v>
      </c>
      <c r="C32" s="2">
        <f>_xlfn.XLOOKUP(A32,[1]!Tabela4[VENDEDOR],[1]!Tabela4[META A])</f>
        <v>167000</v>
      </c>
      <c r="D32" s="2">
        <f>IFERROR(_xlfn.XLOOKUP(A32,'[1]BASE PYTHON'!$E:$E,'[1]BASE PYTHON'!$F:$F),0)</f>
        <v>134643.04</v>
      </c>
      <c r="E32" s="7">
        <f t="shared" si="0"/>
        <v>32356.959999999992</v>
      </c>
      <c r="F32" s="4"/>
      <c r="G32" s="4"/>
      <c r="H32" s="4" t="s">
        <v>50</v>
      </c>
      <c r="I32" s="2" cm="1">
        <f t="array" ref="I32">IFERROR(_xlfn.XLOOKUP(H32,[1]!Tabela9[[#All],[Coluna1]],[1]!Tabela9[[#All],[Coluna2]]),0)</f>
        <v>700000</v>
      </c>
      <c r="J32" s="7">
        <f>IFERROR(GETPIVOTDATA("[Measures].[Soma de TOTAL 3]",'[1]BASE PYTHON'!$P$4,"[Intervalo 2].[SEMANA]","[Intervalo 2].[SEMANA].&amp;[3]"),0)</f>
        <v>668938.42000000039</v>
      </c>
      <c r="K32" s="7">
        <f t="shared" ref="K32:K34" si="4">I32-J32</f>
        <v>31061.579999999609</v>
      </c>
      <c r="L32" s="4"/>
      <c r="M32" s="4"/>
      <c r="N32" s="4"/>
      <c r="O32" s="4"/>
      <c r="P32" s="4"/>
      <c r="Q32" s="4"/>
      <c r="R32" s="4"/>
      <c r="S32" s="4"/>
      <c r="T32" s="4" t="s">
        <v>52</v>
      </c>
      <c r="U32" s="5" cm="1">
        <f t="array" ref="U32">IFERROR(_xlfn.XLOOKUP(T32,[1]!Tabela11[[#All],[Coluna1]],[1]!Tabela11[[#All],[Coluna2]]),0)</f>
        <v>200</v>
      </c>
      <c r="V32" s="6">
        <f>IFERROR(GETPIVOTDATA("[Measures].[Contagem Distinta de COD_CLIENTE]",'[1]BASE PYTHON'!$P$85,"[Intervalo 2].[SEMANA]","[Intervalo 2].[SEMANA].&amp;[4]"),0)</f>
        <v>257</v>
      </c>
      <c r="W32" s="6">
        <f>U32-V32</f>
        <v>-57</v>
      </c>
    </row>
    <row r="33" spans="1:23" x14ac:dyDescent="0.25">
      <c r="A33" s="4" t="s">
        <v>22</v>
      </c>
      <c r="B33" s="4" t="s">
        <v>22</v>
      </c>
      <c r="C33" s="2">
        <f>_xlfn.XLOOKUP(A33,[1]!Tabela4[VENDEDOR],[1]!Tabela4[META A])</f>
        <v>255000</v>
      </c>
      <c r="D33" s="2">
        <f>IFERROR(_xlfn.XLOOKUP(A33,'[1]BASE PYTHON'!$E:$E,'[1]BASE PYTHON'!$F:$F),0)</f>
        <v>223288.15999999983</v>
      </c>
      <c r="E33" s="7">
        <f t="shared" si="0"/>
        <v>31711.840000000171</v>
      </c>
      <c r="F33" s="4"/>
      <c r="G33" s="4"/>
      <c r="H33" s="4" t="s">
        <v>52</v>
      </c>
      <c r="I33" s="2" cm="1">
        <f t="array" ref="I33">IFERROR(_xlfn.XLOOKUP(H33,[1]!Tabela9[[#All],[Coluna1]],[1]!Tabela9[[#All],[Coluna2]]),0)</f>
        <v>700000</v>
      </c>
      <c r="J33" s="7">
        <f>IFERROR(GETPIVOTDATA("[Measures].[Soma de TOTAL 3]",'[1]BASE PYTHON'!$P$4,"[Intervalo 2].[SEMANA]","[Intervalo 2].[SEMANA].&amp;[4]"),0)</f>
        <v>684987.49500000128</v>
      </c>
      <c r="K33" s="7">
        <f t="shared" si="4"/>
        <v>15012.504999998724</v>
      </c>
      <c r="L33" s="4"/>
      <c r="M33" s="4"/>
      <c r="N33" s="4"/>
      <c r="O33" s="4"/>
      <c r="P33" s="4"/>
      <c r="Q33" s="4"/>
      <c r="R33" s="4"/>
      <c r="S33" s="4"/>
      <c r="T33" s="4" t="s">
        <v>53</v>
      </c>
      <c r="U33" s="5" cm="1">
        <f t="array" ref="U33">IFERROR(_xlfn.XLOOKUP(T33,[1]!Tabela11[[#All],[Coluna1]],[1]!Tabela11[[#All],[Coluna2]]),0)</f>
        <v>200</v>
      </c>
      <c r="V33" s="6">
        <f>IFERROR(GETPIVOTDATA("[Measures].[Contagem Distinta de COD_CLIENTE]",'[1]BASE PYTHON'!$P$85,"[Intervalo 2].[SEMANA]","[Intervalo 2].[SEMANA].&amp;[5]"),0)</f>
        <v>108</v>
      </c>
      <c r="W33" s="6">
        <f t="shared" ref="W33" si="5">U33-V33</f>
        <v>92</v>
      </c>
    </row>
    <row r="34" spans="1:23" x14ac:dyDescent="0.25">
      <c r="A34" s="4" t="s">
        <v>23</v>
      </c>
      <c r="B34" s="4" t="s">
        <v>23</v>
      </c>
      <c r="C34" s="2">
        <f>_xlfn.XLOOKUP(A34,[1]!Tabela4[VENDEDOR],[1]!Tabela4[META A])</f>
        <v>100000</v>
      </c>
      <c r="D34" s="2">
        <f>IFERROR(_xlfn.XLOOKUP(A34,'[1]BASE PYTHON'!$E:$E,'[1]BASE PYTHON'!$F:$F),0)</f>
        <v>63645.500000000058</v>
      </c>
      <c r="E34" s="7">
        <f t="shared" si="0"/>
        <v>36354.499999999942</v>
      </c>
      <c r="F34" s="4"/>
      <c r="G34" s="4"/>
      <c r="H34" s="4" t="s">
        <v>53</v>
      </c>
      <c r="I34" s="2" cm="1">
        <f t="array" ref="I34">IFERROR(_xlfn.XLOOKUP(H34,[1]!Tabela9[[#All],[Coluna1]],[1]!Tabela9[[#All],[Coluna2]]),0)</f>
        <v>700000</v>
      </c>
      <c r="J34" s="7">
        <f>IFERROR(GETPIVOTDATA("[Measures].[Soma de TOTAL 3]",'[1]BASE PYTHON'!$P$4,"[Intervalo 2].[SEMANA]","[Intervalo 2].[SEMANA].&amp;[5]"),0)</f>
        <v>301427.12500000064</v>
      </c>
      <c r="K34" s="7">
        <f t="shared" si="4"/>
        <v>398572.87499999936</v>
      </c>
      <c r="L34" s="4"/>
      <c r="M34" s="4"/>
      <c r="N34" s="4"/>
      <c r="O34" s="4"/>
      <c r="P34" s="4"/>
      <c r="Q34" s="4"/>
      <c r="R34" s="4"/>
      <c r="S34" s="4"/>
      <c r="T34" s="4"/>
      <c r="U34" s="2"/>
      <c r="V34" s="4"/>
      <c r="W34" s="4"/>
    </row>
    <row r="35" spans="1:23" x14ac:dyDescent="0.25">
      <c r="A35" s="4" t="s">
        <v>24</v>
      </c>
      <c r="B35" s="4" t="s">
        <v>45</v>
      </c>
      <c r="C35" s="2">
        <f>_xlfn.XLOOKUP(A35,[1]!Tabela4[VENDEDOR],[1]!Tabela4[META A])</f>
        <v>55000</v>
      </c>
      <c r="D35" s="2">
        <f>IFERROR(_xlfn.XLOOKUP(A35,'[1]BASE PYTHON'!$E:$E,'[1]BASE PYTHON'!$F:$F),0)</f>
        <v>37911.810000000019</v>
      </c>
      <c r="E35" s="7">
        <f t="shared" si="0"/>
        <v>17088.189999999981</v>
      </c>
      <c r="F35" s="4"/>
      <c r="G35" s="4"/>
      <c r="H35" s="4"/>
      <c r="I35" s="2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4" t="s">
        <v>25</v>
      </c>
      <c r="B36" s="4" t="s">
        <v>46</v>
      </c>
      <c r="C36" s="2">
        <f>_xlfn.XLOOKUP(A36,[1]!Tabela4[VENDEDOR],[1]!Tabela4[META A])</f>
        <v>66000</v>
      </c>
      <c r="D36" s="2">
        <f>IFERROR(_xlfn.XLOOKUP(A36,'[1]BASE PYTHON'!$E:$E,'[1]BASE PYTHON'!$F:$F),0)</f>
        <v>62805.409999999989</v>
      </c>
      <c r="E36" s="7">
        <f t="shared" si="0"/>
        <v>3194.5900000000111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4"/>
      <c r="B37" s="4"/>
      <c r="D37" s="2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4"/>
      <c r="B38" s="4" t="s">
        <v>49</v>
      </c>
      <c r="C38" s="4" t="s">
        <v>26</v>
      </c>
      <c r="D38" s="4" t="s">
        <v>3</v>
      </c>
      <c r="E38" s="4" t="s">
        <v>2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4"/>
      <c r="B39" s="4" t="s">
        <v>4</v>
      </c>
      <c r="C39" s="2" cm="1">
        <f t="array" ref="C39">IFERROR(_xlfn.XLOOKUP(B39,[1]!Tabela7[[#All],[Coluna1]],[1]!Tabela7[[#All],[Coluna2]]),0)</f>
        <v>1280000</v>
      </c>
      <c r="D39" s="2">
        <f>IFERROR(GETPIVOTDATA("[Measures].[Soma de TOTAL 3]",'[1]BASE PYTHON'!$P$47,"[Intervalo 2].[SEMANA]","[Intervalo 2].[SEMANA].&amp;[2]"),0)</f>
        <v>1184379.5950000007</v>
      </c>
      <c r="E39" s="7">
        <f>C39-D39</f>
        <v>95620.404999999329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4"/>
      <c r="B40" s="4" t="s">
        <v>50</v>
      </c>
      <c r="C40" s="2" cm="1">
        <f t="array" ref="C40">IFERROR(_xlfn.XLOOKUP(B40,[1]!Tabela7[[#All],[Coluna1]],[1]!Tabela7[[#All],[Coluna2]]),0)</f>
        <v>1280000</v>
      </c>
      <c r="D40" s="2">
        <f>IFERROR(GETPIVOTDATA("[Measures].[Soma de TOTAL 3]",'[1]BASE PYTHON'!$P$47,"[Intervalo 2].[SEMANA]","[Intervalo 2].[SEMANA].&amp;[3]"),0)</f>
        <v>1525614.1199999915</v>
      </c>
      <c r="E40" s="7">
        <f t="shared" ref="E40:E42" si="6">C40-D40</f>
        <v>-245614.1199999915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4"/>
      <c r="B41" s="4" t="s">
        <v>52</v>
      </c>
      <c r="C41" s="2" cm="1">
        <f t="array" ref="C41">IFERROR(_xlfn.XLOOKUP(B41,[1]!Tabela7[[#All],[Coluna1]],[1]!Tabela7[[#All],[Coluna2]]),0)</f>
        <v>1280000</v>
      </c>
      <c r="D41" s="2">
        <f>IFERROR(GETPIVOTDATA("[Measures].[Soma de TOTAL 3]",'[1]BASE PYTHON'!$P$47,"[Intervalo 2].[SEMANA]","[Intervalo 2].[SEMANA].&amp;[4]"),0)</f>
        <v>1174744.2449999929</v>
      </c>
      <c r="E41" s="7">
        <f t="shared" si="6"/>
        <v>105255.75500000711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4"/>
      <c r="B42" s="4" t="s">
        <v>53</v>
      </c>
      <c r="C42" s="2" cm="1">
        <f t="array" ref="C42">IFERROR(_xlfn.XLOOKUP(B42,[1]!Tabela7[[#All],[Coluna1]],[1]!Tabela7[[#All],[Coluna2]]),0)</f>
        <v>1280000</v>
      </c>
      <c r="D42" s="2">
        <f>IFERROR(GETPIVOTDATA("[Measures].[Soma de TOTAL 3]",'[1]BASE PYTHON'!$P$47,"[Intervalo 2].[SEMANA]","[Intervalo 2].[SEMANA].&amp;[5]"),0)</f>
        <v>446852.13500000065</v>
      </c>
      <c r="E42" s="7">
        <f t="shared" si="6"/>
        <v>833147.86499999929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</sheetData>
  <phoneticPr fontId="2" type="noConversion"/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Iatagam</cp:lastModifiedBy>
  <dcterms:created xsi:type="dcterms:W3CDTF">2026-05-05T18:00:23Z</dcterms:created>
  <dcterms:modified xsi:type="dcterms:W3CDTF">2026-05-26T15:30:49Z</dcterms:modified>
</cp:coreProperties>
</file>