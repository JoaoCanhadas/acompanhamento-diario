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CE2CCDBF-01D2-4965-9F58-BCC42C66C6E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D41" i="2"/>
  <c r="P23" i="2"/>
  <c r="D43" i="2"/>
  <c r="P11" i="2"/>
  <c r="D40" i="2"/>
  <c r="V31" i="2"/>
  <c r="P22" i="2"/>
  <c r="D44" i="2"/>
  <c r="V30" i="2"/>
  <c r="J32" i="2"/>
  <c r="P14" i="2"/>
  <c r="P12" i="2"/>
  <c r="J34" i="2"/>
  <c r="P21" i="2"/>
  <c r="V32" i="2"/>
  <c r="V34" i="2"/>
  <c r="P25" i="2"/>
  <c r="J31" i="2"/>
  <c r="P16" i="2"/>
  <c r="J35" i="2"/>
  <c r="D42" i="2"/>
  <c r="P17" i="2"/>
  <c r="P13" i="2"/>
  <c r="V33" i="2"/>
  <c r="P15" i="2"/>
  <c r="J33" i="2"/>
  <c r="P24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J17" i="2" l="1"/>
  <c r="K17" i="2" s="1"/>
  <c r="J26" i="2"/>
  <c r="K26" i="2" s="1"/>
  <c r="J13" i="2"/>
  <c r="K13" i="2" s="1"/>
  <c r="J10" i="2"/>
  <c r="J22" i="2"/>
  <c r="K22" i="2" s="1"/>
  <c r="J20" i="2"/>
  <c r="K20" i="2" s="1"/>
  <c r="J21" i="2"/>
  <c r="K21" i="2" s="1"/>
  <c r="J25" i="2"/>
  <c r="K25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18" i="2"/>
  <c r="K18" i="2" s="1"/>
  <c r="J27" i="2"/>
  <c r="K27" i="2" s="1"/>
  <c r="J23" i="2"/>
  <c r="K23" i="2" s="1"/>
  <c r="J24" i="2"/>
  <c r="K24" i="2" s="1"/>
  <c r="K10" i="2" l="1"/>
  <c r="I5" i="2"/>
  <c r="I6" i="2" s="1"/>
  <c r="I7" i="2" s="1"/>
  <c r="V13" i="2" l="1"/>
  <c r="W13" i="2" s="1"/>
  <c r="V19" i="2"/>
  <c r="W19" i="2" s="1"/>
  <c r="V18" i="2"/>
  <c r="W18" i="2" s="1"/>
  <c r="V16" i="2"/>
  <c r="W16" i="2" s="1"/>
  <c r="V21" i="2"/>
  <c r="W21" i="2" s="1"/>
  <c r="V20" i="2"/>
  <c r="W20" i="2" s="1"/>
  <c r="V23" i="2"/>
  <c r="W23" i="2" s="1"/>
  <c r="V12" i="2"/>
  <c r="W12" i="2" s="1"/>
  <c r="V25" i="2"/>
  <c r="W25" i="2" s="1"/>
  <c r="V15" i="2"/>
  <c r="W15" i="2" s="1"/>
  <c r="V22" i="2"/>
  <c r="W22" i="2" s="1"/>
  <c r="V11" i="2"/>
  <c r="W11" i="2" s="1"/>
  <c r="V24" i="2"/>
  <c r="W24" i="2" s="1"/>
  <c r="V26" i="2"/>
  <c r="W26" i="2" s="1"/>
  <c r="V10" i="2"/>
  <c r="V17" i="2"/>
  <c r="W17" i="2" s="1"/>
  <c r="V14" i="2"/>
  <c r="W14" i="2" s="1"/>
  <c r="W10" i="2" l="1"/>
  <c r="U5" i="2"/>
  <c r="U6" i="2" s="1"/>
  <c r="U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ES_TIPO_OPERACAO].&amp;[VENDA],[Intervalo 2].[DES_TIPO_OPERACAO].&amp;[VENDA SAT]}"/>
    <s v="{[Intervalo 2].[PRODUTO].&amp;[MIST PAO DA FAZENDA 20KG CAIXA],[Intervalo 2].[PRODUTO].&amp;[MIST PAO DA FAZENDA VIAPANE 10KG]}"/>
    <s v="{[Intervalo 2].[DATA].&amp;[2026-09-28T00:00:00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<sst xmlns="http://schemas.openxmlformats.org/spreadsheetml/2006/main" count="273" uniqueCount="62">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</sst>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3</v>
          </cell>
          <cell r="M1">
            <v>0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4">
            <v>28/09/2026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2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3">
            <v>(Vários itens)</v>
          </cell>
          <cell r="P4" t="str">
            <v>Soma de TOTAL</v>
          </cell>
        </row>
        <row r="5">
          <cell r="E5" t="str">
            <v>CAMPINAS</v>
          </cell>
          <cell r="F5">
            <v>62470.590000000004</v>
          </cell>
          <cell r="H5" t="str">
            <v>CAMPINAS</v>
          </cell>
          <cell r="I5">
            <v>4561.2000000000007</v>
          </cell>
        </row>
        <row r="6">
          <cell r="E6" t="str">
            <v>CENTRO</v>
          </cell>
          <cell r="F6">
            <v>320791.82000000047</v>
          </cell>
          <cell r="H6" t="str">
            <v>CENTRO</v>
          </cell>
          <cell r="I6">
            <v>26804.570000000011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ECOMMERCE</v>
          </cell>
          <cell r="F7">
            <v>1003.86</v>
          </cell>
          <cell r="H7" t="str">
            <v>INDAIATUBA</v>
          </cell>
          <cell r="I7">
            <v>10844.970000000001</v>
          </cell>
          <cell r="K7" t="str">
            <v>Rótulos de Linha</v>
          </cell>
          <cell r="L7" t="str">
            <v>ACUMULADO</v>
          </cell>
          <cell r="M7" t="str">
            <v>Total Geral</v>
          </cell>
        </row>
        <row r="8">
          <cell r="E8" t="str">
            <v>IATAGAM JUNIOR</v>
          </cell>
          <cell r="F8">
            <v>102</v>
          </cell>
          <cell r="H8" t="str">
            <v>INTERLAGOS</v>
          </cell>
          <cell r="I8">
            <v>17482.909999999996</v>
          </cell>
          <cell r="K8" t="str">
            <v>CAMPINAS</v>
          </cell>
          <cell r="L8">
            <v>20</v>
          </cell>
          <cell r="M8">
            <v>20</v>
          </cell>
        </row>
        <row r="9">
          <cell r="E9" t="str">
            <v>INDAIATUBA</v>
          </cell>
          <cell r="F9">
            <v>86297.000000000015</v>
          </cell>
          <cell r="H9" t="str">
            <v>JUNDIAI</v>
          </cell>
          <cell r="I9">
            <v>8545.5799999999981</v>
          </cell>
          <cell r="K9" t="str">
            <v>CENTRO</v>
          </cell>
          <cell r="L9">
            <v>22</v>
          </cell>
          <cell r="M9">
            <v>22</v>
          </cell>
        </row>
        <row r="10">
          <cell r="E10" t="str">
            <v>INTERLAGOS</v>
          </cell>
          <cell r="F10">
            <v>251396.75999999963</v>
          </cell>
          <cell r="H10" t="str">
            <v>KEY ABC</v>
          </cell>
          <cell r="I10">
            <v>3361</v>
          </cell>
          <cell r="K10" t="str">
            <v>INDAIATUBA</v>
          </cell>
          <cell r="L10">
            <v>19</v>
          </cell>
          <cell r="M10">
            <v>19</v>
          </cell>
        </row>
        <row r="11">
          <cell r="E11" t="str">
            <v>JUNDIAI</v>
          </cell>
          <cell r="F11">
            <v>77850.589999999909</v>
          </cell>
          <cell r="H11" t="str">
            <v>KEY CASA</v>
          </cell>
          <cell r="I11">
            <v>33644.200000000004</v>
          </cell>
          <cell r="K11" t="str">
            <v>INTERLAGOS</v>
          </cell>
          <cell r="L11">
            <v>54</v>
          </cell>
          <cell r="M11">
            <v>54</v>
          </cell>
        </row>
        <row r="12">
          <cell r="E12" t="str">
            <v>KEY ABC</v>
          </cell>
          <cell r="F12">
            <v>261108.89999999991</v>
          </cell>
          <cell r="H12" t="str">
            <v>KEY INTERIOR</v>
          </cell>
          <cell r="I12">
            <v>2300.4</v>
          </cell>
          <cell r="K12" t="str">
            <v>JUNDIAI</v>
          </cell>
          <cell r="L12">
            <v>26</v>
          </cell>
          <cell r="M12">
            <v>26</v>
          </cell>
        </row>
        <row r="13">
          <cell r="E13" t="str">
            <v>KEY CASA</v>
          </cell>
          <cell r="F13">
            <v>645986.02999999968</v>
          </cell>
          <cell r="H13" t="str">
            <v>KEY SJC</v>
          </cell>
          <cell r="I13">
            <v>483.95</v>
          </cell>
          <cell r="K13" t="str">
            <v>LESTE</v>
          </cell>
          <cell r="L13">
            <v>21</v>
          </cell>
          <cell r="M13">
            <v>21</v>
          </cell>
        </row>
        <row r="14">
          <cell r="E14" t="str">
            <v>KEY INTERIOR</v>
          </cell>
          <cell r="F14">
            <v>816833.8</v>
          </cell>
          <cell r="H14" t="str">
            <v>KEY SP</v>
          </cell>
          <cell r="I14">
            <v>17609.66</v>
          </cell>
          <cell r="K14" t="str">
            <v>LESTE MOOCA</v>
          </cell>
          <cell r="L14">
            <v>25</v>
          </cell>
          <cell r="M14">
            <v>25</v>
          </cell>
        </row>
        <row r="15">
          <cell r="E15" t="str">
            <v>KEY SJC</v>
          </cell>
          <cell r="F15">
            <v>55652.650000000009</v>
          </cell>
          <cell r="H15" t="str">
            <v>KEY ZL</v>
          </cell>
          <cell r="I15">
            <v>30069.5</v>
          </cell>
          <cell r="K15" t="str">
            <v>LESTE PENHA</v>
          </cell>
          <cell r="L15">
            <v>20</v>
          </cell>
          <cell r="M15">
            <v>20</v>
          </cell>
        </row>
        <row r="16">
          <cell r="E16" t="str">
            <v>KEY SP</v>
          </cell>
          <cell r="F16">
            <v>316150.64000000007</v>
          </cell>
          <cell r="H16" t="str">
            <v>LESTE</v>
          </cell>
          <cell r="I16">
            <v>11939.229999999998</v>
          </cell>
          <cell r="K16" t="str">
            <v>LESTE TATUAPE</v>
          </cell>
          <cell r="L16">
            <v>20</v>
          </cell>
          <cell r="M16">
            <v>20</v>
          </cell>
        </row>
        <row r="17">
          <cell r="E17" t="str">
            <v>KEY ZL</v>
          </cell>
          <cell r="F17">
            <v>293729.78999999986</v>
          </cell>
          <cell r="H17" t="str">
            <v>LESTE MOOCA</v>
          </cell>
          <cell r="I17">
            <v>11443.519999999995</v>
          </cell>
          <cell r="K17" t="str">
            <v>MOGI</v>
          </cell>
          <cell r="L17">
            <v>21</v>
          </cell>
          <cell r="M17">
            <v>21</v>
          </cell>
        </row>
        <row r="18">
          <cell r="E18" t="str">
            <v>LESTE</v>
          </cell>
          <cell r="F18">
            <v>93024.129999999917</v>
          </cell>
          <cell r="H18" t="str">
            <v>LESTE PENHA</v>
          </cell>
          <cell r="I18">
            <v>15529.049999999997</v>
          </cell>
          <cell r="K18" t="str">
            <v>NORTE</v>
          </cell>
          <cell r="L18">
            <v>44</v>
          </cell>
          <cell r="M18">
            <v>44</v>
          </cell>
        </row>
        <row r="19">
          <cell r="E19" t="str">
            <v>LESTE MOOCA</v>
          </cell>
          <cell r="F19">
            <v>190895.0149999992</v>
          </cell>
          <cell r="H19" t="str">
            <v>LESTE TATUAPE</v>
          </cell>
          <cell r="I19">
            <v>13741.719999999994</v>
          </cell>
          <cell r="K19" t="str">
            <v>OSASCO</v>
          </cell>
          <cell r="L19">
            <v>35</v>
          </cell>
          <cell r="M19">
            <v>35</v>
          </cell>
        </row>
        <row r="20">
          <cell r="E20" t="str">
            <v>LESTE PENHA</v>
          </cell>
          <cell r="F20">
            <v>126001.7799999999</v>
          </cell>
          <cell r="H20" t="str">
            <v>MOGI</v>
          </cell>
          <cell r="I20">
            <v>5865.7599999999993</v>
          </cell>
          <cell r="K20" t="str">
            <v>PIRITUBA</v>
          </cell>
          <cell r="L20">
            <v>20</v>
          </cell>
          <cell r="M20">
            <v>20</v>
          </cell>
        </row>
        <row r="21">
          <cell r="E21" t="str">
            <v>LESTE TATUAPE</v>
          </cell>
          <cell r="F21">
            <v>140208.75999999949</v>
          </cell>
          <cell r="H21" t="str">
            <v>NORTE</v>
          </cell>
          <cell r="I21">
            <v>23232.1</v>
          </cell>
          <cell r="K21" t="str">
            <v>SANTO ANDRE</v>
          </cell>
          <cell r="L21">
            <v>32</v>
          </cell>
          <cell r="M21">
            <v>32</v>
          </cell>
        </row>
        <row r="22">
          <cell r="E22" t="str">
            <v>MOGI</v>
          </cell>
          <cell r="F22">
            <v>67490.080000000045</v>
          </cell>
          <cell r="H22" t="str">
            <v>OSASCO</v>
          </cell>
          <cell r="I22">
            <v>19803.94999999999</v>
          </cell>
          <cell r="K22" t="str">
            <v>SBC</v>
          </cell>
          <cell r="L22">
            <v>28</v>
          </cell>
          <cell r="M22">
            <v>28</v>
          </cell>
        </row>
        <row r="23">
          <cell r="E23" t="str">
            <v>NORTE</v>
          </cell>
          <cell r="F23">
            <v>233973.21999999901</v>
          </cell>
          <cell r="H23" t="str">
            <v>PIRITUBA</v>
          </cell>
          <cell r="I23">
            <v>9069.65</v>
          </cell>
          <cell r="K23" t="str">
            <v>SJC</v>
          </cell>
          <cell r="L23">
            <v>20</v>
          </cell>
          <cell r="M23">
            <v>20</v>
          </cell>
        </row>
        <row r="24">
          <cell r="E24" t="str">
            <v>OSASCO</v>
          </cell>
          <cell r="F24">
            <v>304475.37500000017</v>
          </cell>
          <cell r="H24" t="str">
            <v>SANTO ANDRE</v>
          </cell>
          <cell r="I24">
            <v>16650.419999999998</v>
          </cell>
          <cell r="K24" t="str">
            <v>SJC/VALE</v>
          </cell>
          <cell r="L24">
            <v>28</v>
          </cell>
          <cell r="M24">
            <v>28</v>
          </cell>
        </row>
        <row r="25">
          <cell r="E25" t="str">
            <v>PIRITUBA</v>
          </cell>
          <cell r="F25">
            <v>112939.21999999965</v>
          </cell>
          <cell r="H25" t="str">
            <v>SBC</v>
          </cell>
          <cell r="I25">
            <v>18462.34</v>
          </cell>
          <cell r="K25" t="str">
            <v>Total Geral</v>
          </cell>
          <cell r="L25">
            <v>455</v>
          </cell>
          <cell r="M25">
            <v>455</v>
          </cell>
        </row>
        <row r="26">
          <cell r="E26" t="str">
            <v>SANTO ANDRE</v>
          </cell>
          <cell r="F26">
            <v>173369.35999999978</v>
          </cell>
          <cell r="H26" t="str">
            <v>SJC</v>
          </cell>
          <cell r="I26">
            <v>8027.9999999999991</v>
          </cell>
        </row>
        <row r="27">
          <cell r="E27" t="str">
            <v>SBC</v>
          </cell>
          <cell r="F27">
            <v>244477.96999999936</v>
          </cell>
          <cell r="H27" t="str">
            <v>SJC/VALE</v>
          </cell>
          <cell r="I27">
            <v>7277.4499999999989</v>
          </cell>
        </row>
        <row r="28">
          <cell r="E28" t="str">
            <v>SJC</v>
          </cell>
          <cell r="F28">
            <v>75978.280000000057</v>
          </cell>
          <cell r="H28" t="str">
            <v>VENDEDOR INTERNO 1</v>
          </cell>
          <cell r="I28">
            <v>6480.75</v>
          </cell>
          <cell r="K28" t="str">
            <v>POSITIVAÇÃO GERAL</v>
          </cell>
        </row>
        <row r="29">
          <cell r="E29" t="str">
            <v>SJC/VALE</v>
          </cell>
          <cell r="F29">
            <v>56813.940000000111</v>
          </cell>
          <cell r="H29" t="str">
            <v>Total Geral</v>
          </cell>
          <cell r="I29">
            <v>323231.87999999977</v>
          </cell>
          <cell r="K29" t="str">
            <v>DATA</v>
          </cell>
          <cell r="L29" t="str" vm="1">
            <v>All</v>
          </cell>
        </row>
        <row r="30">
          <cell r="E30" t="str">
            <v>VENDEDOR INTERNO 1</v>
          </cell>
          <cell r="F30">
            <v>65317.66</v>
          </cell>
          <cell r="K30" t="str">
            <v>DES_TIPO_OPERACAO</v>
          </cell>
          <cell r="L30" t="str" vm="2">
            <v>(Vários itens)</v>
          </cell>
        </row>
        <row r="31">
          <cell r="E31" t="str">
            <v>Total Geral</v>
          </cell>
          <cell r="F31">
            <v>5074339.2199998768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Total Geral</v>
          </cell>
        </row>
        <row r="34">
          <cell r="K34" t="str">
            <v>VENDEDOR INTERNO 1</v>
          </cell>
          <cell r="L34">
            <v>65</v>
          </cell>
          <cell r="M34">
            <v>65</v>
          </cell>
        </row>
        <row r="35">
          <cell r="K35" t="str">
            <v>Total Geral</v>
          </cell>
          <cell r="L35">
            <v>65</v>
          </cell>
          <cell r="M35">
            <v>65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0">
          <cell r="E90">
            <v>372000</v>
          </cell>
          <cell r="F90">
            <v>132000</v>
          </cell>
        </row>
        <row r="91">
          <cell r="E91">
            <v>129000</v>
          </cell>
          <cell r="F91">
            <v>253000</v>
          </cell>
        </row>
        <row r="92">
          <cell r="E92">
            <v>37000</v>
          </cell>
          <cell r="F92">
            <v>75000</v>
          </cell>
        </row>
        <row r="93">
          <cell r="E93">
            <v>87000</v>
          </cell>
          <cell r="F93">
            <v>89000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20</v>
          </cell>
          <cell r="H136" t="str">
            <v>OBJETIVO ALCANÇADO</v>
          </cell>
          <cell r="I136">
            <v>0</v>
          </cell>
        </row>
        <row r="137">
          <cell r="E137">
            <v>36</v>
          </cell>
          <cell r="F137">
            <v>65</v>
          </cell>
          <cell r="H137" t="str">
            <v>B</v>
          </cell>
          <cell r="I137">
            <v>3</v>
          </cell>
        </row>
        <row r="138">
          <cell r="E138">
            <v>9</v>
          </cell>
          <cell r="F138">
            <v>22</v>
          </cell>
          <cell r="H138" t="str">
            <v>OBJETIVO ALCANÇADO</v>
          </cell>
          <cell r="I138">
            <v>0</v>
          </cell>
        </row>
        <row r="139">
          <cell r="E139">
            <v>9</v>
          </cell>
          <cell r="F139">
            <v>35</v>
          </cell>
          <cell r="H139" t="str">
            <v>OBJETIVO ALCANÇADO</v>
          </cell>
          <cell r="I139">
            <v>0</v>
          </cell>
        </row>
        <row r="140">
          <cell r="E140">
            <v>9</v>
          </cell>
          <cell r="F140">
            <v>54</v>
          </cell>
          <cell r="H140" t="str">
            <v>OBJETIVO ALCANÇADO</v>
          </cell>
          <cell r="I140">
            <v>0</v>
          </cell>
        </row>
        <row r="141">
          <cell r="E141">
            <v>9</v>
          </cell>
          <cell r="F141">
            <v>25</v>
          </cell>
          <cell r="H141" t="str">
            <v>OBJETIVO ALCANÇADO</v>
          </cell>
          <cell r="I141">
            <v>0</v>
          </cell>
        </row>
        <row r="142">
          <cell r="E142">
            <v>9</v>
          </cell>
          <cell r="F142">
            <v>32</v>
          </cell>
          <cell r="H142" t="str">
            <v>OBJETIVO ALCANÇADO</v>
          </cell>
          <cell r="I142">
            <v>0</v>
          </cell>
        </row>
        <row r="143">
          <cell r="E143">
            <v>9</v>
          </cell>
          <cell r="F143">
            <v>44</v>
          </cell>
          <cell r="H143" t="str">
            <v>OBJETIVO ALCANÇADO</v>
          </cell>
          <cell r="I143">
            <v>0</v>
          </cell>
        </row>
        <row r="144">
          <cell r="E144">
            <v>9</v>
          </cell>
          <cell r="F144">
            <v>21</v>
          </cell>
          <cell r="H144" t="str">
            <v>OBJETIVO ALCANÇADO</v>
          </cell>
          <cell r="I144">
            <v>0</v>
          </cell>
        </row>
        <row r="145">
          <cell r="E145">
            <v>9</v>
          </cell>
          <cell r="F145">
            <v>28</v>
          </cell>
          <cell r="H145" t="str">
            <v>OBJETIVO ALCANÇADO</v>
          </cell>
          <cell r="I145">
            <v>0</v>
          </cell>
        </row>
        <row r="146">
          <cell r="E146">
            <v>9</v>
          </cell>
          <cell r="F146">
            <v>19</v>
          </cell>
          <cell r="H146" t="str">
            <v>A</v>
          </cell>
          <cell r="I146">
            <v>1</v>
          </cell>
        </row>
        <row r="147">
          <cell r="E147">
            <v>9</v>
          </cell>
          <cell r="F147">
            <v>20</v>
          </cell>
          <cell r="H147" t="str">
            <v>OBJETIVO ALCANÇADO</v>
          </cell>
          <cell r="I147">
            <v>0</v>
          </cell>
        </row>
        <row r="148">
          <cell r="E148">
            <v>9</v>
          </cell>
          <cell r="F148">
            <v>26</v>
          </cell>
          <cell r="H148" t="str">
            <v>OBJETIVO ALCANÇADO</v>
          </cell>
          <cell r="I148">
            <v>0</v>
          </cell>
        </row>
        <row r="149">
          <cell r="E149">
            <v>9</v>
          </cell>
          <cell r="F149">
            <v>20</v>
          </cell>
          <cell r="H149" t="str">
            <v>OBJETIVO ALCANÇADO</v>
          </cell>
          <cell r="I149">
            <v>0</v>
          </cell>
        </row>
        <row r="150">
          <cell r="E150">
            <v>9</v>
          </cell>
          <cell r="F150">
            <v>20</v>
          </cell>
          <cell r="H150" t="str">
            <v>OBJETIVO ALCANÇADO</v>
          </cell>
          <cell r="I150">
            <v>0</v>
          </cell>
        </row>
        <row r="151">
          <cell r="E151">
            <v>9</v>
          </cell>
          <cell r="F151">
            <v>28</v>
          </cell>
          <cell r="H151" t="str">
            <v>OBJETIVO ALCANÇADO</v>
          </cell>
          <cell r="I151">
            <v>0</v>
          </cell>
        </row>
        <row r="152">
          <cell r="E152">
            <v>9</v>
          </cell>
          <cell r="F152">
            <v>21</v>
          </cell>
          <cell r="H152" t="str">
            <v>OBJETIVO ALCANÇADO</v>
          </cell>
          <cell r="I152">
            <v>0</v>
          </cell>
        </row>
        <row r="153">
          <cell r="E153">
            <v>9</v>
          </cell>
          <cell r="F153">
            <v>20</v>
          </cell>
          <cell r="H153" t="str">
            <v>OBJETIVO ALCANÇADO</v>
          </cell>
          <cell r="I153">
            <v>0</v>
          </cell>
        </row>
        <row r="154">
          <cell r="E154">
            <v>189</v>
          </cell>
          <cell r="F154">
            <v>520</v>
          </cell>
          <cell r="I154">
            <v>4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75978.280000000057</v>
          </cell>
          <cell r="H159" t="str">
            <v>A</v>
          </cell>
          <cell r="I159">
            <v>9021.719999999943</v>
          </cell>
        </row>
        <row r="160">
          <cell r="E160">
            <v>34425</v>
          </cell>
          <cell r="F160">
            <v>65317.66</v>
          </cell>
          <cell r="H160" t="str">
            <v>A</v>
          </cell>
          <cell r="I160">
            <v>11182.339999999997</v>
          </cell>
        </row>
        <row r="161">
          <cell r="E161">
            <v>153000</v>
          </cell>
          <cell r="F161">
            <v>320791.82000000047</v>
          </cell>
          <cell r="H161" t="str">
            <v>A</v>
          </cell>
          <cell r="I161">
            <v>19208.179999999527</v>
          </cell>
        </row>
        <row r="162">
          <cell r="E162">
            <v>146925</v>
          </cell>
          <cell r="F162">
            <v>304475.37500000017</v>
          </cell>
          <cell r="H162" t="str">
            <v>A</v>
          </cell>
          <cell r="I162">
            <v>22024.624999999825</v>
          </cell>
        </row>
        <row r="163">
          <cell r="E163">
            <v>124200</v>
          </cell>
          <cell r="F163">
            <v>251396.75999999963</v>
          </cell>
          <cell r="H163" t="str">
            <v>A</v>
          </cell>
          <cell r="I163">
            <v>24603.240000000369</v>
          </cell>
        </row>
        <row r="164">
          <cell r="E164">
            <v>91350</v>
          </cell>
          <cell r="F164">
            <v>190895.0149999992</v>
          </cell>
          <cell r="H164" t="str">
            <v>A</v>
          </cell>
          <cell r="I164">
            <v>12104.985000000801</v>
          </cell>
        </row>
        <row r="165">
          <cell r="E165">
            <v>76500</v>
          </cell>
          <cell r="F165">
            <v>173369.35999999978</v>
          </cell>
          <cell r="H165" t="str">
            <v>OBJETIVO ALCANÇADO</v>
          </cell>
          <cell r="I165">
            <v>0</v>
          </cell>
        </row>
        <row r="166">
          <cell r="E166">
            <v>110250</v>
          </cell>
          <cell r="F166">
            <v>233973.21999999901</v>
          </cell>
          <cell r="H166" t="str">
            <v>A</v>
          </cell>
          <cell r="I166">
            <v>11026.780000000988</v>
          </cell>
        </row>
        <row r="167">
          <cell r="E167">
            <v>54900</v>
          </cell>
          <cell r="F167">
            <v>93024.129999999917</v>
          </cell>
          <cell r="H167" t="str">
            <v>B</v>
          </cell>
          <cell r="I167">
            <v>10675.870000000083</v>
          </cell>
        </row>
        <row r="168">
          <cell r="E168">
            <v>24750</v>
          </cell>
          <cell r="F168">
            <v>56813.940000000111</v>
          </cell>
          <cell r="H168" t="str">
            <v>OBJETIVO ALCANÇADO</v>
          </cell>
          <cell r="I168">
            <v>0</v>
          </cell>
        </row>
        <row r="169">
          <cell r="E169">
            <v>41850</v>
          </cell>
          <cell r="F169">
            <v>86297.000000000015</v>
          </cell>
          <cell r="H169" t="str">
            <v>A</v>
          </cell>
          <cell r="I169">
            <v>6702.9999999999854</v>
          </cell>
        </row>
        <row r="170">
          <cell r="E170">
            <v>30375</v>
          </cell>
          <cell r="F170">
            <v>62470.590000000004</v>
          </cell>
          <cell r="H170" t="str">
            <v>A</v>
          </cell>
          <cell r="I170">
            <v>5029.4099999999962</v>
          </cell>
        </row>
        <row r="171">
          <cell r="E171">
            <v>36450</v>
          </cell>
          <cell r="F171">
            <v>77850.589999999909</v>
          </cell>
          <cell r="H171" t="str">
            <v>A</v>
          </cell>
          <cell r="I171">
            <v>3149.4100000000908</v>
          </cell>
        </row>
        <row r="172">
          <cell r="E172">
            <v>63900</v>
          </cell>
          <cell r="F172">
            <v>112939.21999999965</v>
          </cell>
          <cell r="H172" t="str">
            <v>B</v>
          </cell>
          <cell r="I172">
            <v>7760.7800000003481</v>
          </cell>
        </row>
        <row r="173">
          <cell r="E173">
            <v>65250</v>
          </cell>
          <cell r="F173">
            <v>126001.7799999999</v>
          </cell>
          <cell r="H173" t="str">
            <v>A</v>
          </cell>
          <cell r="I173">
            <v>18998.220000000103</v>
          </cell>
        </row>
        <row r="174">
          <cell r="E174">
            <v>119250</v>
          </cell>
          <cell r="F174">
            <v>244477.96999999936</v>
          </cell>
          <cell r="H174" t="str">
            <v>A</v>
          </cell>
          <cell r="I174">
            <v>20522.030000000639</v>
          </cell>
        </row>
        <row r="175">
          <cell r="E175">
            <v>36000</v>
          </cell>
          <cell r="F175">
            <v>67490.080000000045</v>
          </cell>
          <cell r="H175" t="str">
            <v>B</v>
          </cell>
          <cell r="I175">
            <v>509.9199999999546</v>
          </cell>
        </row>
        <row r="176">
          <cell r="E176">
            <v>66150</v>
          </cell>
          <cell r="F176">
            <v>140208.75999999949</v>
          </cell>
          <cell r="H176" t="str">
            <v>A</v>
          </cell>
          <cell r="I176">
            <v>6791.2400000005146</v>
          </cell>
        </row>
        <row r="177">
          <cell r="E177">
            <v>1313775</v>
          </cell>
          <cell r="F177">
            <v>2683771.5499999966</v>
          </cell>
          <cell r="I177">
            <v>189311.75000000314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VLOOKUP(Tabela2[[#This Row],[REFERENCIA]],'[1]BASE PYTHON'!$K:$N,'[1]BASE PYTHON'!L$1,0)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>
      <selection activeCell="O10" sqref="O10"/>
    </sheetView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0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9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75978.280000000057</v>
      </c>
      <c r="AO3" s="26" t="str" cm="1">
        <f t="array" ref="AO3">_xlfn.IFS(AN3&gt;=AJ3,"A",AN3&gt;=AK3,"B",AN3&gt;=AL3,"C",AN3&gt;=AM3,"D",TRUE,"NÃO ATINGIDO")</f>
        <v>B</v>
      </c>
      <c r="AP3" s="26" t="str" cm="1">
        <f t="array" ref="AP3">_xlfn.IFS(AO3="NÃO ATINGIDO","D",AO3="D","C",AO3="C","B",AO3="B","A",AO3="A","OBJETIVO ALCANÇADO")</f>
        <v>A</v>
      </c>
      <c r="AQ3" s="25" cm="1">
        <f t="array" ref="AQ3">_xlfn.IFS(AP3="D",MAX(AM3-AN3,0),AP3="C",MAX(AL3-AN3,0),AP3="B",MAX(AK3-AN3,0),AP3="A",MAX(AJ3-AN3,0),AP3="OBJETIVO ALCANÇADO",0)</f>
        <v>9021.719999999943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200230</v>
      </c>
      <c r="J4" s="4"/>
      <c r="K4" s="4"/>
      <c r="L4" s="4"/>
      <c r="M4" s="4"/>
      <c r="N4" s="4" t="s">
        <v>37</v>
      </c>
      <c r="O4" s="7">
        <f>SUM(O11:O17)</f>
        <v>549000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65</v>
      </c>
      <c r="AE4" s="31" t="str" cm="1">
        <f t="array" ref="AE4">_xlfn.IFS(AD4&gt;=Z4,"A",AD4&gt;=AA4,"B",AD4&gt;=AB4,"C",AD4&gt;=AC4,"D",TRUE,"NÃO ATINGIDO")</f>
        <v>C</v>
      </c>
      <c r="AF4" s="31" t="str" cm="1">
        <f t="array" ref="AF4">_xlfn.IFS(AE4="NÃO ATINGIDO","D",AE4="D","C",AE4="C","B",AE4="B","A",AE4="A","OBJETIVO ALCANÇADO")</f>
        <v>B</v>
      </c>
      <c r="AG4" s="31" cm="1">
        <f t="array" ref="AG4">_xlfn.IFS(AF4="D",MAX(AC4-AD4,0),AF4="C",MAX(AB4-AD4,0),AF4="B",MAX(AA4-AD4,0),AF4="A",MAX(Z4-AD4,0),AF4="OBJETIVO ALCANÇADO",0)</f>
        <v>3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65317.66</v>
      </c>
      <c r="AO4" s="26" t="str" cm="1">
        <f t="array" ref="AO4">_xlfn.IFS(AN4&gt;=AJ4,"A",AN4&gt;=AK4,"B",AN4&gt;=AL4,"C",AN4&gt;=AM4,"D",TRUE,"NÃO ATINGIDO")</f>
        <v>B</v>
      </c>
      <c r="AP4" s="26" t="str" cm="1">
        <f t="array" ref="AP4">_xlfn.IFS(AO4="NÃO ATINGIDO","D",AO4="D","C",AO4="C","B",AO4="B","A",AO4="A","OBJETIVO ALCANÇADO")</f>
        <v>A</v>
      </c>
      <c r="AQ4" s="25" cm="1">
        <f t="array" ref="AQ4">_xlfn.IFS(AP4="D",MAX(AM4-AN4,0),AP4="C",MAX(AL4-AN4,0),AP4="B",MAX(AK4-AN4,0),AP4="A",MAX(AJ4-AN4,0),AP4="OBJETIVO ALCANÇADO",0)</f>
        <v>11182.339999999997</v>
      </c>
    </row>
    <row r="5" spans="1:43" x14ac:dyDescent="0.25">
      <c r="A5" s="4"/>
      <c r="B5" s="4" t="s">
        <v>1</v>
      </c>
      <c r="C5" s="2">
        <f>SUM(D10:D36)</f>
        <v>5074339.2199999969</v>
      </c>
      <c r="D5" s="2"/>
      <c r="E5" s="4"/>
      <c r="F5" s="4"/>
      <c r="G5" s="4"/>
      <c r="H5" s="4" t="s">
        <v>1</v>
      </c>
      <c r="I5" s="7">
        <f>SUM(J10:J27)</f>
        <v>235763.16999999998</v>
      </c>
      <c r="J5" s="4"/>
      <c r="K5" s="4"/>
      <c r="L5" s="4"/>
      <c r="M5" s="4"/>
      <c r="N5" s="4" t="s">
        <v>1</v>
      </c>
      <c r="O5" s="7">
        <f>SUM(P11:P17)</f>
        <v>87468.709999999992</v>
      </c>
      <c r="P5" s="4"/>
      <c r="Q5" s="4"/>
      <c r="R5" s="4"/>
      <c r="S5" s="4"/>
      <c r="T5" s="4" t="s">
        <v>1</v>
      </c>
      <c r="U5" s="4">
        <f>SUM(V10:V26)</f>
        <v>455</v>
      </c>
      <c r="V5" s="4"/>
      <c r="W5" s="4"/>
      <c r="Y5" s="32" t="s">
        <v>8</v>
      </c>
      <c r="Z5" s="30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0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9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320791.82000000047</v>
      </c>
      <c r="AO5" s="26" t="str" cm="1">
        <f t="array" ref="AO5">_xlfn.IFS(AN5&gt;=AJ5,"A",AN5&gt;=AK5,"B",AN5&gt;=AL5,"C",AN5&gt;=AM5,"D",TRUE,"NÃO ATINGIDO")</f>
        <v>B</v>
      </c>
      <c r="AP5" s="26" t="str" cm="1">
        <f t="array" ref="AP5">_xlfn.IFS(AO5="NÃO ATINGIDO","D",AO5="D","C",AO5="C","B",AO5="B","A",AO5="A","OBJETIVO ALCANÇADO")</f>
        <v>A</v>
      </c>
      <c r="AQ5" s="25" cm="1">
        <f t="array" ref="AQ5">_xlfn.IFS(AP5="D",MAX(AM5-AN5,0),AP5="C",MAX(AL5-AN5,0),AP5="B",MAX(AK5-AN5,0),AP5="A",MAX(AJ5-AN5,0),AP5="OBJETIVO ALCANÇADO",0)</f>
        <v>19208.179999999527</v>
      </c>
    </row>
    <row r="6" spans="1:43" x14ac:dyDescent="0.25">
      <c r="A6" s="4"/>
      <c r="B6" s="4" t="s">
        <v>2</v>
      </c>
      <c r="C6" s="2">
        <f>C4-C5</f>
        <v>828160.78000000305</v>
      </c>
      <c r="D6" s="2"/>
      <c r="E6" s="4"/>
      <c r="F6" s="4"/>
      <c r="G6" s="4"/>
      <c r="H6" s="4" t="s">
        <v>2</v>
      </c>
      <c r="I6" s="7">
        <f>I4-I5</f>
        <v>-35533.169999999984</v>
      </c>
      <c r="J6" s="4"/>
      <c r="K6" s="4"/>
      <c r="L6" s="4"/>
      <c r="M6" s="4"/>
      <c r="N6" s="4" t="s">
        <v>2</v>
      </c>
      <c r="O6" s="7">
        <f>O4-O5</f>
        <v>461531.29000000004</v>
      </c>
      <c r="P6" s="4"/>
      <c r="Q6" s="4"/>
      <c r="R6" s="4"/>
      <c r="S6" s="4"/>
      <c r="T6" s="4" t="s">
        <v>2</v>
      </c>
      <c r="U6" s="4">
        <f>U4-U5</f>
        <v>-115</v>
      </c>
      <c r="V6" s="4"/>
      <c r="W6" s="4"/>
      <c r="Y6" s="33" t="s">
        <v>18</v>
      </c>
      <c r="Z6" s="30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0</v>
      </c>
      <c r="AE6" s="31" t="str" cm="1">
        <f t="array" ref="AE6">_xlfn.IFS(AD6&gt;=Z6,"A",AD6&gt;=AA6,"B",AD6&gt;=AB6,"C",AD6&gt;=AC6,"D",TRUE,"NÃO ATINGIDO")</f>
        <v>NÃO ATINGIDO</v>
      </c>
      <c r="AF6" s="31" t="str" cm="1">
        <f t="array" ref="AF6">_xlfn.IFS(AE6="NÃO ATINGIDO","D",AE6="D","C",AE6="C","B",AE6="B","A",AE6="A","OBJETIVO ALCANÇADO")</f>
        <v>D</v>
      </c>
      <c r="AG6" s="31" cm="1">
        <f t="array" ref="AG6">_xlfn.IFS(AF6="D",MAX(AC6-AD6,0),AF6="C",MAX(AB6-AD6,0),AF6="B",MAX(AA6-AD6,0),AF6="A",MAX(Z6-AD6,0),AF6="OBJETIVO ALCANÇADO",0)</f>
        <v>9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304475.37500000017</v>
      </c>
      <c r="AO6" s="26" t="str" cm="1">
        <f t="array" ref="AO6">_xlfn.IFS(AN6&gt;=AJ6,"A",AN6&gt;=AK6,"B",AN6&gt;=AL6,"C",AN6&gt;=AM6,"D",TRUE,"NÃO ATINGIDO")</f>
        <v>B</v>
      </c>
      <c r="AP6" s="26" t="str" cm="1">
        <f t="array" ref="AP6">_xlfn.IFS(AO6="NÃO ATINGIDO","D",AO6="D","C",AO6="C","B",AO6="B","A",AO6="A","OBJETIVO ALCANÇADO")</f>
        <v>A</v>
      </c>
      <c r="AQ6" s="25" cm="1">
        <f t="array" ref="AQ6">_xlfn.IFS(AP6="D",MAX(AM6-AN6,0),AP6="C",MAX(AL6-AN6,0),AP6="B",MAX(AK6-AN6,0),AP6="A",MAX(AJ6-AN6,0),AP6="OBJETIVO ALCANÇADO",0)</f>
        <v>22024.624999999825</v>
      </c>
    </row>
    <row r="7" spans="1:43" x14ac:dyDescent="0.25">
      <c r="A7" s="4"/>
      <c r="B7" s="4" t="s">
        <v>3</v>
      </c>
      <c r="C7" s="3">
        <f>1-(C6/C4)</f>
        <v>0.85969321812791133</v>
      </c>
      <c r="D7" s="2"/>
      <c r="E7" s="4"/>
      <c r="F7" s="4"/>
      <c r="G7" s="4"/>
      <c r="H7" s="4" t="s">
        <v>3</v>
      </c>
      <c r="I7" s="3">
        <f>1-(I6/I4)</f>
        <v>1.1774617689656894</v>
      </c>
      <c r="J7" s="4"/>
      <c r="K7" s="4"/>
      <c r="L7" s="4"/>
      <c r="M7" s="4"/>
      <c r="N7" s="4" t="s">
        <v>3</v>
      </c>
      <c r="O7" s="3">
        <f>1-(O6/O4)</f>
        <v>0.15932369763205823</v>
      </c>
      <c r="P7" s="4"/>
      <c r="Q7" s="4"/>
      <c r="R7" s="4"/>
      <c r="S7" s="4"/>
      <c r="T7" s="4" t="s">
        <v>3</v>
      </c>
      <c r="U7" s="3">
        <f>1-(U6/U4)</f>
        <v>1.3382352941176472</v>
      </c>
      <c r="V7" s="4"/>
      <c r="W7" s="4"/>
      <c r="Y7" s="32" t="s">
        <v>10</v>
      </c>
      <c r="Z7" s="30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0</v>
      </c>
      <c r="AE7" s="29" t="str" cm="1">
        <f t="array" ref="AE7">_xlfn.IFS(AD7&gt;=Z7,"A",AD7&gt;=AA7,"B",AD7&gt;=AB7,"C",AD7&gt;=AC7,"D",TRUE,"NÃO ATINGIDO")</f>
        <v>NÃO ATINGIDO</v>
      </c>
      <c r="AF7" s="29" t="str" cm="1">
        <f t="array" ref="AF7">_xlfn.IFS(AE7="NÃO ATINGIDO","D",AE7="D","C",AE7="C","B",AE7="B","A",AE7="A","OBJETIVO ALCANÇADO")</f>
        <v>D</v>
      </c>
      <c r="AG7" s="29" cm="1">
        <f t="array" ref="AG7">_xlfn.IFS(AF7="D",MAX(AC7-AD7,0),AF7="C",MAX(AB7-AD7,0),AF7="B",MAX(AA7-AD7,0),AF7="A",MAX(Z7-AD7,0),AF7="OBJETIVO ALCANÇADO",0)</f>
        <v>9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251396.75999999963</v>
      </c>
      <c r="AO7" s="26" t="str" cm="1">
        <f t="array" ref="AO7">_xlfn.IFS(AN7&gt;=AJ7,"A",AN7&gt;=AK7,"B",AN7&gt;=AL7,"C",AN7&gt;=AM7,"D",TRUE,"NÃO ATINGIDO")</f>
        <v>B</v>
      </c>
      <c r="AP7" s="26" t="str" cm="1">
        <f t="array" ref="AP7">_xlfn.IFS(AO7="NÃO ATINGIDO","D",AO7="D","C",AO7="C","B",AO7="B","A",AO7="A","OBJETIVO ALCANÇADO")</f>
        <v>A</v>
      </c>
      <c r="AQ7" s="25" cm="1">
        <f t="array" ref="AQ7">_xlfn.IFS(AP7="D",MAX(AM7-AN7,0),AP7="C",MAX(AL7-AN7,0),AP7="B",MAX(AK7-AN7,0),AP7="A",MAX(AJ7-AN7,0),AP7="OBJETIVO ALCANÇADO",0)</f>
        <v>24603.240000000369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0</v>
      </c>
      <c r="AE8" s="31" t="str" cm="1">
        <f t="array" ref="AE8">_xlfn.IFS(AD8&gt;=Z8,"A",AD8&gt;=AA8,"B",AD8&gt;=AB8,"C",AD8&gt;=AC8,"D",TRUE,"NÃO ATINGIDO")</f>
        <v>NÃO ATINGIDO</v>
      </c>
      <c r="AF8" s="31" t="str" cm="1">
        <f t="array" ref="AF8">_xlfn.IFS(AE8="NÃO ATINGIDO","D",AE8="D","C",AE8="C","B",AE8="B","A",AE8="A","OBJETIVO ALCANÇADO")</f>
        <v>D</v>
      </c>
      <c r="AG8" s="31" cm="1">
        <f t="array" ref="AG8">_xlfn.IFS(AF8="D",MAX(AC8-AD8,0),AF8="C",MAX(AB8-AD8,0),AF8="B",MAX(AA8-AD8,0),AF8="A",MAX(Z8-AD8,0),AF8="OBJETIVO ALCANÇADO",0)</f>
        <v>9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190895.0149999992</v>
      </c>
      <c r="AO8" s="26" t="str" cm="1">
        <f t="array" ref="AO8">_xlfn.IFS(AN8&gt;=AJ8,"A",AN8&gt;=AK8,"B",AN8&gt;=AL8,"C",AN8&gt;=AM8,"D",TRUE,"NÃO ATINGIDO")</f>
        <v>B</v>
      </c>
      <c r="AP8" s="26" t="str" cm="1">
        <f t="array" ref="AP8">_xlfn.IFS(AO8="NÃO ATINGIDO","D",AO8="D","C",AO8="C","B",AO8="B","A",AO8="A","OBJETIVO ALCANÇADO")</f>
        <v>A</v>
      </c>
      <c r="AQ8" s="25" cm="1">
        <f t="array" ref="AQ8">_xlfn.IFS(AP8="D",MAX(AM8-AN8,0),AP8="C",MAX(AL8-AN8,0),AP8="B",MAX(AK8-AN8,0),AP8="A",MAX(AJ8-AN8,0),AP8="OBJETIVO ALCANÇADO",0)</f>
        <v>12104.985000000801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52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0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9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173369.35999999978</v>
      </c>
      <c r="AO9" s="26" t="str" cm="1">
        <f t="array" ref="AO9">_xlfn.IFS(AN9&gt;=AJ9,"A",AN9&gt;=AK9,"B",AN9&gt;=AL9,"C",AN9&gt;=AM9,"D",TRUE,"NÃO ATINGIDO")</f>
        <v>A</v>
      </c>
      <c r="AP9" s="26" t="str" cm="1">
        <f t="array" ref="AP9">_xlfn.IFS(AO9="NÃO ATINGIDO","D",AO9="D","C",AO9="C","B",AO9="B","A",AO9="A","OBJETIVO ALCANÇADO")</f>
        <v>OBJETIVO ALCANÇADO</v>
      </c>
      <c r="AQ9" s="25" cm="1">
        <f t="array" ref="AQ9">_xlfn.IFS(AP9="D",MAX(AM9-AN9,0),AP9="C",MAX(AL9-AN9,0),AP9="B",MAX(AK9-AN9,0),AP9="A",MAX(AJ9-AN9,0),AP9="OBJETIVO ALCANÇADO",0)</f>
        <v>0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62470.590000000004</v>
      </c>
      <c r="E10" s="43">
        <f>Tabela13[[#This Row],[META A]]-Tabela13[[#This Row],[ATINGIDO]]</f>
        <v>5029.4099999999962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20000</v>
      </c>
      <c r="J10" s="19">
        <f>_xlfn.XLOOKUP(Tabela5[[#This Row],[REFERENCIA]],'[1]BASE PYTHON'!$H:$H,'[1]BASE PYTHON'!$I:$I,0)</f>
        <v>19803.94999999999</v>
      </c>
      <c r="K10" s="20">
        <f>Tabela5[[#This Row],[COMPROMISSO]]-Tabela5[[#This Row],[ATINGIDO]]</f>
        <v>196.05000000001019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VLOOKUP(Tabela2[[#This Row],[REFERENCIA]],'[1]BASE PYTHON'!$K:$N,'[1]BASE PYTHON'!L$1,0)</f>
        <v>20</v>
      </c>
      <c r="W10" s="17">
        <f>U10-V10</f>
        <v>0</v>
      </c>
      <c r="Y10" s="33" t="s">
        <v>17</v>
      </c>
      <c r="Z10" s="30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0</v>
      </c>
      <c r="AE10" s="31" t="str" cm="1">
        <f t="array" ref="AE10">_xlfn.IFS(AD10&gt;=Z10,"A",AD10&gt;=AA10,"B",AD10&gt;=AB10,"C",AD10&gt;=AC10,"D",TRUE,"NÃO ATINGIDO")</f>
        <v>NÃO ATINGIDO</v>
      </c>
      <c r="AF10" s="31" t="str" cm="1">
        <f t="array" ref="AF10">_xlfn.IFS(AE10="NÃO ATINGIDO","D",AE10="D","C",AE10="C","B",AE10="B","A",AE10="A","OBJETIVO ALCANÇADO")</f>
        <v>D</v>
      </c>
      <c r="AG10" s="31" cm="1">
        <f t="array" ref="AG10">_xlfn.IFS(AF10="D",MAX(AC10-AD10,0),AF10="C",MAX(AB10-AD10,0),AF10="B",MAX(AA10-AD10,0),AF10="A",MAX(Z10-AD10,0),AF10="OBJETIVO ALCANÇADO",0)</f>
        <v>9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233973.21999999901</v>
      </c>
      <c r="AO10" s="26" t="str" cm="1">
        <f t="array" ref="AO10">_xlfn.IFS(AN10&gt;=AJ10,"A",AN10&gt;=AK10,"B",AN10&gt;=AL10,"C",AN10&gt;=AM10,"D",TRUE,"NÃO ATINGIDO")</f>
        <v>B</v>
      </c>
      <c r="AP10" s="26" t="str" cm="1">
        <f t="array" ref="AP10">_xlfn.IFS(AO10="NÃO ATINGIDO","D",AO10="D","C",AO10="C","B",AO10="B","A",AO10="A","OBJETIVO ALCANÇADO")</f>
        <v>A</v>
      </c>
      <c r="AQ10" s="25" cm="1">
        <f t="array" ref="AQ10">_xlfn.IFS(AP10="D",MAX(AM10-AN10,0),AP10="C",MAX(AL10-AN10,0),AP10="B",MAX(AK10-AN10,0),AP10="A",MAX(AJ10-AN10,0),AP10="OBJETIVO ALCANÇADO",0)</f>
        <v>11026.780000000988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320791.82000000047</v>
      </c>
      <c r="E11" s="43">
        <f>Tabela13[[#This Row],[META A]]-Tabela13[[#This Row],[ATINGIDO]]</f>
        <v>19208.179999999527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16540</v>
      </c>
      <c r="J11" s="19">
        <f>_xlfn.XLOOKUP(Tabela5[[#This Row],[REFERENCIA]],'[1]BASE PYTHON'!$H:$H,'[1]BASE PYTHON'!$I:$I,0)</f>
        <v>23232.1</v>
      </c>
      <c r="K11" s="20">
        <f>Tabela5[[#This Row],[COMPROMISSO]]-Tabela5[[#This Row],[ATINGIDO]]</f>
        <v>-6692.0999999999985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3361</v>
      </c>
      <c r="Q11" s="2">
        <f>Tabela8[[#This Row],[COMPROMISSO]]-Tabela8[[#This Row],[ATINGIDO]]</f>
        <v>-3361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VLOOKUP(Tabela2[[#This Row],[REFERENCIA]],'[1]BASE PYTHON'!$K:$N,'[1]BASE PYTHON'!L$1,0)</f>
        <v>22</v>
      </c>
      <c r="W11" s="17">
        <f t="shared" ref="W11:W20" si="0">U11-V11</f>
        <v>-2</v>
      </c>
      <c r="Y11" s="32" t="s">
        <v>12</v>
      </c>
      <c r="Z11" s="30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0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9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93024.129999999917</v>
      </c>
      <c r="AO11" s="26" t="str" cm="1">
        <f t="array" ref="AO11">_xlfn.IFS(AN11&gt;=AJ11,"A",AN11&gt;=AK11,"B",AN11&gt;=AL11,"C",AN11&gt;=AM11,"D",TRUE,"NÃO ATINGIDO")</f>
        <v>C</v>
      </c>
      <c r="AP11" s="26" t="str" cm="1">
        <f t="array" ref="AP11">_xlfn.IFS(AO11="NÃO ATINGIDO","D",AO11="D","C",AO11="C","B",AO11="B","A",AO11="A","OBJETIVO ALCANÇADO")</f>
        <v>B</v>
      </c>
      <c r="AQ11" s="25" cm="1">
        <f t="array" ref="AQ11">_xlfn.IFS(AP11="D",MAX(AM11-AN11,0),AP11="C",MAX(AL11-AN11,0),AP11="B",MAX(AK11-AN11,0),AP11="A",MAX(AJ11-AN11,0),AP11="OBJETIVO ALCANÇADO",0)</f>
        <v>10675.870000000083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102</v>
      </c>
      <c r="E12" s="43">
        <f>Tabela13[[#This Row],[META A]]-Tabela13[[#This Row],[ATINGIDO]]</f>
        <v>-102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10430</v>
      </c>
      <c r="J12" s="19">
        <f>_xlfn.XLOOKUP(Tabela5[[#This Row],[REFERENCIA]],'[1]BASE PYTHON'!$H:$H,'[1]BASE PYTHON'!$I:$I,0)</f>
        <v>9069.65</v>
      </c>
      <c r="K12" s="20">
        <f>Tabela5[[#This Row],[COMPROMISSO]]-Tabela5[[#This Row],[ATINGIDO]]</f>
        <v>1360.3500000000004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VLOOKUP(Tabela2[[#This Row],[REFERENCIA]],'[1]BASE PYTHON'!$K:$N,'[1]BASE PYTHON'!L$1,0)</f>
        <v>19</v>
      </c>
      <c r="W12" s="17">
        <f t="shared" si="0"/>
        <v>1</v>
      </c>
      <c r="Y12" s="33" t="s">
        <v>23</v>
      </c>
      <c r="Z12" s="30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0</v>
      </c>
      <c r="AE12" s="31" t="str" cm="1">
        <f t="array" ref="AE12">_xlfn.IFS(AD12&gt;=Z12,"A",AD12&gt;=AA12,"B",AD12&gt;=AB12,"C",AD12&gt;=AC12,"D",TRUE,"NÃO ATINGIDO")</f>
        <v>NÃO ATINGIDO</v>
      </c>
      <c r="AF12" s="31" t="str" cm="1">
        <f t="array" ref="AF12">_xlfn.IFS(AE12="NÃO ATINGIDO","D",AE12="D","C",AE12="C","B",AE12="B","A",AE12="A","OBJETIVO ALCANÇADO")</f>
        <v>D</v>
      </c>
      <c r="AG12" s="31" cm="1">
        <f t="array" ref="AG12">_xlfn.IFS(AF12="D",MAX(AC12-AD12,0),AF12="C",MAX(AB12-AD12,0),AF12="B",MAX(AA12-AD12,0),AF12="A",MAX(Z12-AD12,0),AF12="OBJETIVO ALCANÇADO",0)</f>
        <v>9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56813.940000000111</v>
      </c>
      <c r="AO12" s="26" t="str" cm="1">
        <f t="array" ref="AO12">_xlfn.IFS(AN12&gt;=AJ12,"A",AN12&gt;=AK12,"B",AN12&gt;=AL12,"C",AN12&gt;=AM12,"D",TRUE,"NÃO ATINGIDO")</f>
        <v>A</v>
      </c>
      <c r="AP12" s="26" t="str" cm="1">
        <f t="array" ref="AP12">_xlfn.IFS(AO12="NÃO ATINGIDO","D",AO12="D","C",AO12="C","B",AO12="B","A",AO12="A","OBJETIVO ALCANÇADO")</f>
        <v>OBJETIVO ALCANÇADO</v>
      </c>
      <c r="AQ12" s="25" cm="1">
        <f t="array" ref="AQ12">_xlfn.IFS(AP12="D",MAX(AM12-AN12,0),AP12="C",MAX(AL12-AN12,0),AP12="B",MAX(AK12-AN12,0),AP12="A",MAX(AJ12-AN12,0),AP12="OBJETIVO ALCANÇADO",0)</f>
        <v>0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86297.000000000015</v>
      </c>
      <c r="E13" s="43">
        <f>Tabela13[[#This Row],[META A]]-Tabela13[[#This Row],[ATINGIDO]]</f>
        <v>6702.9999999999854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20690</v>
      </c>
      <c r="J13" s="19">
        <f>_xlfn.XLOOKUP(Tabela5[[#This Row],[REFERENCIA]],'[1]BASE PYTHON'!$H:$H,'[1]BASE PYTHON'!$I:$I,0)</f>
        <v>18462.34</v>
      </c>
      <c r="K13" s="20">
        <f>Tabela5[[#This Row],[COMPROMISSO]]-Tabela5[[#This Row],[ATINGIDO]]</f>
        <v>2227.66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30069.5</v>
      </c>
      <c r="Q13" s="2">
        <f>Tabela8[[#This Row],[COMPROMISSO]]-Tabela8[[#This Row],[ATINGIDO]]</f>
        <v>-30069.5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VLOOKUP(Tabela2[[#This Row],[REFERENCIA]],'[1]BASE PYTHON'!$K:$N,'[1]BASE PYTHON'!L$1,0)</f>
        <v>54</v>
      </c>
      <c r="W13" s="17">
        <f t="shared" si="0"/>
        <v>-34</v>
      </c>
      <c r="Y13" s="32" t="s">
        <v>9</v>
      </c>
      <c r="Z13" s="30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0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9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86297.000000000015</v>
      </c>
      <c r="AO13" s="26" t="str" cm="1">
        <f t="array" ref="AO13">_xlfn.IFS(AN13&gt;=AJ13,"A",AN13&gt;=AK13,"B",AN13&gt;=AL13,"C",AN13&gt;=AM13,"D",TRUE,"NÃO ATINGIDO")</f>
        <v>B</v>
      </c>
      <c r="AP13" s="26" t="str" cm="1">
        <f t="array" ref="AP13">_xlfn.IFS(AO13="NÃO ATINGIDO","D",AO13="D","C",AO13="C","B",AO13="B","A",AO13="A","OBJETIVO ALCANÇADO")</f>
        <v>A</v>
      </c>
      <c r="AQ13" s="25" cm="1">
        <f t="array" ref="AQ13">_xlfn.IFS(AP13="D",MAX(AM13-AN13,0),AP13="C",MAX(AL13-AN13,0),AP13="B",MAX(AK13-AN13,0),AP13="A",MAX(AJ13-AN13,0),AP13="OBJETIVO ALCANÇADO",0)</f>
        <v>6702.9999999999854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251396.75999999963</v>
      </c>
      <c r="E14" s="43">
        <f>Tabela13[[#This Row],[META A]]-Tabela13[[#This Row],[ATINGIDO]]</f>
        <v>24603.240000000369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8920</v>
      </c>
      <c r="J14" s="19">
        <f>_xlfn.XLOOKUP(Tabela5[[#This Row],[REFERENCIA]],'[1]BASE PYTHON'!$H:$H,'[1]BASE PYTHON'!$I:$I,0)</f>
        <v>13741.719999999994</v>
      </c>
      <c r="K14" s="20">
        <f>Tabela5[[#This Row],[COMPROMISSO]]-Tabela5[[#This Row],[ATINGIDO]]</f>
        <v>-4821.7199999999939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132000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2300.4</v>
      </c>
      <c r="Q14" s="2">
        <f>Tabela8[[#This Row],[COMPROMISSO]]-Tabela8[[#This Row],[ATINGIDO]]</f>
        <v>129699.6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VLOOKUP(Tabela2[[#This Row],[REFERENCIA]],'[1]BASE PYTHON'!$K:$N,'[1]BASE PYTHON'!L$1,0)</f>
        <v>26</v>
      </c>
      <c r="W14" s="17">
        <f t="shared" si="0"/>
        <v>-6</v>
      </c>
      <c r="Y14" s="33" t="s">
        <v>7</v>
      </c>
      <c r="Z14" s="30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0</v>
      </c>
      <c r="AE14" s="31" t="str" cm="1">
        <f t="array" ref="AE14">_xlfn.IFS(AD14&gt;=Z14,"A",AD14&gt;=AA14,"B",AD14&gt;=AB14,"C",AD14&gt;=AC14,"D",TRUE,"NÃO ATINGIDO")</f>
        <v>NÃO ATINGIDO</v>
      </c>
      <c r="AF14" s="31" t="str" cm="1">
        <f t="array" ref="AF14">_xlfn.IFS(AE14="NÃO ATINGIDO","D",AE14="D","C",AE14="C","B",AE14="B","A",AE14="A","OBJETIVO ALCANÇADO")</f>
        <v>D</v>
      </c>
      <c r="AG14" s="31" cm="1">
        <f t="array" ref="AG14">_xlfn.IFS(AF14="D",MAX(AC14-AD14,0),AF14="C",MAX(AB14-AD14,0),AF14="B",MAX(AA14-AD14,0),AF14="A",MAX(Z14-AD14,0),AF14="OBJETIVO ALCANÇADO",0)</f>
        <v>9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62470.590000000004</v>
      </c>
      <c r="AO14" s="26" t="str" cm="1">
        <f t="array" ref="AO14">_xlfn.IFS(AN14&gt;=AJ14,"A",AN14&gt;=AK14,"B",AN14&gt;=AL14,"C",AN14&gt;=AM14,"D",TRUE,"NÃO ATINGIDO")</f>
        <v>B</v>
      </c>
      <c r="AP14" s="26" t="str" cm="1">
        <f t="array" ref="AP14">_xlfn.IFS(AO14="NÃO ATINGIDO","D",AO14="D","C",AO14="C","B",AO14="B","A",AO14="A","OBJETIVO ALCANÇADO")</f>
        <v>A</v>
      </c>
      <c r="AQ14" s="25" cm="1">
        <f t="array" ref="AQ14">_xlfn.IFS(AP14="D",MAX(AM14-AN14,0),AP14="C",MAX(AL14-AN14,0),AP14="B",MAX(AK14-AN14,0),AP14="A",MAX(AJ14-AN14,0),AP14="OBJETIVO ALCANÇADO",0)</f>
        <v>5029.4099999999962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77850.589999999909</v>
      </c>
      <c r="E15" s="43">
        <f>Tabela13[[#This Row],[META A]]-Tabela13[[#This Row],[ATINGIDO]]</f>
        <v>3149.4100000000908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22510</v>
      </c>
      <c r="J15" s="19">
        <f>_xlfn.XLOOKUP(Tabela5[[#This Row],[REFERENCIA]],'[1]BASE PYTHON'!$H:$H,'[1]BASE PYTHON'!$I:$I,0)</f>
        <v>26804.570000000011</v>
      </c>
      <c r="K15" s="20">
        <f>Tabela5[[#This Row],[COMPROMISSO]]-Tabela5[[#This Row],[ATINGIDO]]</f>
        <v>-4294.5700000000106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253000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17609.66</v>
      </c>
      <c r="Q15" s="2">
        <f>Tabela8[[#This Row],[COMPROMISSO]]-Tabela8[[#This Row],[ATINGIDO]]</f>
        <v>235390.34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VLOOKUP(Tabela2[[#This Row],[REFERENCIA]],'[1]BASE PYTHON'!$K:$N,'[1]BASE PYTHON'!L$1,0)</f>
        <v>21</v>
      </c>
      <c r="W15" s="17">
        <f>U15-V15</f>
        <v>-1</v>
      </c>
      <c r="Y15" s="32" t="s">
        <v>11</v>
      </c>
      <c r="Z15" s="30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0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9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77850.589999999909</v>
      </c>
      <c r="AO15" s="26" t="str" cm="1">
        <f t="array" ref="AO15">_xlfn.IFS(AN15&gt;=AJ15,"A",AN15&gt;=AK15,"B",AN15&gt;=AL15,"C",AN15&gt;=AM15,"D",TRUE,"NÃO ATINGIDO")</f>
        <v>B</v>
      </c>
      <c r="AP15" s="26" t="str" cm="1">
        <f t="array" ref="AP15">_xlfn.IFS(AO15="NÃO ATINGIDO","D",AO15="D","C",AO15="C","B",AO15="B","A",AO15="A","OBJETIVO ALCANÇADO")</f>
        <v>A</v>
      </c>
      <c r="AQ15" s="25" cm="1">
        <f t="array" ref="AQ15">_xlfn.IFS(AP15="D",MAX(AM15-AN15,0),AP15="C",MAX(AL15-AN15,0),AP15="B",MAX(AK15-AN15,0),AP15="A",MAX(AJ15-AN15,0),AP15="OBJETIVO ALCANÇADO",0)</f>
        <v>3149.4100000000908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261108.89999999991</v>
      </c>
      <c r="E16" s="43">
        <f>Tabela13[[#This Row],[META A]]-Tabela13[[#This Row],[ATINGIDO]]</f>
        <v>88891.100000000093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11710</v>
      </c>
      <c r="J16" s="19">
        <f>_xlfn.XLOOKUP(Tabela5[[#This Row],[REFERENCIA]],'[1]BASE PYTHON'!$H:$H,'[1]BASE PYTHON'!$I:$I,0)</f>
        <v>16650.419999999998</v>
      </c>
      <c r="K16" s="20">
        <f>Tabela5[[#This Row],[COMPROMISSO]]-Tabela5[[#This Row],[ATINGIDO]]</f>
        <v>-4940.4199999999983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75000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483.95</v>
      </c>
      <c r="Q16" s="2">
        <f>Tabela8[[#This Row],[COMPROMISSO]]-Tabela8[[#This Row],[ATINGIDO]]</f>
        <v>74516.05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VLOOKUP(Tabela2[[#This Row],[REFERENCIA]],'[1]BASE PYTHON'!$K:$N,'[1]BASE PYTHON'!L$1,0)</f>
        <v>21</v>
      </c>
      <c r="W16" s="17">
        <f t="shared" si="0"/>
        <v>-1</v>
      </c>
      <c r="Y16" s="33" t="s">
        <v>19</v>
      </c>
      <c r="Z16" s="30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0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9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112939.21999999965</v>
      </c>
      <c r="AO16" s="26" t="str" cm="1">
        <f t="array" ref="AO16">_xlfn.IFS(AN16&gt;=AJ16,"A",AN16&gt;=AK16,"B",AN16&gt;=AL16,"C",AN16&gt;=AM16,"D",TRUE,"NÃO ATINGIDO")</f>
        <v>C</v>
      </c>
      <c r="AP16" s="26" t="str" cm="1">
        <f t="array" ref="AP16">_xlfn.IFS(AO16="NÃO ATINGIDO","D",AO16="D","C",AO16="C","B",AO16="B","A",AO16="A","OBJETIVO ALCANÇADO")</f>
        <v>B</v>
      </c>
      <c r="AQ16" s="25" cm="1">
        <f t="array" ref="AQ16">_xlfn.IFS(AP16="D",MAX(AM16-AN16,0),AP16="C",MAX(AL16-AN16,0),AP16="B",MAX(AK16-AN16,0),AP16="A",MAX(AJ16-AN16,0),AP16="OBJETIVO ALCANÇADO",0)</f>
        <v>7760.7800000003481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645986.02999999968</v>
      </c>
      <c r="E17" s="43">
        <f>Tabela13[[#This Row],[META A]]-Tabela13[[#This Row],[ATINGIDO]]</f>
        <v>-195986.02999999968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4830</v>
      </c>
      <c r="J17" s="19">
        <f>_xlfn.XLOOKUP(Tabela5[[#This Row],[REFERENCIA]],'[1]BASE PYTHON'!$H:$H,'[1]BASE PYTHON'!$I:$I,0)</f>
        <v>5865.7599999999993</v>
      </c>
      <c r="K17" s="20">
        <f>Tabela5[[#This Row],[COMPROMISSO]]-Tabela5[[#This Row],[ATINGIDO]]</f>
        <v>-1035.7599999999993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89000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33644.19999999999</v>
      </c>
      <c r="Q17" s="2">
        <f>Tabela8[[#This Row],[COMPROMISSO]]-Tabela8[[#This Row],[ATINGIDO]]</f>
        <v>55355.80000000001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VLOOKUP(Tabela2[[#This Row],[REFERENCIA]],'[1]BASE PYTHON'!$K:$N,'[1]BASE PYTHON'!L$1,0)</f>
        <v>25</v>
      </c>
      <c r="W17" s="17">
        <f t="shared" si="0"/>
        <v>-5</v>
      </c>
      <c r="Y17" s="32" t="s">
        <v>14</v>
      </c>
      <c r="Z17" s="30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0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9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126001.7799999999</v>
      </c>
      <c r="AO17" s="26" t="str" cm="1">
        <f t="array" ref="AO17">_xlfn.IFS(AN17&gt;=AJ17,"A",AN17&gt;=AK17,"B",AN17&gt;=AL17,"C",AN17&gt;=AM17,"D",TRUE,"NÃO ATINGIDO")</f>
        <v>B</v>
      </c>
      <c r="AP17" s="26" t="str" cm="1">
        <f t="array" ref="AP17">_xlfn.IFS(AO17="NÃO ATINGIDO","D",AO17="D","C",AO17="C","B",AO17="B","A",AO17="A","OBJETIVO ALCANÇADO")</f>
        <v>A</v>
      </c>
      <c r="AQ17" s="25" cm="1">
        <f t="array" ref="AQ17">_xlfn.IFS(AP17="D",MAX(AM17-AN17,0),AP17="C",MAX(AL17-AN17,0),AP17="B",MAX(AK17-AN17,0),AP17="A",MAX(AJ17-AN17,0),AP17="OBJETIVO ALCANÇADO",0)</f>
        <v>18998.220000000103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816833.8</v>
      </c>
      <c r="E18" s="43">
        <f>Tabela13[[#This Row],[META A]]-Tabela13[[#This Row],[ATINGIDO]]</f>
        <v>163166.19999999995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10020</v>
      </c>
      <c r="J18" s="19">
        <f>_xlfn.XLOOKUP(Tabela5[[#This Row],[REFERENCIA]],'[1]BASE PYTHON'!$H:$H,'[1]BASE PYTHON'!$I:$I,0)</f>
        <v>11939.229999999998</v>
      </c>
      <c r="K18" s="20">
        <f>Tabela5[[#This Row],[COMPROMISSO]]-Tabela5[[#This Row],[ATINGIDO]]</f>
        <v>-1919.2299999999977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VLOOKUP(Tabela2[[#This Row],[REFERENCIA]],'[1]BASE PYTHON'!$K:$N,'[1]BASE PYTHON'!L$1,0)</f>
        <v>44</v>
      </c>
      <c r="W18" s="17">
        <f t="shared" si="0"/>
        <v>-24</v>
      </c>
      <c r="Y18" s="33" t="s">
        <v>21</v>
      </c>
      <c r="Z18" s="30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0</v>
      </c>
      <c r="AE18" s="31" t="str" cm="1">
        <f t="array" ref="AE18">_xlfn.IFS(AD18&gt;=Z18,"A",AD18&gt;=AA18,"B",AD18&gt;=AB18,"C",AD18&gt;=AC18,"D",TRUE,"NÃO ATINGIDO")</f>
        <v>NÃO ATINGIDO</v>
      </c>
      <c r="AF18" s="31" t="str" cm="1">
        <f t="array" ref="AF18">_xlfn.IFS(AE18="NÃO ATINGIDO","D",AE18="D","C",AE18="C","B",AE18="B","A",AE18="A","OBJETIVO ALCANÇADO")</f>
        <v>D</v>
      </c>
      <c r="AG18" s="31" cm="1">
        <f t="array" ref="AG18">_xlfn.IFS(AF18="D",MAX(AC18-AD18,0),AF18="C",MAX(AB18-AD18,0),AF18="B",MAX(AA18-AD18,0),AF18="A",MAX(Z18-AD18,0),AF18="OBJETIVO ALCANÇADO",0)</f>
        <v>9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244477.96999999936</v>
      </c>
      <c r="AO18" s="26" t="str" cm="1">
        <f t="array" ref="AO18">_xlfn.IFS(AN18&gt;=AJ18,"A",AN18&gt;=AK18,"B",AN18&gt;=AL18,"C",AN18&gt;=AM18,"D",TRUE,"NÃO ATINGIDO")</f>
        <v>B</v>
      </c>
      <c r="AP18" s="26" t="str" cm="1">
        <f t="array" ref="AP18">_xlfn.IFS(AO18="NÃO ATINGIDO","D",AO18="D","C",AO18="C","B",AO18="B","A",AO18="A","OBJETIVO ALCANÇADO")</f>
        <v>A</v>
      </c>
      <c r="AQ18" s="25" cm="1">
        <f t="array" ref="AQ18">_xlfn.IFS(AP18="D",MAX(AM18-AN18,0),AP18="C",MAX(AL18-AN18,0),AP18="B",MAX(AK18-AN18,0),AP18="A",MAX(AJ18-AN18,0),AP18="OBJETIVO ALCANÇADO",0)</f>
        <v>20522.030000000639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55652.650000000009</v>
      </c>
      <c r="E19" s="43">
        <f>Tabela13[[#This Row],[META A]]-Tabela13[[#This Row],[ATINGIDO]]</f>
        <v>86347.349999999991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20000</v>
      </c>
      <c r="J19" s="19">
        <f>_xlfn.XLOOKUP(Tabela5[[#This Row],[REFERENCIA]],'[1]BASE PYTHON'!$H:$H,'[1]BASE PYTHON'!$I:$I,0)</f>
        <v>11443.519999999995</v>
      </c>
      <c r="K19" s="20">
        <f>Tabela5[[#This Row],[COMPROMISSO]]-Tabela5[[#This Row],[ATINGIDO]]</f>
        <v>8556.480000000005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VLOOKUP(Tabela2[[#This Row],[REFERENCIA]],'[1]BASE PYTHON'!$K:$N,'[1]BASE PYTHON'!L$1,0)</f>
        <v>35</v>
      </c>
      <c r="W19" s="17">
        <f t="shared" si="0"/>
        <v>-15</v>
      </c>
      <c r="Y19" s="32" t="s">
        <v>16</v>
      </c>
      <c r="Z19" s="30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0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9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67490.080000000045</v>
      </c>
      <c r="AO19" s="26" t="str" cm="1">
        <f t="array" ref="AO19">_xlfn.IFS(AN19&gt;=AJ19,"A",AN19&gt;=AK19,"B",AN19&gt;=AL19,"C",AN19&gt;=AM19,"D",TRUE,"NÃO ATINGIDO")</f>
        <v>C</v>
      </c>
      <c r="AP19" s="26" t="str" cm="1">
        <f t="array" ref="AP19">_xlfn.IFS(AO19="NÃO ATINGIDO","D",AO19="D","C",AO19="C","B",AO19="B","A",AO19="A","OBJETIVO ALCANÇADO")</f>
        <v>B</v>
      </c>
      <c r="AQ19" s="25" cm="1">
        <f t="array" ref="AQ19">_xlfn.IFS(AP19="D",MAX(AM19-AN19,0),AP19="C",MAX(AL19-AN19,0),AP19="B",MAX(AK19-AN19,0),AP19="A",MAX(AJ19-AN19,0),AP19="OBJETIVO ALCANÇADO",0)</f>
        <v>509.9199999999546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316150.64000000007</v>
      </c>
      <c r="E20" s="43">
        <f>Tabela13[[#This Row],[META A]]-Tabela13[[#This Row],[ATINGIDO]]</f>
        <v>263849.35999999993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12140</v>
      </c>
      <c r="J20" s="19">
        <f>_xlfn.XLOOKUP(Tabela5[[#This Row],[REFERENCIA]],'[1]BASE PYTHON'!$H:$H,'[1]BASE PYTHON'!$I:$I,0)</f>
        <v>17482.909999999996</v>
      </c>
      <c r="K20" s="20">
        <f>Tabela5[[#This Row],[COMPROMISSO]]-Tabela5[[#This Row],[ATINGIDO]]</f>
        <v>-5342.9099999999962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VLOOKUP(Tabela2[[#This Row],[REFERENCIA]],'[1]BASE PYTHON'!$K:$N,'[1]BASE PYTHON'!L$1,0)</f>
        <v>20</v>
      </c>
      <c r="W20" s="17">
        <f t="shared" si="0"/>
        <v>0</v>
      </c>
      <c r="Y20" s="33" t="s">
        <v>15</v>
      </c>
      <c r="Z20" s="30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0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9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140208.75999999949</v>
      </c>
      <c r="AO20" s="26" t="str" cm="1">
        <f t="array" ref="AO20">_xlfn.IFS(AN20&gt;=AJ20,"A",AN20&gt;=AK20,"B",AN20&gt;=AL20,"C",AN20&gt;=AM20,"D",TRUE,"NÃO ATINGIDO")</f>
        <v>B</v>
      </c>
      <c r="AP20" s="26" t="str" cm="1">
        <f t="array" ref="AP20">_xlfn.IFS(AO20="NÃO ATINGIDO","D",AO20="D","C",AO20="C","B",AO20="B","A",AO20="A","OBJETIVO ALCANÇADO")</f>
        <v>A</v>
      </c>
      <c r="AQ20" s="25" cm="1">
        <f t="array" ref="AQ20">_xlfn.IFS(AP20="D",MAX(AM20-AN20,0),AP20="C",MAX(AL20-AN20,0),AP20="B",MAX(AK20-AN20,0),AP20="A",MAX(AJ20-AN20,0),AP20="OBJETIVO ALCANÇADO",0)</f>
        <v>6791.2400000005146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293729.78999999986</v>
      </c>
      <c r="E21" s="43">
        <f>Tabela13[[#This Row],[META A]]-Tabela13[[#This Row],[ATINGIDO]]</f>
        <v>186270.21000000014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8900</v>
      </c>
      <c r="J21" s="19">
        <f>_xlfn.XLOOKUP(Tabela5[[#This Row],[REFERENCIA]],'[1]BASE PYTHON'!$H:$H,'[1]BASE PYTHON'!$I:$I,0)</f>
        <v>8545.5799999999981</v>
      </c>
      <c r="K21" s="20">
        <f>Tabela5[[#This Row],[COMPROMISSO]]-Tabela5[[#This Row],[ATINGIDO]]</f>
        <v>354.42000000000189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VLOOKUP(Tabela2[[#This Row],[REFERENCIA]],'[1]BASE PYTHON'!$K:$N,'[1]BASE PYTHON'!L$1,0)</f>
        <v>20</v>
      </c>
      <c r="W21" s="17">
        <f t="shared" ref="W21:W26" si="1">U21-V21</f>
        <v>0</v>
      </c>
      <c r="Y21" s="36" t="s">
        <v>60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65</v>
      </c>
      <c r="AE21" s="37"/>
      <c r="AF21" s="37"/>
      <c r="AG21" s="38">
        <f>SUBTOTAL(109,Planilha1!$AG$3:$AG$20)</f>
        <v>156</v>
      </c>
      <c r="AI21" t="s">
        <v>60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2683771.5499999966</v>
      </c>
      <c r="AO21" s="4"/>
      <c r="AP21" s="4"/>
      <c r="AQ21" s="27">
        <f>SUBTOTAL(109,Tabela817[FALTA])</f>
        <v>189311.75000000314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93024.129999999917</v>
      </c>
      <c r="E22" s="43">
        <f>Tabela13[[#This Row],[META A]]-Tabela13[[#This Row],[ATINGIDO]]</f>
        <v>28975.870000000083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6600</v>
      </c>
      <c r="J22" s="19">
        <f>_xlfn.XLOOKUP(Tabela5[[#This Row],[REFERENCIA]],'[1]BASE PYTHON'!$H:$H,'[1]BASE PYTHON'!$I:$I,0)</f>
        <v>15529.049999999997</v>
      </c>
      <c r="K22" s="20">
        <f>Tabela5[[#This Row],[COMPROMISSO]]-Tabela5[[#This Row],[ATINGIDO]]</f>
        <v>-8929.0499999999975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695196.28000000026</v>
      </c>
      <c r="Q22" s="7">
        <f>O22-P22</f>
        <v>-127196.28000000026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VLOOKUP(Tabela2[[#This Row],[REFERENCIA]],'[1]BASE PYTHON'!$K:$N,'[1]BASE PYTHON'!L$1,0)</f>
        <v>32</v>
      </c>
      <c r="W22" s="17">
        <f t="shared" si="1"/>
        <v>-12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190895.0149999992</v>
      </c>
      <c r="E23" s="43">
        <f>Tabela13[[#This Row],[META A]]-Tabela13[[#This Row],[ATINGIDO]]</f>
        <v>12104.985000000801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6690</v>
      </c>
      <c r="J23" s="19">
        <f>_xlfn.XLOOKUP(Tabela5[[#This Row],[REFERENCIA]],'[1]BASE PYTHON'!$H:$H,'[1]BASE PYTHON'!$I:$I,0)</f>
        <v>10844.970000000001</v>
      </c>
      <c r="K23" s="20">
        <f>Tabela5[[#This Row],[COMPROMISSO]]-Tabela5[[#This Row],[ATINGIDO]]</f>
        <v>-4154.9700000000012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641093.54999999923</v>
      </c>
      <c r="Q23" s="7">
        <f>O23-P23</f>
        <v>68906.450000000768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VLOOKUP(Tabela2[[#This Row],[REFERENCIA]],'[1]BASE PYTHON'!$K:$N,'[1]BASE PYTHON'!L$1,0)</f>
        <v>28</v>
      </c>
      <c r="W23" s="17">
        <f t="shared" si="1"/>
        <v>-8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126001.7799999999</v>
      </c>
      <c r="E24" s="43">
        <f>Tabela13[[#This Row],[META A]]-Tabela13[[#This Row],[ATINGIDO]]</f>
        <v>18998.220000000103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4310</v>
      </c>
      <c r="J24" s="19">
        <f>_xlfn.XLOOKUP(Tabela5[[#This Row],[REFERENCIA]],'[1]BASE PYTHON'!$H:$H,'[1]BASE PYTHON'!$I:$I,0)</f>
        <v>6480.75</v>
      </c>
      <c r="K24" s="20">
        <f>Tabela5[[#This Row],[COMPROMISSO]]-Tabela5[[#This Row],[ATINGIDO]]</f>
        <v>-2170.75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796848.35999999952</v>
      </c>
      <c r="Q24" s="7">
        <f>O24-P24</f>
        <v>-86848.35999999952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VLOOKUP(Tabela2[[#This Row],[REFERENCIA]],'[1]BASE PYTHON'!$K:$N,'[1]BASE PYTHON'!L$1,0)</f>
        <v>20</v>
      </c>
      <c r="W24" s="17">
        <f t="shared" si="1"/>
        <v>0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140208.75999999949</v>
      </c>
      <c r="E25" s="43">
        <f>Tabela13[[#This Row],[META A]]-Tabela13[[#This Row],[ATINGIDO]]</f>
        <v>6791.2400000005146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5620</v>
      </c>
      <c r="J25" s="19">
        <f>_xlfn.XLOOKUP(Tabela5[[#This Row],[REFERENCIA]],'[1]BASE PYTHON'!$H:$H,'[1]BASE PYTHON'!$I:$I,0)</f>
        <v>8027.9999999999991</v>
      </c>
      <c r="K25" s="20">
        <f>Tabela5[[#This Row],[COMPROMISSO]]-Tabela5[[#This Row],[ATINGIDO]]</f>
        <v>-2407.9999999999991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87468.710000000021</v>
      </c>
      <c r="Q25" s="7">
        <f>O25-P25</f>
        <v>338531.29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VLOOKUP(Tabela2[[#This Row],[REFERENCIA]],'[1]BASE PYTHON'!$K:$N,'[1]BASE PYTHON'!L$1,0)</f>
        <v>20</v>
      </c>
      <c r="W25" s="17">
        <f t="shared" si="1"/>
        <v>0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67490.080000000045</v>
      </c>
      <c r="E26" s="43">
        <f>Tabela13[[#This Row],[META A]]-Tabela13[[#This Row],[ATINGIDO]]</f>
        <v>12509.919999999955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3650</v>
      </c>
      <c r="J26" s="19">
        <f>_xlfn.XLOOKUP(Tabela5[[#This Row],[REFERENCIA]],'[1]BASE PYTHON'!$H:$H,'[1]BASE PYTHON'!$I:$I,0)</f>
        <v>7277.4499999999989</v>
      </c>
      <c r="K26" s="20">
        <f>Tabela5[[#This Row],[COMPROMISSO]]-Tabela5[[#This Row],[ATINGIDO]]</f>
        <v>-3627.4499999999989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VLOOKUP(Tabela2[[#This Row],[REFERENCIA]],'[1]BASE PYTHON'!$K:$N,'[1]BASE PYTHON'!L$1,0)</f>
        <v>28</v>
      </c>
      <c r="W26" s="17">
        <f t="shared" si="1"/>
        <v>-8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233973.21999999901</v>
      </c>
      <c r="E27" s="43">
        <f>Tabela13[[#This Row],[META A]]-Tabela13[[#This Row],[ATINGIDO]]</f>
        <v>11026.780000000988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6670</v>
      </c>
      <c r="J27" s="19">
        <f>_xlfn.XLOOKUP(Tabela5[[#This Row],[REFERENCIA]],'[1]BASE PYTHON'!$H:$H,'[1]BASE PYTHON'!$I:$I,0)</f>
        <v>4561.2000000000007</v>
      </c>
      <c r="K27" s="20">
        <f>Tabela5[[#This Row],[COMPROMISSO]]-Tabela5[[#This Row],[ATINGIDO]]</f>
        <v>2108.7999999999993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304475.37500000017</v>
      </c>
      <c r="E28" s="43">
        <f>Tabela13[[#This Row],[META A]]-Tabela13[[#This Row],[ATINGIDO]]</f>
        <v>22024.624999999825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112939.21999999965</v>
      </c>
      <c r="E30" s="43">
        <f>Tabela13[[#This Row],[META A]]-Tabela13[[#This Row],[ATINGIDO]]</f>
        <v>29060.780000000348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3].[SEMANAL]","[Intervalo 3].[SEMANAL].&amp;[1]"),0)</f>
        <v>209</v>
      </c>
      <c r="W30" s="6">
        <f>U30-V30</f>
        <v>-144.23809523809524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173369.35999999978</v>
      </c>
      <c r="E31" s="43">
        <f>Tabela13[[#This Row],[META A]]-Tabela13[[#This Row],[ATINGIDO]]</f>
        <v>-3369.3599999997823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415312.13000000152</v>
      </c>
      <c r="K31" s="7">
        <f>I31-J31</f>
        <v>140783.10809523659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3].[SEMANAL]","[Intervalo 3].[SEMANAL].&amp;[2]"),0)</f>
        <v>132</v>
      </c>
      <c r="W31" s="6">
        <f t="shared" ref="W31:W33" si="2">U31-V31</f>
        <v>-67.238095238095241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244477.96999999936</v>
      </c>
      <c r="E32" s="43">
        <f>Tabela13[[#This Row],[META A]]-Tabela13[[#This Row],[ATINGIDO]]</f>
        <v>20522.030000000639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545254.94000000297</v>
      </c>
      <c r="K32" s="7">
        <f t="shared" ref="K32:K34" si="3">I32-J32</f>
        <v>10840.298095235135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3].[SEMANAL]","[Intervalo 3].[SEMANAL].&amp;[3]"),0)</f>
        <v>86</v>
      </c>
      <c r="W32" s="6">
        <f t="shared" si="2"/>
        <v>-5.047619047619051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75978.280000000057</v>
      </c>
      <c r="E33" s="43">
        <f>Tabela13[[#This Row],[META A]]-Tabela13[[#This Row],[ATINGIDO]]</f>
        <v>9021.719999999943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648237.12000000419</v>
      </c>
      <c r="K33" s="7">
        <f t="shared" si="3"/>
        <v>46881.927619043388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3].[SEMANAL]","[Intervalo 3].[SEMANAL].&amp;[4]"),0)</f>
        <v>26</v>
      </c>
      <c r="W33" s="6">
        <f t="shared" si="2"/>
        <v>54.952380952380949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56813.940000000111</v>
      </c>
      <c r="E34" s="43">
        <f>Tabela13[[#This Row],[META A]]-Tabela13[[#This Row],[ATINGIDO]]</f>
        <v>-1813.9400000001115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659752.69500000682</v>
      </c>
      <c r="K34" s="7">
        <f t="shared" si="3"/>
        <v>35366.352619040757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2</v>
      </c>
      <c r="W34" s="6">
        <f>U34-V34</f>
        <v>37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65317.66</v>
      </c>
      <c r="E35" s="43">
        <f>Tabela13[[#This Row],[META A]]-Tabela13[[#This Row],[ATINGIDO]]</f>
        <v>11182.339999999997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224319.64999999956</v>
      </c>
      <c r="K35" s="7">
        <f>I35-J35</f>
        <v>192751.77857142902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1003.86</v>
      </c>
      <c r="E36" s="43">
        <f>Tabela13[[#This Row],[META A]]-Tabela13[[#This Row],[ATINGIDO]]</f>
        <v>-3.8600000000000136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616762.45000000391</v>
      </c>
      <c r="E40" s="7">
        <f>C40-D40</f>
        <v>507523.26428571041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1291382.8849999958</v>
      </c>
      <c r="E41" s="7">
        <f t="shared" ref="E41:E43" si="4">C41-D41</f>
        <v>-167097.1707142815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1327217.3399999917</v>
      </c>
      <c r="E42" s="7">
        <f t="shared" si="4"/>
        <v>78139.802857151255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1515744.6649999928</v>
      </c>
      <c r="E43" s="7">
        <f t="shared" si="4"/>
        <v>-110387.52214284986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323231.88000000117</v>
      </c>
      <c r="E44" s="7">
        <f t="shared" ref="E44" si="5">C44-D44</f>
        <v>519982.40571428451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2026-09-29T10:29:53Z</dcterms:modified>
</cp:coreProperties>
</file>