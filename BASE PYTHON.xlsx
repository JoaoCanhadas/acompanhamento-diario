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0504E62-E970-44C8-BC55-3F38B6FC004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3" i="2"/>
  <c r="V34" i="2"/>
  <c r="V31" i="2"/>
  <c r="V32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3" i="2"/>
  <c r="J34" i="2"/>
  <c r="P22" i="2"/>
  <c r="P21" i="2"/>
  <c r="D44" i="2"/>
  <c r="D40" i="2"/>
  <c r="P24" i="2"/>
  <c r="J32" i="2"/>
  <c r="J31" i="2"/>
  <c r="P23" i="2"/>
  <c r="J35" i="2"/>
  <c r="D41" i="2"/>
  <c r="D42" i="2"/>
  <c r="P25" i="2"/>
  <c r="J33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<sst xmlns="http://schemas.openxmlformats.org/spreadsheetml/2006/main" count="215" uniqueCount="54">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</sst>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50860.459999999977</v>
          </cell>
          <cell r="H5" t="str">
            <v>CENTRO</v>
          </cell>
          <cell r="I5">
            <v>4856.7000000000007</v>
          </cell>
        </row>
        <row r="6">
          <cell r="E6" t="str">
            <v>CENTRO</v>
          </cell>
          <cell r="F6">
            <v>306749.96999999962</v>
          </cell>
          <cell r="H6" t="str">
            <v>INTERLAGOS</v>
          </cell>
          <cell r="I6">
            <v>969.4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JUNDIAI</v>
          </cell>
          <cell r="I7">
            <v>171.48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KEY SP</v>
          </cell>
          <cell r="I8">
            <v>2080.6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65158.469999999965</v>
          </cell>
          <cell r="H9" t="str">
            <v>LESTE</v>
          </cell>
          <cell r="I9">
            <v>771.3</v>
          </cell>
          <cell r="K9" t="str">
            <v>CENTRO</v>
          </cell>
          <cell r="N9">
            <v>49</v>
          </cell>
        </row>
        <row r="10">
          <cell r="E10" t="str">
            <v>INTERLAGOS</v>
          </cell>
          <cell r="F10">
            <v>213597.55999999988</v>
          </cell>
          <cell r="H10" t="str">
            <v>LESTE MOOCA</v>
          </cell>
          <cell r="I10">
            <v>1351.3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63542.360000000081</v>
          </cell>
          <cell r="H11" t="str">
            <v>Total Geral</v>
          </cell>
          <cell r="I11">
            <v>10200.779999999999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281298.46999999991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289653.48000000004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107460.07999999997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K16" t="str">
            <v>LESTE TATUAPE</v>
          </cell>
          <cell r="N16">
            <v>44</v>
          </cell>
        </row>
        <row r="17">
          <cell r="E17" t="str">
            <v>KEY SP</v>
          </cell>
          <cell r="F17">
            <v>302147.56999999995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335556.29999999958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88046.659999999916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157351.63499999949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111025.40999999999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111809.97999999968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61909.870000000177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204894.11999999947</v>
          </cell>
          <cell r="K24" t="str">
            <v>SJC/VALE</v>
          </cell>
          <cell r="N24">
            <v>28</v>
          </cell>
        </row>
        <row r="25">
          <cell r="E25" t="str">
            <v>OSASCO</v>
          </cell>
          <cell r="F25">
            <v>271333.46499999968</v>
          </cell>
          <cell r="K25" t="str">
            <v>Total Geral</v>
          </cell>
          <cell r="N25">
            <v>646</v>
          </cell>
        </row>
        <row r="26">
          <cell r="E26" t="str">
            <v>PIRITUBA</v>
          </cell>
          <cell r="F26">
            <v>108703.64999999989</v>
          </cell>
        </row>
        <row r="27">
          <cell r="E27" t="str">
            <v>SANTO ANDRE</v>
          </cell>
          <cell r="F27">
            <v>136131.16999999998</v>
          </cell>
        </row>
        <row r="28">
          <cell r="E28" t="str">
            <v>SBC</v>
          </cell>
          <cell r="F28">
            <v>207544.25999999981</v>
          </cell>
        </row>
        <row r="29">
          <cell r="E29" t="str">
            <v>SJC</v>
          </cell>
          <cell r="F29">
            <v>72382.990000000049</v>
          </cell>
        </row>
        <row r="30">
          <cell r="E30" t="str">
            <v>SJC/VALE</v>
          </cell>
          <cell r="F30">
            <v>36745.17000000002</v>
          </cell>
        </row>
        <row r="31">
          <cell r="E31" t="str">
            <v>VENDEDOR INTERNO 1</v>
          </cell>
          <cell r="F31">
            <v>66010.880000000005</v>
          </cell>
        </row>
        <row r="32">
          <cell r="E32" t="str">
            <v>Total Geral</v>
          </cell>
          <cell r="F32">
            <v>4718520.3999999352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>
      <selection activeCell="F39" sqref="F39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4718520.3999999976</v>
      </c>
      <c r="D5" s="2"/>
      <c r="E5" s="4"/>
      <c r="F5" s="4"/>
      <c r="G5" s="4"/>
      <c r="H5" s="4" t="s">
        <v>1</v>
      </c>
      <c r="I5" s="7">
        <f>SUM(J10:J27)</f>
        <v>8120.18</v>
      </c>
      <c r="J5" s="4"/>
      <c r="K5" s="4"/>
      <c r="L5" s="4"/>
      <c r="M5" s="4"/>
      <c r="N5" s="4" t="s">
        <v>1</v>
      </c>
      <c r="O5" s="7">
        <f>SUM(P11:P17)</f>
        <v>2080.6</v>
      </c>
      <c r="P5" s="4"/>
      <c r="Q5" s="4"/>
      <c r="R5" s="4"/>
      <c r="S5" s="4"/>
      <c r="T5" s="4" t="s">
        <v>1</v>
      </c>
      <c r="U5" s="4">
        <f>SUM(V10:V26)</f>
        <v>646</v>
      </c>
      <c r="V5" s="4"/>
      <c r="W5" s="4"/>
    </row>
    <row r="6" spans="1:23" x14ac:dyDescent="0.25">
      <c r="A6" s="4"/>
      <c r="B6" s="4" t="s">
        <v>2</v>
      </c>
      <c r="C6" s="2">
        <f>C4-C5</f>
        <v>873979.60000000242</v>
      </c>
      <c r="D6" s="2"/>
      <c r="E6" s="4"/>
      <c r="F6" s="4"/>
      <c r="G6" s="4"/>
      <c r="H6" s="4" t="s">
        <v>2</v>
      </c>
      <c r="I6" s="7">
        <f>I4-I5</f>
        <v>191879.82</v>
      </c>
      <c r="J6" s="4"/>
      <c r="K6" s="4"/>
      <c r="L6" s="4"/>
      <c r="M6" s="4"/>
      <c r="N6" s="4" t="s">
        <v>2</v>
      </c>
      <c r="O6" s="7">
        <f>O4-O5</f>
        <v>-2080.6</v>
      </c>
      <c r="P6" s="4"/>
      <c r="Q6" s="4"/>
      <c r="R6" s="4"/>
      <c r="S6" s="4"/>
      <c r="T6" s="4" t="s">
        <v>2</v>
      </c>
      <c r="U6" s="4">
        <f>U4-U5</f>
        <v>112</v>
      </c>
      <c r="V6" s="4"/>
      <c r="W6" s="4"/>
    </row>
    <row r="7" spans="1:23" x14ac:dyDescent="0.25">
      <c r="A7" s="4"/>
      <c r="B7" s="4" t="s">
        <v>3</v>
      </c>
      <c r="C7" s="3">
        <f>1-(C6/C4)</f>
        <v>0.84372291461779125</v>
      </c>
      <c r="D7" s="2"/>
      <c r="E7" s="4"/>
      <c r="F7" s="4"/>
      <c r="G7" s="4"/>
      <c r="H7" s="4" t="s">
        <v>3</v>
      </c>
      <c r="I7" s="3">
        <f>1-(I6/I4)</f>
        <v>4.060089999999994E-2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0.85224274406332456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50860.459999999977</v>
      </c>
      <c r="E10" s="27">
        <f>Tabela13[[#This Row],[META A]]-Tabela13[[#This Row],[ATINGIDO]]</f>
        <v>13639.540000000023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19700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306749.96999999962</v>
      </c>
      <c r="E11" s="24">
        <f>Tabela13[[#This Row],[META A]]-Tabela13[[#This Row],[ATINGIDO]]</f>
        <v>18250.030000000377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14940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49</v>
      </c>
      <c r="W11" s="19">
        <f t="shared" ref="W11:W20" si="0">U11-V11</f>
        <v>3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14750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65158.469999999965</v>
      </c>
      <c r="E13" s="24">
        <f>Tabela13[[#This Row],[META A]]-Tabela13[[#This Row],[ATINGIDO]]</f>
        <v>24841.530000000035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213597.55999999988</v>
      </c>
      <c r="E14" s="27">
        <f>Tabela13[[#This Row],[META A]]-Tabela13[[#This Row],[ATINGIDO]]</f>
        <v>59402.440000000119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10330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63542.360000000081</v>
      </c>
      <c r="E15" s="24">
        <f>Tabela13[[#This Row],[META A]]-Tabela13[[#This Row],[ATINGIDO]]</f>
        <v>14457.639999999919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4856.7000000000007</v>
      </c>
      <c r="K15" s="23">
        <f>Tabela5[[#This Row],[COMPROMISSO]]-Tabela5[[#This Row],[ATINGIDO]]</f>
        <v>20823.3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2080.6</v>
      </c>
      <c r="Q15" s="2">
        <f t="shared" si="1"/>
        <v>-2080.6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281298.46999999991</v>
      </c>
      <c r="E16" s="27">
        <f>Tabela13[[#This Row],[META A]]-Tabela13[[#This Row],[ATINGIDO]]</f>
        <v>43701.530000000086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9690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289653.48000000004</v>
      </c>
      <c r="E17" s="24">
        <f>Tabela13[[#This Row],[META A]]-Tabela13[[#This Row],[ATINGIDO]]</f>
        <v>-119653.48000000004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7260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771.3</v>
      </c>
      <c r="K18" s="23">
        <f>Tabela5[[#This Row],[COMPROMISSO]]-Tabela5[[#This Row],[ATINGIDO]]</f>
        <v>9268.7000000000007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1351.3</v>
      </c>
      <c r="K19" s="23">
        <f>Tabela5[[#This Row],[COMPROMISSO]]-Tabela5[[#This Row],[ATINGIDO]]</f>
        <v>8828.7000000000007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969.4</v>
      </c>
      <c r="K20" s="23">
        <f>Tabela5[[#This Row],[COMPROMISSO]]-Tabela5[[#This Row],[ATINGIDO]]</f>
        <v>12270.6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335556.29999999958</v>
      </c>
      <c r="E21" s="24">
        <f>Tabela13[[#This Row],[META A]]-Tabela13[[#This Row],[ATINGIDO]]</f>
        <v>79443.700000000419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171.48</v>
      </c>
      <c r="K21" s="23">
        <f>Tabela5[[#This Row],[COMPROMISSO]]-Tabela5[[#This Row],[ATINGIDO]]</f>
        <v>7668.52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88046.659999999916</v>
      </c>
      <c r="E22" s="27">
        <f>Tabela13[[#This Row],[META A]]-Tabela13[[#This Row],[ATINGIDO]]</f>
        <v>33953.340000000084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9750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157351.63499999949</v>
      </c>
      <c r="E23" s="24">
        <f>Tabela13[[#This Row],[META A]]-Tabela13[[#This Row],[ATINGIDO]]</f>
        <v>37648.365000000515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6760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2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111025.40999999999</v>
      </c>
      <c r="E24" s="27">
        <f>Tabela13[[#This Row],[META A]]-Tabela13[[#This Row],[ATINGIDO]]</f>
        <v>28974.590000000011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3290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2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111809.97999999968</v>
      </c>
      <c r="E25" s="24">
        <f>Tabela13[[#This Row],[META A]]-Tabela13[[#This Row],[ATINGIDO]]</f>
        <v>30690.020000000324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5360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175452.48</v>
      </c>
      <c r="Q25" s="7">
        <f>O25-P25</f>
        <v>443865.7018181819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44</v>
      </c>
      <c r="W25" s="19">
        <f t="shared" si="2"/>
        <v>7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61909.870000000177</v>
      </c>
      <c r="E26" s="27">
        <f>Tabela13[[#This Row],[META A]]-Tabela13[[#This Row],[ATINGIDO]]</f>
        <v>28090.129999999823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3670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28</v>
      </c>
      <c r="W26" s="19">
        <f t="shared" si="2"/>
        <v>7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204894.11999999947</v>
      </c>
      <c r="E27" s="24">
        <f>Tabela13[[#This Row],[META A]]-Tabela13[[#This Row],[ATINGIDO]]</f>
        <v>32605.880000000529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5400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271333.46499999968</v>
      </c>
      <c r="E28" s="27">
        <f>Tabela13[[#This Row],[META A]]-Tabela13[[#This Row],[ATINGIDO]]</f>
        <v>47166.535000000324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108703.64999999989</v>
      </c>
      <c r="E30" s="27">
        <f>Tabela13[[#This Row],[META A]]-Tabela13[[#This Row],[ATINGIDO]]</f>
        <v>25796.350000000108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136131.16999999998</v>
      </c>
      <c r="E31" s="24">
        <f>Tabela13[[#This Row],[META A]]-Tabela13[[#This Row],[ATINGIDO]]</f>
        <v>30868.830000000016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207544.25999999981</v>
      </c>
      <c r="E32" s="27">
        <f>Tabela13[[#This Row],[META A]]-Tabela13[[#This Row],[ATINGIDO]]</f>
        <v>52455.740000000194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72382.990000000049</v>
      </c>
      <c r="E33" s="24">
        <f>Tabela13[[#This Row],[META A]]-Tabela13[[#This Row],[ATINGIDO]]</f>
        <v>27617.009999999951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36745.17000000002</v>
      </c>
      <c r="E34" s="27">
        <f>Tabela13[[#This Row],[META A]]-Tabela13[[#This Row],[ATINGIDO]]</f>
        <v>18254.82999999998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581717.73500000464</v>
      </c>
      <c r="K34" s="7">
        <f t="shared" si="4"/>
        <v>69532.264999995357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92</v>
      </c>
      <c r="W34" s="6">
        <f>U34-V34</f>
        <v>80.272727272727252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66010.880000000005</v>
      </c>
      <c r="E35" s="24">
        <f>Tabela13[[#This Row],[META A]]-Tabela13[[#This Row],[ATINGIDO]]</f>
        <v>6989.1199999999953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242772.17499999996</v>
      </c>
      <c r="K35" s="7">
        <f>I35-J35</f>
        <v>408477.82500000007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5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1266900.8249999946</v>
      </c>
      <c r="E43" s="7">
        <f t="shared" si="5"/>
        <v>3894.6295454599895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418224.65500000084</v>
      </c>
      <c r="E44" s="7">
        <f t="shared" ref="E44" si="6">C44-D44</f>
        <v>852570.79954545374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2026-07-28T11:10:12Z</dcterms:modified>
</cp:coreProperties>
</file>