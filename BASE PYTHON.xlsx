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5683927-4277-437A-9307-C932A7104E2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39" i="2"/>
  <c r="J31" i="2"/>
  <c r="V30" i="2"/>
  <c r="V33" i="2"/>
  <c r="P22" i="2"/>
  <c r="D42" i="2"/>
  <c r="V32" i="2"/>
  <c r="P23" i="2"/>
  <c r="J32" i="2"/>
  <c r="J33" i="2"/>
  <c r="D41" i="2"/>
  <c r="P21" i="2"/>
  <c r="D40" i="2"/>
  <c r="V31" i="2"/>
  <c r="J34" i="2"/>
  <c r="P20" i="2"/>
  <c r="E39" i="2" l="1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<sst xmlns="http://schemas.openxmlformats.org/spreadsheetml/2006/main" count="215" uniqueCount="54">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</sst>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51895.320000000007</v>
          </cell>
          <cell r="H5" t="str">
            <v>CAMPINAS</v>
          </cell>
          <cell r="I5">
            <v>2463.0499999999997</v>
          </cell>
        </row>
        <row r="6">
          <cell r="E6" t="str">
            <v>CENTRO</v>
          </cell>
          <cell r="F6">
            <v>283599.41999999963</v>
          </cell>
          <cell r="H6" t="str">
            <v>CENTRO</v>
          </cell>
          <cell r="I6">
            <v>8151.909999999998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INDAIATUBA</v>
          </cell>
          <cell r="I7">
            <v>687.8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1136.3</v>
          </cell>
          <cell r="H8" t="str">
            <v>INTERLAGOS</v>
          </cell>
          <cell r="I8">
            <v>9061.4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84891.289999999964</v>
          </cell>
          <cell r="H9" t="str">
            <v>LESTE</v>
          </cell>
          <cell r="I9">
            <v>4955.1899999999996</v>
          </cell>
          <cell r="K9" t="str">
            <v>CENTRO</v>
          </cell>
          <cell r="N9">
            <v>62</v>
          </cell>
        </row>
        <row r="10">
          <cell r="E10" t="str">
            <v>INTERLAGOS</v>
          </cell>
          <cell r="F10">
            <v>212048.49999999965</v>
          </cell>
          <cell r="H10" t="str">
            <v>LESTE MOOCA</v>
          </cell>
          <cell r="I10">
            <v>4160.1000000000004</v>
          </cell>
          <cell r="K10" t="str">
            <v>INDAIATUBA</v>
          </cell>
          <cell r="N10">
            <v>40</v>
          </cell>
        </row>
        <row r="11">
          <cell r="E11" t="str">
            <v>JUNDIAI</v>
          </cell>
          <cell r="F11">
            <v>71652.979999999967</v>
          </cell>
          <cell r="H11" t="str">
            <v>LESTE PENHA</v>
          </cell>
          <cell r="I11">
            <v>1987.6500000000003</v>
          </cell>
          <cell r="K11" t="str">
            <v>INTERLAGOS</v>
          </cell>
          <cell r="N11">
            <v>43</v>
          </cell>
        </row>
        <row r="12">
          <cell r="E12" t="str">
            <v>KEY ABC</v>
          </cell>
          <cell r="F12">
            <v>279342.77999999997</v>
          </cell>
          <cell r="H12" t="str">
            <v>LESTE TATUAPE</v>
          </cell>
          <cell r="I12">
            <v>1503.5300000000004</v>
          </cell>
          <cell r="K12" t="str">
            <v>JUNDIAI</v>
          </cell>
          <cell r="N12">
            <v>20</v>
          </cell>
        </row>
        <row r="13">
          <cell r="E13" t="str">
            <v>KEY CASA</v>
          </cell>
          <cell r="F13">
            <v>160151.8899999999</v>
          </cell>
          <cell r="H13" t="str">
            <v>MOGI</v>
          </cell>
          <cell r="I13">
            <v>3386.9200000000005</v>
          </cell>
          <cell r="K13" t="str">
            <v>LESTE</v>
          </cell>
          <cell r="N13">
            <v>26</v>
          </cell>
        </row>
        <row r="14">
          <cell r="E14" t="str">
            <v>KEY INTERIOR</v>
          </cell>
          <cell r="F14">
            <v>982675.7999999997</v>
          </cell>
          <cell r="H14" t="str">
            <v>NORTE</v>
          </cell>
          <cell r="I14">
            <v>11677.25</v>
          </cell>
          <cell r="K14" t="str">
            <v>LESTE MOOCA</v>
          </cell>
          <cell r="N14">
            <v>44</v>
          </cell>
        </row>
        <row r="15">
          <cell r="E15" t="str">
            <v>KEY SJC</v>
          </cell>
          <cell r="F15">
            <v>88567.600000000064</v>
          </cell>
          <cell r="H15" t="str">
            <v>OSASCO</v>
          </cell>
          <cell r="I15">
            <v>10443.859999999999</v>
          </cell>
          <cell r="K15" t="str">
            <v>LESTE PENHA</v>
          </cell>
          <cell r="N15">
            <v>19</v>
          </cell>
        </row>
        <row r="16">
          <cell r="E16" t="str">
            <v>KEY SP</v>
          </cell>
          <cell r="F16">
            <v>454485.34999999992</v>
          </cell>
          <cell r="H16" t="str">
            <v>PERDIZES</v>
          </cell>
          <cell r="I16">
            <v>1129.3</v>
          </cell>
          <cell r="K16" t="str">
            <v>LESTE TATUAPE</v>
          </cell>
          <cell r="N16">
            <v>53</v>
          </cell>
        </row>
        <row r="17">
          <cell r="E17" t="str">
            <v>KEY ZL</v>
          </cell>
          <cell r="F17">
            <v>320616.14999999967</v>
          </cell>
          <cell r="H17" t="str">
            <v>PIRITUBA</v>
          </cell>
          <cell r="I17">
            <v>1640.55</v>
          </cell>
          <cell r="K17" t="str">
            <v>MOGI</v>
          </cell>
          <cell r="N17">
            <v>32</v>
          </cell>
        </row>
        <row r="18">
          <cell r="E18" t="str">
            <v>LESTE</v>
          </cell>
          <cell r="F18">
            <v>99875.889999999883</v>
          </cell>
          <cell r="H18" t="str">
            <v>SANTO ANDRE</v>
          </cell>
          <cell r="I18">
            <v>3724.23</v>
          </cell>
          <cell r="K18" t="str">
            <v>NORTE</v>
          </cell>
          <cell r="N18">
            <v>49</v>
          </cell>
        </row>
        <row r="19">
          <cell r="E19" t="str">
            <v>LESTE MOOCA</v>
          </cell>
          <cell r="F19">
            <v>139781.64999999964</v>
          </cell>
          <cell r="H19" t="str">
            <v>SBC</v>
          </cell>
          <cell r="I19">
            <v>7318.01</v>
          </cell>
          <cell r="K19" t="str">
            <v>OSASCO</v>
          </cell>
          <cell r="N19">
            <v>75</v>
          </cell>
        </row>
        <row r="20">
          <cell r="E20" t="str">
            <v>LESTE PENHA</v>
          </cell>
          <cell r="F20">
            <v>108789.73999999999</v>
          </cell>
          <cell r="H20" t="str">
            <v>SJC</v>
          </cell>
          <cell r="I20">
            <v>2405.6000000000004</v>
          </cell>
          <cell r="K20" t="str">
            <v>PERDIZES</v>
          </cell>
          <cell r="N20">
            <v>21</v>
          </cell>
        </row>
        <row r="21">
          <cell r="E21" t="str">
            <v>LESTE TATUAPE</v>
          </cell>
          <cell r="F21">
            <v>118791.0799999993</v>
          </cell>
          <cell r="H21" t="str">
            <v>SJC/VALE</v>
          </cell>
          <cell r="I21">
            <v>553.16999999999996</v>
          </cell>
          <cell r="K21" t="str">
            <v>PIRITUBA</v>
          </cell>
          <cell r="N21">
            <v>40</v>
          </cell>
        </row>
        <row r="22">
          <cell r="E22" t="str">
            <v>MOGI</v>
          </cell>
          <cell r="F22">
            <v>71379.640000000058</v>
          </cell>
          <cell r="H22" t="str">
            <v>VENDEDOR INTERNO 1</v>
          </cell>
          <cell r="I22">
            <v>1159.99</v>
          </cell>
          <cell r="K22" t="str">
            <v>SANTO ANDRE</v>
          </cell>
          <cell r="N22">
            <v>31</v>
          </cell>
        </row>
        <row r="23">
          <cell r="E23" t="str">
            <v>NORTE</v>
          </cell>
          <cell r="F23">
            <v>213496.69999999949</v>
          </cell>
          <cell r="H23" t="str">
            <v>Total Geral</v>
          </cell>
          <cell r="I23">
            <v>76409.510000000009</v>
          </cell>
          <cell r="K23" t="str">
            <v>SBC</v>
          </cell>
          <cell r="N23">
            <v>42</v>
          </cell>
        </row>
        <row r="24">
          <cell r="E24" t="str">
            <v>OSASCO</v>
          </cell>
          <cell r="F24">
            <v>298909.42500000005</v>
          </cell>
          <cell r="K24" t="str">
            <v>SJC</v>
          </cell>
          <cell r="N24">
            <v>27</v>
          </cell>
        </row>
        <row r="25">
          <cell r="E25" t="str">
            <v>PERDIZES</v>
          </cell>
          <cell r="F25">
            <v>91098.129999999976</v>
          </cell>
          <cell r="K25" t="str">
            <v>SJC/VALE</v>
          </cell>
          <cell r="N25">
            <v>20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663</v>
          </cell>
        </row>
        <row r="27">
          <cell r="E27" t="str">
            <v>PIRITUBA</v>
          </cell>
          <cell r="F27">
            <v>123602.2899999998</v>
          </cell>
        </row>
        <row r="28">
          <cell r="E28" t="str">
            <v>SANTO ANDRE</v>
          </cell>
          <cell r="F28">
            <v>152964.5</v>
          </cell>
        </row>
        <row r="29">
          <cell r="E29" t="str">
            <v>SBC</v>
          </cell>
          <cell r="F29">
            <v>236873.56999999972</v>
          </cell>
        </row>
        <row r="30">
          <cell r="E30" t="str">
            <v>SJC</v>
          </cell>
          <cell r="F30">
            <v>71969.730000000112</v>
          </cell>
        </row>
        <row r="31">
          <cell r="E31" t="str">
            <v>SJC/VALE</v>
          </cell>
          <cell r="F31">
            <v>39486.480000000025</v>
          </cell>
        </row>
        <row r="32">
          <cell r="E32" t="str">
            <v>VENDEDOR INTERNO 1</v>
          </cell>
          <cell r="F32">
            <v>63965.4</v>
          </cell>
          <cell r="P32" t="str">
            <v>Soma de TOTAL</v>
          </cell>
        </row>
        <row r="33">
          <cell r="E33" t="str">
            <v>Total Geral</v>
          </cell>
          <cell r="F33">
            <v>4952651.3449999383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37752.599999999977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34" sqref="G3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4951515.0449999971</v>
      </c>
      <c r="D5" s="2"/>
      <c r="E5" s="4"/>
      <c r="F5" s="4"/>
      <c r="G5" s="4"/>
      <c r="H5" s="4" t="s">
        <v>1</v>
      </c>
      <c r="I5" s="7">
        <f>SUM(J10:J28)</f>
        <v>76409.510000000009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663</v>
      </c>
      <c r="V5" s="4"/>
      <c r="W5" s="4"/>
    </row>
    <row r="6" spans="1:23" x14ac:dyDescent="0.25">
      <c r="A6" s="4"/>
      <c r="B6" s="4" t="s">
        <v>2</v>
      </c>
      <c r="C6" s="2">
        <f>C4-C5</f>
        <v>229984.95500000287</v>
      </c>
      <c r="D6" s="2"/>
      <c r="E6" s="4"/>
      <c r="F6" s="4"/>
      <c r="G6" s="4"/>
      <c r="H6" s="4" t="s">
        <v>2</v>
      </c>
      <c r="I6" s="7">
        <f>I4-I5</f>
        <v>123620.48999999999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137</v>
      </c>
      <c r="V6" s="4"/>
      <c r="W6" s="4"/>
    </row>
    <row r="7" spans="1:23" x14ac:dyDescent="0.25">
      <c r="A7" s="4"/>
      <c r="B7" s="4" t="s">
        <v>3</v>
      </c>
      <c r="C7" s="3">
        <f>C5/C4</f>
        <v>0.95561421306571404</v>
      </c>
      <c r="D7" s="2"/>
      <c r="E7" s="4"/>
      <c r="F7" s="4"/>
      <c r="G7" s="4"/>
      <c r="H7" s="4" t="s">
        <v>3</v>
      </c>
      <c r="I7" s="3">
        <f>I5/I4</f>
        <v>0.38199025146228072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0.82874999999999999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51895.320000000007</v>
      </c>
      <c r="E10" s="7">
        <f>C10-D10</f>
        <v>12604.679999999993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10443.859999999999</v>
      </c>
      <c r="K10" s="7">
        <f>I10-J10</f>
        <v>10556.140000000001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283599.41999999963</v>
      </c>
      <c r="E11" s="7">
        <f t="shared" ref="E11:E36" si="0">C11-D11</f>
        <v>31400.580000000366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11677.25</v>
      </c>
      <c r="K11" s="7">
        <f t="shared" ref="K11:K28" si="1">I11-J11</f>
        <v>2322.75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62</v>
      </c>
      <c r="W11" s="4">
        <f t="shared" ref="W11:W27" si="3">U11-V11</f>
        <v>10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1640.55</v>
      </c>
      <c r="K12" s="7">
        <f t="shared" si="1"/>
        <v>12579.45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40</v>
      </c>
      <c r="W12" s="4">
        <f t="shared" si="3"/>
        <v>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84891.289999999964</v>
      </c>
      <c r="E13" s="7">
        <f t="shared" si="0"/>
        <v>-4891.2899999999645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7318.01</v>
      </c>
      <c r="K13" s="7">
        <f t="shared" si="1"/>
        <v>11681.99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43</v>
      </c>
      <c r="W13" s="4">
        <f t="shared" si="3"/>
        <v>15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212048.49999999965</v>
      </c>
      <c r="E14" s="7">
        <f t="shared" si="0"/>
        <v>2951.5000000003492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1503.5300000000004</v>
      </c>
      <c r="K14" s="7">
        <f t="shared" si="1"/>
        <v>6746.4699999999993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20</v>
      </c>
      <c r="W14" s="4">
        <f>U14-V14</f>
        <v>9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71652.979999999967</v>
      </c>
      <c r="E15" s="7">
        <f t="shared" si="0"/>
        <v>-3652.9799999999668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8151.909999999998</v>
      </c>
      <c r="K15" s="7">
        <f t="shared" si="1"/>
        <v>17178.090000000004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26</v>
      </c>
      <c r="W15" s="4">
        <f t="shared" si="3"/>
        <v>13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279342.77999999997</v>
      </c>
      <c r="E16" s="7">
        <f t="shared" si="0"/>
        <v>-19342.77999999997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3724.23</v>
      </c>
      <c r="K16" s="7">
        <f t="shared" si="1"/>
        <v>6225.77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32</v>
      </c>
      <c r="W16" s="4">
        <f t="shared" si="3"/>
        <v>12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160151.8899999999</v>
      </c>
      <c r="E17" s="7">
        <f t="shared" si="0"/>
        <v>-35151.889999999898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3386.9200000000005</v>
      </c>
      <c r="K17" s="7">
        <f t="shared" si="1"/>
        <v>-196.92000000000053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37752.599999999977</v>
      </c>
      <c r="Q17" s="2">
        <f t="shared" si="2"/>
        <v>-37752.599999999977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44</v>
      </c>
      <c r="W17" s="4">
        <f t="shared" si="3"/>
        <v>3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982675.7999999997</v>
      </c>
      <c r="E18" s="7">
        <f t="shared" si="0"/>
        <v>-182675.7999999997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4955.1899999999996</v>
      </c>
      <c r="K18" s="7">
        <f t="shared" si="1"/>
        <v>754.8100000000004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49</v>
      </c>
      <c r="W18" s="4">
        <f t="shared" si="3"/>
        <v>0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88567.600000000064</v>
      </c>
      <c r="E19" s="7">
        <f t="shared" si="0"/>
        <v>26432.399999999936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4160.1000000000004</v>
      </c>
      <c r="K19" s="7">
        <f t="shared" si="1"/>
        <v>9839.9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75</v>
      </c>
      <c r="W19" s="4">
        <f t="shared" si="3"/>
        <v>-2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454485.34999999992</v>
      </c>
      <c r="E20" s="7">
        <f t="shared" si="0"/>
        <v>45514.650000000081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9061.4</v>
      </c>
      <c r="K20" s="7">
        <f t="shared" si="1"/>
        <v>5948.6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-520661.21999999986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19</v>
      </c>
      <c r="W20" s="4">
        <f t="shared" si="3"/>
        <v>20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320616.14999999967</v>
      </c>
      <c r="E21" s="7">
        <f t="shared" si="0"/>
        <v>106883.85000000033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1129.3</v>
      </c>
      <c r="K21" s="7">
        <f t="shared" si="1"/>
        <v>8780.7000000000007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21</v>
      </c>
      <c r="W21" s="4">
        <f t="shared" si="3"/>
        <v>11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99875.889999999883</v>
      </c>
      <c r="E22" s="7">
        <f t="shared" si="0"/>
        <v>19624.110000000117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0</v>
      </c>
      <c r="K22" s="7">
        <f t="shared" si="1"/>
        <v>2670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476897.76999999938</v>
      </c>
      <c r="Q22" s="7">
        <f>O22-P22</f>
        <v>-476897.76999999938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40</v>
      </c>
      <c r="W22" s="4">
        <f t="shared" si="3"/>
        <v>7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139781.64999999964</v>
      </c>
      <c r="E23" s="7">
        <f t="shared" si="0"/>
        <v>17218.350000000355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1987.6500000000003</v>
      </c>
      <c r="K23" s="7">
        <f t="shared" si="1"/>
        <v>10912.35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504042.00000000017</v>
      </c>
      <c r="Q23" s="7">
        <f>O23-P23</f>
        <v>-504042.00000000017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31</v>
      </c>
      <c r="W23" s="4">
        <f t="shared" si="3"/>
        <v>15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108789.73999999999</v>
      </c>
      <c r="E24" s="7">
        <f t="shared" si="0"/>
        <v>11210.260000000009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687.8</v>
      </c>
      <c r="K24" s="7">
        <f t="shared" si="1"/>
        <v>4772.2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42</v>
      </c>
      <c r="W24" s="4">
        <f t="shared" si="3"/>
        <v>11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118791.0799999993</v>
      </c>
      <c r="E25" s="7">
        <f t="shared" si="0"/>
        <v>16208.920000000697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1159.99</v>
      </c>
      <c r="K25" s="7">
        <f t="shared" si="1"/>
        <v>3650.01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27</v>
      </c>
      <c r="W25" s="4">
        <f t="shared" si="3"/>
        <v>0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71379.640000000058</v>
      </c>
      <c r="E26" s="7">
        <f t="shared" si="0"/>
        <v>18620.359999999942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2405.6000000000004</v>
      </c>
      <c r="K26" s="7">
        <f t="shared" si="1"/>
        <v>4404.3999999999996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53</v>
      </c>
      <c r="W26" s="4">
        <f t="shared" si="3"/>
        <v>-14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213496.69999999949</v>
      </c>
      <c r="E27" s="7">
        <f t="shared" si="0"/>
        <v>21503.300000000512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553.16999999999996</v>
      </c>
      <c r="K27" s="7">
        <f t="shared" si="1"/>
        <v>2536.83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20</v>
      </c>
      <c r="W27" s="4">
        <f t="shared" si="3"/>
        <v>13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298909.42500000005</v>
      </c>
      <c r="E28" s="7">
        <f t="shared" si="0"/>
        <v>3090.5749999999534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2463.0499999999997</v>
      </c>
      <c r="K28" s="7">
        <f t="shared" si="1"/>
        <v>2256.9500000000003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91098.129999999976</v>
      </c>
      <c r="E29" s="7">
        <f t="shared" si="0"/>
        <v>21901.870000000024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123602.2899999998</v>
      </c>
      <c r="E31" s="7">
        <f t="shared" si="0"/>
        <v>2397.7100000001956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645369.17500000296</v>
      </c>
      <c r="K31" s="7">
        <f>I31-J31</f>
        <v>54630.824999997043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152964.5</v>
      </c>
      <c r="E32" s="7">
        <f t="shared" si="0"/>
        <v>14035.5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236873.56999999972</v>
      </c>
      <c r="E33" s="7">
        <f t="shared" si="0"/>
        <v>18126.430000000284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683867.69500000123</v>
      </c>
      <c r="K33" s="7">
        <f t="shared" si="4"/>
        <v>16132.304999998771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229</v>
      </c>
      <c r="W33" s="6">
        <f t="shared" ref="W33" si="5">U33-V33</f>
        <v>-29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71969.730000000112</v>
      </c>
      <c r="E34" s="7">
        <f t="shared" si="0"/>
        <v>28030.269999999888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536896.44500000239</v>
      </c>
      <c r="K34" s="7">
        <f t="shared" si="4"/>
        <v>163103.55499999761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39486.480000000025</v>
      </c>
      <c r="E35" s="7">
        <f t="shared" si="0"/>
        <v>15513.519999999975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63965.4</v>
      </c>
      <c r="E36" s="7">
        <f t="shared" si="0"/>
        <v>2034.5999999999985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1173268.9449999928</v>
      </c>
      <c r="E41" s="7">
        <f t="shared" si="6"/>
        <v>106731.05500000715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1069388.6849999991</v>
      </c>
      <c r="E42" s="7">
        <f t="shared" si="6"/>
        <v>210611.31500000088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2026-05-28T15:24:23Z</dcterms:modified>
</cp:coreProperties>
</file>