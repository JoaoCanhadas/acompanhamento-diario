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D691EA2-CBFE-45AF-822A-FDF60FBF7374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1" i="2"/>
  <c r="V34" i="2"/>
  <c r="V30" i="2"/>
  <c r="V33" i="2"/>
  <c r="V32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D42" i="2"/>
  <c r="P21" i="2"/>
  <c r="J35" i="2"/>
  <c r="J31" i="2"/>
  <c r="P22" i="2"/>
  <c r="J33" i="2"/>
  <c r="D39" i="2"/>
  <c r="D43" i="2"/>
  <c r="P25" i="2"/>
  <c r="P24" i="2"/>
  <c r="P23" i="2"/>
  <c r="J34" i="2"/>
  <c r="D40" i="2"/>
  <c r="D41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<sst xmlns="http://schemas.openxmlformats.org/spreadsheetml/2006/main" count="213" uniqueCount="54">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</sst>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15/07/2026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24454.740000000013</v>
          </cell>
          <cell r="H5" t="str">
            <v>CAMPINAS</v>
          </cell>
          <cell r="I5">
            <v>752.66</v>
          </cell>
        </row>
        <row r="6">
          <cell r="E6" t="str">
            <v>CENTRO</v>
          </cell>
          <cell r="F6">
            <v>167704.68999999997</v>
          </cell>
          <cell r="H6" t="str">
            <v>CENTRO</v>
          </cell>
          <cell r="I6">
            <v>4417.3999999999996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1821.55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49.09</v>
          </cell>
          <cell r="H8" t="str">
            <v>INTERLAGOS</v>
          </cell>
          <cell r="I8">
            <v>2153.4100000000003</v>
          </cell>
          <cell r="K8" t="str">
            <v>CENTRO</v>
          </cell>
          <cell r="N8">
            <v>32</v>
          </cell>
        </row>
        <row r="9">
          <cell r="E9" t="str">
            <v>INDAIATUBA</v>
          </cell>
          <cell r="F9">
            <v>33813.340000000011</v>
          </cell>
          <cell r="H9" t="str">
            <v>JUNDIAI</v>
          </cell>
          <cell r="I9">
            <v>430.7</v>
          </cell>
          <cell r="K9" t="str">
            <v>INDAIATUBA</v>
          </cell>
          <cell r="N9">
            <v>27</v>
          </cell>
        </row>
        <row r="10">
          <cell r="E10" t="str">
            <v>INTERLAGOS</v>
          </cell>
          <cell r="F10">
            <v>101810.78999999988</v>
          </cell>
          <cell r="H10" t="str">
            <v>KEY ABC</v>
          </cell>
          <cell r="I10">
            <v>32482.3</v>
          </cell>
          <cell r="K10" t="str">
            <v>JUNDIAI</v>
          </cell>
          <cell r="N10">
            <v>15</v>
          </cell>
        </row>
        <row r="11">
          <cell r="E11" t="str">
            <v>JUNDIAI</v>
          </cell>
          <cell r="F11">
            <v>36845.570000000022</v>
          </cell>
          <cell r="H11" t="str">
            <v>KEY PIRACICABA</v>
          </cell>
          <cell r="I11">
            <v>6603.5999999999995</v>
          </cell>
          <cell r="K11" t="str">
            <v>LESTE</v>
          </cell>
          <cell r="N11">
            <v>21</v>
          </cell>
        </row>
        <row r="12">
          <cell r="E12" t="str">
            <v>KEY ABC</v>
          </cell>
          <cell r="F12">
            <v>157577.22</v>
          </cell>
          <cell r="H12" t="str">
            <v>KEY ZL</v>
          </cell>
          <cell r="I12">
            <v>14711.1</v>
          </cell>
          <cell r="K12" t="str">
            <v>LESTE PENHA</v>
          </cell>
          <cell r="N12">
            <v>14</v>
          </cell>
        </row>
        <row r="13">
          <cell r="E13" t="str">
            <v>KEY CASA</v>
          </cell>
          <cell r="F13">
            <v>155213.56</v>
          </cell>
          <cell r="H13" t="str">
            <v>LESTE MOOCA</v>
          </cell>
          <cell r="I13">
            <v>3522.58</v>
          </cell>
          <cell r="K13" t="str">
            <v>LESTE TATUAPE</v>
          </cell>
          <cell r="N13">
            <v>21</v>
          </cell>
        </row>
        <row r="14">
          <cell r="E14" t="str">
            <v>KEY INTERIOR</v>
          </cell>
          <cell r="F14">
            <v>513142.70000000019</v>
          </cell>
          <cell r="H14" t="str">
            <v>LESTE PENHA</v>
          </cell>
          <cell r="I14">
            <v>1281.27</v>
          </cell>
          <cell r="K14" t="str">
            <v>NORTE</v>
          </cell>
          <cell r="N14">
            <v>28</v>
          </cell>
        </row>
        <row r="15">
          <cell r="E15" t="str">
            <v>KEY PIRACICABA</v>
          </cell>
          <cell r="F15">
            <v>60082.260000000017</v>
          </cell>
          <cell r="H15" t="str">
            <v>LESTE TATUAPE</v>
          </cell>
          <cell r="I15">
            <v>1057.27</v>
          </cell>
          <cell r="K15" t="str">
            <v>OSASCO</v>
          </cell>
          <cell r="N15">
            <v>42</v>
          </cell>
        </row>
        <row r="16">
          <cell r="E16" t="str">
            <v>KEY SJC</v>
          </cell>
          <cell r="F16">
            <v>32427.8</v>
          </cell>
          <cell r="H16" t="str">
            <v>MOGI</v>
          </cell>
          <cell r="I16">
            <v>1303.8999999999999</v>
          </cell>
          <cell r="K16" t="str">
            <v>PIRITUBA</v>
          </cell>
          <cell r="N16">
            <v>24</v>
          </cell>
        </row>
        <row r="17">
          <cell r="E17" t="str">
            <v>KEY SP</v>
          </cell>
          <cell r="F17">
            <v>169833.12000000005</v>
          </cell>
          <cell r="H17" t="str">
            <v>NORTE</v>
          </cell>
          <cell r="I17">
            <v>3292.2000000000003</v>
          </cell>
          <cell r="K17" t="str">
            <v>SANTO ANDRE</v>
          </cell>
          <cell r="N17">
            <v>20</v>
          </cell>
        </row>
        <row r="18">
          <cell r="E18" t="str">
            <v>KEY ZL</v>
          </cell>
          <cell r="F18">
            <v>191659.07999999996</v>
          </cell>
          <cell r="H18" t="str">
            <v>OSASCO</v>
          </cell>
          <cell r="I18">
            <v>5830.3999999999987</v>
          </cell>
          <cell r="K18" t="str">
            <v>SJC</v>
          </cell>
          <cell r="N18">
            <v>17</v>
          </cell>
        </row>
        <row r="19">
          <cell r="E19" t="str">
            <v>LESTE</v>
          </cell>
          <cell r="F19">
            <v>46497.760000000017</v>
          </cell>
          <cell r="H19" t="str">
            <v>PIRITUBA</v>
          </cell>
          <cell r="I19">
            <v>1084.3</v>
          </cell>
          <cell r="K19" t="str">
            <v>Total Geral</v>
          </cell>
          <cell r="N19">
            <v>261</v>
          </cell>
        </row>
        <row r="20">
          <cell r="E20" t="str">
            <v>LESTE MOOCA</v>
          </cell>
          <cell r="F20">
            <v>82493.399999999936</v>
          </cell>
          <cell r="H20" t="str">
            <v>SANTO ANDRE</v>
          </cell>
          <cell r="I20">
            <v>3827.7799999999997</v>
          </cell>
        </row>
        <row r="21">
          <cell r="E21" t="str">
            <v>LESTE PENHA</v>
          </cell>
          <cell r="F21">
            <v>63414.48000000001</v>
          </cell>
          <cell r="H21" t="str">
            <v>SJC</v>
          </cell>
          <cell r="I21">
            <v>1411.48</v>
          </cell>
        </row>
        <row r="22">
          <cell r="E22" t="str">
            <v>LESTE TATUAPE</v>
          </cell>
          <cell r="F22">
            <v>49344.410000000084</v>
          </cell>
          <cell r="H22" t="str">
            <v>VENDEDOR INTERNO 1</v>
          </cell>
          <cell r="I22">
            <v>450</v>
          </cell>
        </row>
        <row r="23">
          <cell r="E23" t="str">
            <v>MOGI</v>
          </cell>
          <cell r="F23">
            <v>27692.540000000045</v>
          </cell>
          <cell r="H23" t="str">
            <v>Total Geral</v>
          </cell>
          <cell r="I23">
            <v>86433.899999999965</v>
          </cell>
        </row>
        <row r="24">
          <cell r="E24" t="str">
            <v>NORTE</v>
          </cell>
          <cell r="F24">
            <v>107951.63999999998</v>
          </cell>
        </row>
        <row r="25">
          <cell r="E25" t="str">
            <v>OSASCO</v>
          </cell>
          <cell r="F25">
            <v>153528.00999999989</v>
          </cell>
        </row>
        <row r="26">
          <cell r="E26" t="str">
            <v>PIRITUBA</v>
          </cell>
          <cell r="F26">
            <v>59683.469999999965</v>
          </cell>
        </row>
        <row r="27">
          <cell r="E27" t="str">
            <v>SANTO ANDRE</v>
          </cell>
          <cell r="F27">
            <v>73953.459999999963</v>
          </cell>
        </row>
        <row r="28">
          <cell r="E28" t="str">
            <v>SBC</v>
          </cell>
          <cell r="F28">
            <v>110078.8099999999</v>
          </cell>
        </row>
        <row r="29">
          <cell r="E29" t="str">
            <v>SJC</v>
          </cell>
          <cell r="F29">
            <v>41813.060000000027</v>
          </cell>
        </row>
        <row r="30">
          <cell r="E30" t="str">
            <v>SJC/VALE</v>
          </cell>
          <cell r="F30">
            <v>19234.969999999994</v>
          </cell>
        </row>
        <row r="31">
          <cell r="E31" t="str">
            <v>VENDEDOR INTERNO 1</v>
          </cell>
          <cell r="F31">
            <v>37192.940000000017</v>
          </cell>
        </row>
        <row r="32">
          <cell r="E32" t="str">
            <v>Total Geral</v>
          </cell>
          <cell r="F32">
            <v>2518321.8499999698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I14" sqref="I1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2457410.65</v>
      </c>
      <c r="D5" s="2"/>
      <c r="E5" s="4"/>
      <c r="F5" s="4"/>
      <c r="G5" s="4"/>
      <c r="H5" s="4" t="s">
        <v>1</v>
      </c>
      <c r="I5" s="7">
        <f>SUM(J10:J27)</f>
        <v>32636.9</v>
      </c>
      <c r="J5" s="4"/>
      <c r="K5" s="4"/>
      <c r="L5" s="4"/>
      <c r="M5" s="4"/>
      <c r="N5" s="4" t="s">
        <v>1</v>
      </c>
      <c r="O5" s="7">
        <f>SUM(P11:P17)</f>
        <v>47193.4</v>
      </c>
      <c r="P5" s="4"/>
      <c r="Q5" s="4"/>
      <c r="R5" s="4"/>
      <c r="S5" s="4"/>
      <c r="T5" s="4" t="s">
        <v>1</v>
      </c>
      <c r="U5" s="4">
        <f>SUM(V10:V26)</f>
        <v>261</v>
      </c>
      <c r="V5" s="4"/>
      <c r="W5" s="4"/>
    </row>
    <row r="6" spans="1:23" x14ac:dyDescent="0.25">
      <c r="A6" s="4"/>
      <c r="B6" s="4" t="s">
        <v>2</v>
      </c>
      <c r="C6" s="2">
        <f>C4-C5</f>
        <v>3134089.35</v>
      </c>
      <c r="D6" s="2"/>
      <c r="E6" s="4"/>
      <c r="F6" s="4"/>
      <c r="G6" s="4"/>
      <c r="H6" s="4" t="s">
        <v>2</v>
      </c>
      <c r="I6" s="7">
        <f>I4-I5</f>
        <v>117376.1</v>
      </c>
      <c r="J6" s="4"/>
      <c r="K6" s="4"/>
      <c r="L6" s="4"/>
      <c r="M6" s="4"/>
      <c r="N6" s="4" t="s">
        <v>2</v>
      </c>
      <c r="O6" s="7">
        <f>O4-O5</f>
        <v>-47193.4</v>
      </c>
      <c r="P6" s="4"/>
      <c r="Q6" s="4"/>
      <c r="R6" s="4"/>
      <c r="S6" s="4"/>
      <c r="T6" s="4" t="s">
        <v>2</v>
      </c>
      <c r="U6" s="4">
        <f>U4-U5</f>
        <v>497</v>
      </c>
      <c r="V6" s="4"/>
      <c r="W6" s="4"/>
    </row>
    <row r="7" spans="1:23" x14ac:dyDescent="0.25">
      <c r="A7" s="4"/>
      <c r="B7" s="4" t="s">
        <v>3</v>
      </c>
      <c r="C7" s="3">
        <f>1-(C6/C4)</f>
        <v>0.43949041402128231</v>
      </c>
      <c r="D7" s="2"/>
      <c r="E7" s="4"/>
      <c r="F7" s="4"/>
      <c r="G7" s="4"/>
      <c r="H7" s="4" t="s">
        <v>3</v>
      </c>
      <c r="I7" s="3">
        <f>1-(I6/I4)</f>
        <v>0.21756047809189871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0.34432717678100266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24454.740000000013</v>
      </c>
      <c r="E10" s="27">
        <f>Tabela13[[#This Row],[META A]]-Tabela13[[#This Row],[ATINGIDO]]</f>
        <v>40045.259999999987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5830.3999999999987</v>
      </c>
      <c r="K10" s="23">
        <f>Tabela5[[#This Row],[COMPROMISSO]]-Tabela5[[#This Row],[ATINGIDO]]</f>
        <v>11169.600000000002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167704.68999999997</v>
      </c>
      <c r="E11" s="24">
        <f>Tabela13[[#This Row],[META A]]-Tabela13[[#This Row],[ATINGIDO]]</f>
        <v>157295.31000000003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3292.2000000000003</v>
      </c>
      <c r="K11" s="23">
        <f>Tabela5[[#This Row],[COMPROMISSO]]-Tabela5[[#This Row],[ATINGIDO]]</f>
        <v>8557.7999999999993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32482.3</v>
      </c>
      <c r="Q11" s="2">
        <f>O11-P11</f>
        <v>-32482.3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32</v>
      </c>
      <c r="W11" s="19">
        <f t="shared" ref="W11:W20" si="0">U11-V11</f>
        <v>20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49.09</v>
      </c>
      <c r="E12" s="27">
        <f>Tabela13[[#This Row],[META A]]-Tabela13[[#This Row],[ATINGIDO]]</f>
        <v>950.91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1084.3</v>
      </c>
      <c r="K12" s="23">
        <f>Tabela5[[#This Row],[COMPROMISSO]]-Tabela5[[#This Row],[ATINGIDO]]</f>
        <v>7915.7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27</v>
      </c>
      <c r="W12" s="19">
        <f t="shared" si="0"/>
        <v>14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33813.340000000011</v>
      </c>
      <c r="E13" s="24">
        <f>Tabela13[[#This Row],[META A]]-Tabela13[[#This Row],[ATINGIDO]]</f>
        <v>56186.659999999989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14711.1</v>
      </c>
      <c r="Q13" s="2">
        <f t="shared" ref="Q13:Q17" si="1">O13-P13</f>
        <v>-14711.1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101810.78999999988</v>
      </c>
      <c r="E14" s="27">
        <f>Tabela13[[#This Row],[META A]]-Tabela13[[#This Row],[ATINGIDO]]</f>
        <v>171189.21000000014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1057.27</v>
      </c>
      <c r="K14" s="23">
        <f>Tabela5[[#This Row],[COMPROMISSO]]-Tabela5[[#This Row],[ATINGIDO]]</f>
        <v>4266.7299999999996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15</v>
      </c>
      <c r="W14" s="19">
        <f t="shared" si="0"/>
        <v>12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36845.570000000022</v>
      </c>
      <c r="E15" s="24">
        <f>Tabela13[[#This Row],[META A]]-Tabela13[[#This Row],[ATINGIDO]]</f>
        <v>41154.429999999978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4417.3999999999996</v>
      </c>
      <c r="K15" s="23">
        <f>Tabela5[[#This Row],[COMPROMISSO]]-Tabela5[[#This Row],[ATINGIDO]]</f>
        <v>11582.6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21</v>
      </c>
      <c r="W15" s="19">
        <f>U15-V15</f>
        <v>27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157577.22</v>
      </c>
      <c r="E16" s="27">
        <f>Tabela13[[#This Row],[META A]]-Tabela13[[#This Row],[ATINGIDO]]</f>
        <v>167422.78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3827.7799999999997</v>
      </c>
      <c r="K16" s="23">
        <f>Tabela5[[#This Row],[COMPROMISSO]]-Tabela5[[#This Row],[ATINGIDO]]</f>
        <v>8982.2200000000012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155213.56</v>
      </c>
      <c r="E17" s="24">
        <f>Tabela13[[#This Row],[META A]]-Tabela13[[#This Row],[ATINGIDO]]</f>
        <v>14786.440000000002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1303.8999999999999</v>
      </c>
      <c r="K17" s="23">
        <f>Tabela5[[#This Row],[COMPROMISSO]]-Tabela5[[#This Row],[ATINGIDO]]</f>
        <v>1840.1000000000001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6216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28</v>
      </c>
      <c r="W18" s="19">
        <f t="shared" si="0"/>
        <v>17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32427.8</v>
      </c>
      <c r="E19" s="24">
        <f>Tabela13[[#This Row],[META A]]-Tabela13[[#This Row],[ATINGIDO]]</f>
        <v>97572.2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3522.58</v>
      </c>
      <c r="K19" s="23">
        <f>Tabela5[[#This Row],[COMPROMISSO]]-Tabela5[[#This Row],[ATINGIDO]]</f>
        <v>7347.42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42</v>
      </c>
      <c r="W19" s="19">
        <f t="shared" si="0"/>
        <v>19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169833.12000000005</v>
      </c>
      <c r="E20" s="27">
        <f>Tabela13[[#This Row],[META A]]-Tabela13[[#This Row],[ATINGIDO]]</f>
        <v>390166.87999999995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2153.4100000000003</v>
      </c>
      <c r="K20" s="23">
        <f>Tabela5[[#This Row],[COMPROMISSO]]-Tabela5[[#This Row],[ATINGIDO]]</f>
        <v>10846.59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14</v>
      </c>
      <c r="W20" s="19">
        <f t="shared" si="0"/>
        <v>25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191659.07999999996</v>
      </c>
      <c r="E21" s="24">
        <f>Tabela13[[#This Row],[META A]]-Tabela13[[#This Row],[ATINGIDO]]</f>
        <v>223340.92000000004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430.7</v>
      </c>
      <c r="K21" s="23">
        <f>Tabela5[[#This Row],[COMPROMISSO]]-Tabela5[[#This Row],[ATINGIDO]]</f>
        <v>4589.3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266634.81999999995</v>
      </c>
      <c r="Q21" s="7">
        <f>O21-P21</f>
        <v>104956.08909090917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24</v>
      </c>
      <c r="W21" s="19">
        <f t="shared" ref="W21:W26" si="2">U21-V21</f>
        <v>20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46497.760000000017</v>
      </c>
      <c r="E22" s="27">
        <f>Tabela13[[#This Row],[META A]]-Tabela13[[#This Row],[ATINGIDO]]</f>
        <v>75502.239999999991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1281.27</v>
      </c>
      <c r="K22" s="23">
        <f>Tabela5[[#This Row],[COMPROMISSO]]-Tabela5[[#This Row],[ATINGIDO]]</f>
        <v>6822.73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521362.39000000031</v>
      </c>
      <c r="Q22" s="7">
        <f>O22-P22</f>
        <v>-25907.844545454835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20</v>
      </c>
      <c r="W22" s="19">
        <f t="shared" si="2"/>
        <v>20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82493.399999999936</v>
      </c>
      <c r="E23" s="24">
        <f>Tabela13[[#This Row],[META A]]-Tabela13[[#This Row],[ATINGIDO]]</f>
        <v>112506.60000000006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1821.55</v>
      </c>
      <c r="K23" s="23">
        <f>Tabela5[[#This Row],[COMPROMISSO]]-Tabela5[[#This Row],[ATINGIDO]]</f>
        <v>3433.45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431856.27</v>
      </c>
      <c r="Q23" s="7">
        <f>O23-P23</f>
        <v>187461.91181818186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63414.48000000001</v>
      </c>
      <c r="E24" s="27">
        <f>Tabela13[[#This Row],[META A]]-Tabela13[[#This Row],[ATINGIDO]]</f>
        <v>76585.51999999999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450</v>
      </c>
      <c r="K24" s="23">
        <f>Tabela5[[#This Row],[COMPROMISSO]]-Tabela5[[#This Row],[ATINGIDO]]</f>
        <v>2660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17</v>
      </c>
      <c r="W24" s="19">
        <f t="shared" si="2"/>
        <v>20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49344.410000000084</v>
      </c>
      <c r="E25" s="24">
        <f>Tabela13[[#This Row],[META A]]-Tabela13[[#This Row],[ATINGIDO]]</f>
        <v>93155.589999999909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1411.48</v>
      </c>
      <c r="K25" s="23">
        <f>Tabela5[[#This Row],[COMPROMISSO]]-Tabela5[[#This Row],[ATINGIDO]]</f>
        <v>2158.52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21</v>
      </c>
      <c r="W25" s="19">
        <f t="shared" si="2"/>
        <v>30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27692.540000000045</v>
      </c>
      <c r="E26" s="27">
        <f>Tabela13[[#This Row],[META A]]-Tabela13[[#This Row],[ATINGIDO]]</f>
        <v>62307.459999999955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2442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107951.63999999998</v>
      </c>
      <c r="E27" s="24">
        <f>Tabela13[[#This Row],[META A]]-Tabela13[[#This Row],[ATINGIDO]]</f>
        <v>129548.36000000002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752.66</v>
      </c>
      <c r="K27" s="23">
        <f>Tabela5[[#This Row],[COMPROMISSO]]-Tabela5[[#This Row],[ATINGIDO]]</f>
        <v>1545.3400000000001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153528.00999999989</v>
      </c>
      <c r="E28" s="27">
        <f>Tabela13[[#This Row],[META A]]-Tabela13[[#This Row],[ATINGIDO]]</f>
        <v>164971.99000000011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0</v>
      </c>
      <c r="E29" s="24">
        <f>Tabela13[[#This Row],[META A]]-Tabela13[[#This Row],[ATINGIDO]]</f>
        <v>175000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59683.469999999965</v>
      </c>
      <c r="E30" s="27">
        <f>Tabela13[[#This Row],[META A]]-Tabela13[[#This Row],[ATINGIDO]]</f>
        <v>74816.530000000028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73953.459999999963</v>
      </c>
      <c r="E31" s="24">
        <f>Tabela13[[#This Row],[META A]]-Tabela13[[#This Row],[ATINGIDO]]</f>
        <v>93046.540000000037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257463.44999999981</v>
      </c>
      <c r="K31" s="7">
        <f>I31-J31</f>
        <v>133286.55000000019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110078.8099999999</v>
      </c>
      <c r="E32" s="27">
        <f>Tabela13[[#This Row],[META A]]-Tabela13[[#This Row],[ATINGIDO]]</f>
        <v>149921.19000000012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501987.34000000305</v>
      </c>
      <c r="K32" s="7">
        <f t="shared" ref="K32:K34" si="4">I32-J32</f>
        <v>19012.659999996948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112</v>
      </c>
      <c r="W32" s="6">
        <f t="shared" si="3"/>
        <v>60.272727272727252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41813.060000000027</v>
      </c>
      <c r="E33" s="24">
        <f>Tabela13[[#This Row],[META A]]-Tabela13[[#This Row],[ATINGIDO]]</f>
        <v>58186.939999999973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395563.89000000176</v>
      </c>
      <c r="K33" s="7">
        <f t="shared" si="4"/>
        <v>255686.10999999824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19234.969999999994</v>
      </c>
      <c r="E34" s="27">
        <f>Tabela13[[#This Row],[META A]]-Tabela13[[#This Row],[ATINGIDO]]</f>
        <v>35765.030000000006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37192.940000000017</v>
      </c>
      <c r="E35" s="24">
        <f>Tabela13[[#This Row],[META A]]-Tabela13[[#This Row],[ATINGIDO]]</f>
        <v>35807.059999999983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546529.75000000163</v>
      </c>
      <c r="E39" s="7">
        <f>C39-D39</f>
        <v>-155779.75000000163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1105616.189999996</v>
      </c>
      <c r="E40" s="7">
        <f t="shared" ref="E40:E42" si="5">C40-D40</f>
        <v>-584616.18999999599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866175.91000000038</v>
      </c>
      <c r="E41" s="7">
        <f t="shared" si="5"/>
        <v>-214925.91000000038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2026-07-15T13:42:52Z</dcterms:modified>
</cp:coreProperties>
</file>