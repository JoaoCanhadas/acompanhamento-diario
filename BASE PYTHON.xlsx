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11C13AE-AEA6-46D2-B5F3-88B89F25F705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2" l="1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D41" i="2"/>
  <c r="J35" i="2"/>
  <c r="J32" i="2"/>
  <c r="D40" i="2"/>
  <c r="D44" i="2"/>
  <c r="P24" i="2"/>
  <c r="P13" i="2"/>
  <c r="J31" i="2"/>
  <c r="P22" i="2"/>
  <c r="P12" i="2"/>
  <c r="P25" i="2"/>
  <c r="P21" i="2"/>
  <c r="V33" i="2"/>
  <c r="P16" i="2"/>
  <c r="P17" i="2"/>
  <c r="V31" i="2"/>
  <c r="D42" i="2"/>
  <c r="V30" i="2"/>
  <c r="P14" i="2"/>
  <c r="V34" i="2"/>
  <c r="D43" i="2"/>
  <c r="P11" i="2"/>
  <c r="P15" i="2"/>
  <c r="P23" i="2"/>
  <c r="V32" i="2"/>
  <c r="J34" i="2"/>
  <c r="J33" i="2"/>
  <c r="Q11" i="2" l="1"/>
  <c r="Q17" i="2"/>
  <c r="Q16" i="2"/>
  <c r="Q15" i="2"/>
  <c r="Q14" i="2"/>
  <c r="Q13" i="2"/>
  <c r="Q12" i="2"/>
  <c r="E36" i="2"/>
  <c r="U5" i="2"/>
  <c r="E12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<sst xmlns="http://schemas.openxmlformats.org/spreadsheetml/2006/main" count="215" uniqueCount="54">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</sst>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24617.960000000006</v>
          </cell>
        </row>
        <row r="6">
          <cell r="E6" t="str">
            <v>CENTRO</v>
          </cell>
          <cell r="F6">
            <v>159882.59999999995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89</v>
          </cell>
          <cell r="K8" t="str">
            <v>CAMPINAS</v>
          </cell>
          <cell r="N8">
            <v>19</v>
          </cell>
        </row>
        <row r="9">
          <cell r="E9" t="str">
            <v>INDAIATUBA</v>
          </cell>
          <cell r="F9">
            <v>35986.675000000017</v>
          </cell>
          <cell r="K9" t="str">
            <v>CENTRO</v>
          </cell>
          <cell r="N9">
            <v>34</v>
          </cell>
        </row>
        <row r="10">
          <cell r="E10" t="str">
            <v>INTERLAGOS</v>
          </cell>
          <cell r="F10">
            <v>91191.359999999855</v>
          </cell>
          <cell r="K10" t="str">
            <v>INDAIATUBA</v>
          </cell>
          <cell r="N10">
            <v>21</v>
          </cell>
        </row>
        <row r="11">
          <cell r="E11" t="str">
            <v>JUNDIAI</v>
          </cell>
          <cell r="F11">
            <v>35395.830000000009</v>
          </cell>
          <cell r="K11" t="str">
            <v>INTERLAGOS</v>
          </cell>
          <cell r="N11">
            <v>37</v>
          </cell>
        </row>
        <row r="12">
          <cell r="E12" t="str">
            <v>KEY ABC</v>
          </cell>
          <cell r="F12">
            <v>83872.040000000008</v>
          </cell>
          <cell r="K12" t="str">
            <v>JUNDIAI</v>
          </cell>
          <cell r="N12">
            <v>10</v>
          </cell>
        </row>
        <row r="13">
          <cell r="E13" t="str">
            <v>KEY CASA</v>
          </cell>
          <cell r="F13">
            <v>168660.31999999992</v>
          </cell>
          <cell r="K13" t="str">
            <v>LESTE</v>
          </cell>
          <cell r="N13">
            <v>23</v>
          </cell>
        </row>
        <row r="14">
          <cell r="E14" t="str">
            <v>KEY INTERIOR</v>
          </cell>
          <cell r="F14">
            <v>415456.49999999983</v>
          </cell>
          <cell r="K14" t="str">
            <v>LESTE MOOCA</v>
          </cell>
          <cell r="N14">
            <v>28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N15">
            <v>13</v>
          </cell>
        </row>
        <row r="16">
          <cell r="E16" t="str">
            <v>KEY SJC</v>
          </cell>
          <cell r="F16">
            <v>4256.3499999999995</v>
          </cell>
          <cell r="K16" t="str">
            <v>LESTE TATUAPE</v>
          </cell>
          <cell r="N16">
            <v>15</v>
          </cell>
        </row>
        <row r="17">
          <cell r="E17" t="str">
            <v>KEY SP</v>
          </cell>
          <cell r="F17">
            <v>164577.10000000006</v>
          </cell>
          <cell r="K17" t="str">
            <v>MOGI</v>
          </cell>
          <cell r="N17">
            <v>12</v>
          </cell>
        </row>
        <row r="18">
          <cell r="E18" t="str">
            <v>KEY ZL</v>
          </cell>
          <cell r="F18">
            <v>102257.37000000001</v>
          </cell>
          <cell r="K18" t="str">
            <v>NORTE</v>
          </cell>
          <cell r="N18">
            <v>23</v>
          </cell>
        </row>
        <row r="19">
          <cell r="E19" t="str">
            <v>LESTE</v>
          </cell>
          <cell r="F19">
            <v>46032.410000000033</v>
          </cell>
          <cell r="K19" t="str">
            <v>OSASCO</v>
          </cell>
          <cell r="N19">
            <v>37</v>
          </cell>
        </row>
        <row r="20">
          <cell r="E20" t="str">
            <v>LESTE MOOCA</v>
          </cell>
          <cell r="F20">
            <v>74032.270000000019</v>
          </cell>
          <cell r="K20" t="str">
            <v>PIRITUBA</v>
          </cell>
          <cell r="N20">
            <v>15</v>
          </cell>
        </row>
        <row r="21">
          <cell r="E21" t="str">
            <v>LESTE PENHA</v>
          </cell>
          <cell r="F21">
            <v>42039.10000000002</v>
          </cell>
          <cell r="K21" t="str">
            <v>SANTO ANDRE</v>
          </cell>
          <cell r="N21">
            <v>17</v>
          </cell>
        </row>
        <row r="22">
          <cell r="E22" t="str">
            <v>LESTE TATUAPE</v>
          </cell>
          <cell r="F22">
            <v>30459.750000000044</v>
          </cell>
          <cell r="K22" t="str">
            <v>SBC</v>
          </cell>
          <cell r="N22">
            <v>20</v>
          </cell>
        </row>
        <row r="23">
          <cell r="E23" t="str">
            <v>MOGI</v>
          </cell>
          <cell r="F23">
            <v>12411.01999999999</v>
          </cell>
          <cell r="K23" t="str">
            <v>SJC</v>
          </cell>
          <cell r="N23">
            <v>19</v>
          </cell>
        </row>
        <row r="24">
          <cell r="E24" t="str">
            <v>NORTE</v>
          </cell>
          <cell r="F24">
            <v>84789.259999999951</v>
          </cell>
          <cell r="K24" t="str">
            <v>SJC/VALE</v>
          </cell>
          <cell r="N24">
            <v>19</v>
          </cell>
        </row>
        <row r="25">
          <cell r="E25" t="str">
            <v>OSASCO</v>
          </cell>
          <cell r="F25">
            <v>122383.545</v>
          </cell>
          <cell r="K25" t="str">
            <v>Total Geral</v>
          </cell>
          <cell r="N25">
            <v>362</v>
          </cell>
        </row>
        <row r="26">
          <cell r="E26" t="str">
            <v>PIRITUBA</v>
          </cell>
          <cell r="F26">
            <v>45226.060000000027</v>
          </cell>
        </row>
        <row r="27">
          <cell r="E27" t="str">
            <v>SANTO ANDRE</v>
          </cell>
          <cell r="F27">
            <v>62873.510000000017</v>
          </cell>
        </row>
        <row r="28">
          <cell r="E28" t="str">
            <v>SBC</v>
          </cell>
          <cell r="F28">
            <v>87703.629999999946</v>
          </cell>
        </row>
        <row r="29">
          <cell r="E29" t="str">
            <v>SJC</v>
          </cell>
          <cell r="F29">
            <v>30745.210000000014</v>
          </cell>
        </row>
        <row r="30">
          <cell r="E30" t="str">
            <v>SJC/VALE</v>
          </cell>
          <cell r="F30">
            <v>18836.87</v>
          </cell>
        </row>
        <row r="31">
          <cell r="E31" t="str">
            <v>VENDEDOR INTERNO 1</v>
          </cell>
          <cell r="F31">
            <v>28299.450000000004</v>
          </cell>
        </row>
        <row r="32">
          <cell r="E32" t="str">
            <v>Total Geral</v>
          </cell>
          <cell r="F32">
            <v>1972719.4700000053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  <sheetName val="Conversor CX vs KG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9" dataDxfId="78">
  <tableColumns count="2">
    <tableColumn id="1" xr3:uid="{3308613D-E7FC-469E-B078-C5AC910E183B}" name="Coluna1" dataDxfId="77"/>
    <tableColumn id="2" xr3:uid="{C994D666-6174-475E-AE71-1F12062A5225}" name="Coluna2" headerRowDxfId="76" dataDxfId="75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4" dataDxfId="73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2"/>
    <tableColumn id="2" xr3:uid="{06063E15-5C9E-4303-B5F6-B9D0B178DB82}" name="META" dataDxfId="71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70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69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8" dataDxfId="67">
  <tableColumns count="2">
    <tableColumn id="1" xr3:uid="{C661D03F-A79A-4D24-86FD-3574B6E5537D}" name="Coluna1" dataDxfId="66"/>
    <tableColumn id="2" xr3:uid="{7EF7A574-C8A3-4CB7-9C98-86948FE130EB}" name="Coluna2" headerRowDxfId="65" dataDxfId="6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3" dataDxfId="62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1"/>
    <tableColumn id="2" xr3:uid="{67CE9FE2-AA11-4BD4-9F34-EDC9123EA89F}" name="META" dataDxfId="60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9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8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7" dataDxfId="56">
  <tableColumns count="2">
    <tableColumn id="1" xr3:uid="{0139F26F-4C9F-4E96-9F64-C5C5B271DCA9}" name="Coluna1" dataDxfId="55"/>
    <tableColumn id="2" xr3:uid="{1DA3E17F-38EB-4042-B2F0-3DFB7629A3F5}" name="Coluna2" headerRowDxfId="54" dataDxfId="53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2" dataDxfId="51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50"/>
    <tableColumn id="2" xr3:uid="{0B55D821-52F8-4CE2-9F16-C5BCDBCE53AC}" name="VENDEDOR" dataDxfId="49"/>
    <tableColumn id="3" xr3:uid="{B5D24BF0-392E-420D-BB1D-3FED1D3383B5}" name="COMPROMISSO" dataDxfId="48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7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6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5" dataDxfId="44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3"/>
    <tableColumn id="2" xr3:uid="{7B11DBA8-6FBD-4B67-BDA9-6624DF753EFD}" name="META" dataDxfId="42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1"/>
    <tableColumn id="4" xr3:uid="{84544AF4-5466-4CAC-A349-7B2C804BDA05}" name="FALTA" dataDxfId="40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9" dataDxfId="38">
  <tableColumns count="2">
    <tableColumn id="1" xr3:uid="{870B59CA-1EA4-4CA9-BDCF-4A342A313131}" name="Coluna1" dataDxfId="37"/>
    <tableColumn id="2" xr3:uid="{6FE31DF2-1DB4-4D4B-8783-48EA07B43B53}" name="Coluna2" dataDxfId="3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5" dataDxfId="34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3"/>
    <tableColumn id="2" xr3:uid="{B849FCBC-ED0F-47D9-B4E7-149FFE3500D9}" name="META" dataDxfId="32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30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9" dataDxfId="28" tableBorderDxfId="27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6"/>
    <tableColumn id="2" xr3:uid="{E2D85F5C-4525-4FA4-B813-A1322F5C254D}" name="VENDEDOR" dataDxfId="25"/>
    <tableColumn id="3" xr3:uid="{53C55BB3-DDD4-47EF-87D5-552E4D02B5BA}" name="META A" dataDxfId="24">
      <calculatedColumnFormula>_xlfn.XLOOKUP(Tabela2[[#This Row],[REFERENCIA]],'[2]BASE PYTHON'!$A$63:$A$79,#REF!)</calculatedColumnFormula>
    </tableColumn>
    <tableColumn id="4" xr3:uid="{018C7BF7-4C79-4668-95B2-CBF2E10B657D}" name="ATINGIDO" dataDxfId="23">
      <calculatedColumnFormula>_xlfn.XLOOKUP(Tabela2[[#This Row],[REFERENCIA]],'[1]BASE PYTHON'!$K:$K,'[1]BASE PYTHON'!$N:$N,0)</calculatedColumnFormula>
    </tableColumn>
    <tableColumn id="5" xr3:uid="{37E12533-09AB-4B65-AEC8-6BB07B5CC2B1}" name="FALTA" dataDxfId="22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1" dataDxfId="20" tableBorderDxfId="19">
  <autoFilter ref="G9:K27" xr:uid="{E3745920-1197-4A81-B558-958DBAB19EA3}"/>
  <tableColumns count="5">
    <tableColumn id="1" xr3:uid="{D324C7DB-F877-4A7E-BC26-EF8905C85433}" name="REFERENCIA" dataDxfId="18"/>
    <tableColumn id="2" xr3:uid="{A71A6478-3B31-4F54-A10C-E6EC00E95E0B}" name="VENDEDOR" dataDxfId="17"/>
    <tableColumn id="3" xr3:uid="{9F5EDCDD-D442-4FBE-9C74-26084F24EFCB}" name="COMPROMISSO" dataDxfId="16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5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4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3" tableBorderDxfId="12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1" totalsRowDxfId="10"/>
    <tableColumn id="2" xr3:uid="{4F0BAF4D-D0FC-4B7C-8FF4-8DDD6505FDA1}" name="VENDEDOR" dataDxfId="9" totalsRowDxfId="8"/>
    <tableColumn id="3" xr3:uid="{CCB341E8-8BC2-4209-AEA0-D6F26BFCB356}" name="META A" dataDxfId="7" totalsRowDxfId="6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5" totalsRowDxfId="4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" totalsRowDxfId="2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>
      <selection activeCell="E29" sqref="A29:E29"/>
    </sheetView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150230</v>
      </c>
      <c r="J4" s="4"/>
      <c r="K4" s="4"/>
      <c r="L4" s="4"/>
      <c r="M4" s="4"/>
      <c r="N4" s="4" t="s">
        <v>37</v>
      </c>
      <c r="O4" s="7">
        <f>SUM(O11:O17)</f>
        <v>523000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1972719.4699999997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349360.18999999994</v>
      </c>
      <c r="P5" s="4"/>
      <c r="Q5" s="4"/>
      <c r="R5" s="4"/>
      <c r="S5" s="4"/>
      <c r="T5" s="4" t="s">
        <v>1</v>
      </c>
      <c r="U5" s="4">
        <f>SUM(V10:V26)</f>
        <v>362</v>
      </c>
      <c r="V5" s="4"/>
      <c r="W5" s="4"/>
    </row>
    <row r="6" spans="1:23" x14ac:dyDescent="0.25">
      <c r="A6" s="4"/>
      <c r="B6" s="4" t="s">
        <v>2</v>
      </c>
      <c r="C6" s="2">
        <f>C4-C5</f>
        <v>3811780.5300000003</v>
      </c>
      <c r="D6" s="2"/>
      <c r="E6" s="4"/>
      <c r="F6" s="4"/>
      <c r="G6" s="4"/>
      <c r="H6" s="4" t="s">
        <v>2</v>
      </c>
      <c r="I6" s="7">
        <f>I4-I5</f>
        <v>150230</v>
      </c>
      <c r="J6" s="4"/>
      <c r="K6" s="4"/>
      <c r="L6" s="4"/>
      <c r="M6" s="4"/>
      <c r="N6" s="4" t="s">
        <v>2</v>
      </c>
      <c r="O6" s="7">
        <f>O4-O5</f>
        <v>173639.81000000006</v>
      </c>
      <c r="P6" s="4"/>
      <c r="Q6" s="4"/>
      <c r="R6" s="4"/>
      <c r="S6" s="4"/>
      <c r="T6" s="4" t="s">
        <v>2</v>
      </c>
      <c r="U6" s="4">
        <f>U4-U5</f>
        <v>421</v>
      </c>
      <c r="V6" s="4"/>
      <c r="W6" s="4"/>
    </row>
    <row r="7" spans="1:23" x14ac:dyDescent="0.25">
      <c r="A7" s="4"/>
      <c r="B7" s="4" t="s">
        <v>3</v>
      </c>
      <c r="C7" s="3">
        <f>1-(C6/C4)</f>
        <v>0.34103543435041916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0.66799271510516234</v>
      </c>
      <c r="P7" s="4"/>
      <c r="Q7" s="4"/>
      <c r="R7" s="4"/>
      <c r="S7" s="4"/>
      <c r="T7" s="4" t="s">
        <v>3</v>
      </c>
      <c r="U7" s="3">
        <f>1-(U6/U4)</f>
        <v>0.4623243933588761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48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24617.960000000006</v>
      </c>
      <c r="E10" s="25">
        <f>Tabela13[[#This Row],[META A]]-Tabela13[[#This Row],[ATINGIDO]]</f>
        <v>39882.039999999994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16640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16640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19</v>
      </c>
      <c r="W10" s="18">
        <f>U10-V10</f>
        <v>19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159882.59999999995</v>
      </c>
      <c r="E11" s="23">
        <f>Tabela13[[#This Row],[META A]]-Tabela13[[#This Row],[ATINGIDO]]</f>
        <v>170117.40000000005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15820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15820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24706.799999999999</v>
      </c>
      <c r="Q11" s="2">
        <f>Tabela8[[#This Row],[COMPROMISSO]]-Tabela8[[#This Row],[ATINGIDO]]</f>
        <v>44793.2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34</v>
      </c>
      <c r="W11" s="18">
        <f t="shared" ref="W11:W20" si="0">U11-V11</f>
        <v>20</v>
      </c>
    </row>
    <row r="12" spans="1:2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89</v>
      </c>
      <c r="E12" s="25">
        <f>Tabela13[[#This Row],[META A]]-Tabela13[[#This Row],[ATINGIDO]]</f>
        <v>-89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10190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10190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21</v>
      </c>
      <c r="W12" s="18">
        <f t="shared" si="0"/>
        <v>22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35986.675000000017</v>
      </c>
      <c r="E13" s="23">
        <f>Tabela13[[#This Row],[META A]]-Tabela13[[#This Row],[ATINGIDO]]</f>
        <v>54013.324999999983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13800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13800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99000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34362.959999999999</v>
      </c>
      <c r="Q13" s="2">
        <f>Tabela8[[#This Row],[COMPROMISSO]]-Tabela8[[#This Row],[ATINGIDO]]</f>
        <v>64637.04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37</v>
      </c>
      <c r="W13" s="18">
        <f t="shared" si="0"/>
        <v>24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91191.359999999855</v>
      </c>
      <c r="E14" s="25">
        <f>Tabela13[[#This Row],[META A]]-Tabela13[[#This Row],[ATINGIDO]]</f>
        <v>181808.64000000013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6090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6090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160000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181682.4</v>
      </c>
      <c r="Q14" s="2">
        <f>Tabela8[[#This Row],[COMPROMISSO]]-Tabela8[[#This Row],[ATINGIDO]]</f>
        <v>-21682.399999999994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10</v>
      </c>
      <c r="W14" s="18">
        <f t="shared" si="0"/>
        <v>19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35395.830000000009</v>
      </c>
      <c r="E15" s="23">
        <f>Tabela13[[#This Row],[META A]]-Tabela13[[#This Row],[ATINGIDO]]</f>
        <v>42604.169999999991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17760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17760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132000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63679.599999999984</v>
      </c>
      <c r="Q15" s="2">
        <f>Tabela8[[#This Row],[COMPROMISSO]]-Tabela8[[#This Row],[ATINGIDO]]</f>
        <v>68320.400000000023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23</v>
      </c>
      <c r="W15" s="18">
        <f>U15-V15</f>
        <v>25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83872.040000000008</v>
      </c>
      <c r="E16" s="25">
        <f>Tabela13[[#This Row],[META A]]-Tabela13[[#This Row],[ATINGIDO]]</f>
        <v>266127.95999999996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12320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12320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2031</v>
      </c>
      <c r="Q16" s="2">
        <f>Tabela8[[#This Row],[COMPROMISSO]]-Tabela8[[#This Row],[ATINGIDO]]</f>
        <v>-2031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12</v>
      </c>
      <c r="W16" s="18">
        <f t="shared" si="0"/>
        <v>29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168660.31999999992</v>
      </c>
      <c r="E17" s="23">
        <f>Tabela13[[#This Row],[META A]]-Tabela13[[#This Row],[ATINGIDO]]</f>
        <v>251339.68000000008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5400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5400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62500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42897.429999999971</v>
      </c>
      <c r="Q17" s="2">
        <f>Tabela8[[#This Row],[COMPROMISSO]]-Tabela8[[#This Row],[ATINGIDO]]</f>
        <v>19602.570000000029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28</v>
      </c>
      <c r="W17" s="18">
        <f t="shared" si="0"/>
        <v>23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415456.49999999983</v>
      </c>
      <c r="E18" s="25">
        <f>Tabela13[[#This Row],[META A]]-Tabela13[[#This Row],[ATINGIDO]]</f>
        <v>564543.50000000023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3900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3900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23</v>
      </c>
      <c r="W18" s="18">
        <f t="shared" si="0"/>
        <v>24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4256.3499999999995</v>
      </c>
      <c r="E19" s="23">
        <f>Tabela13[[#This Row],[META A]]-Tabela13[[#This Row],[ATINGIDO]]</f>
        <v>137743.65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11580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11580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37</v>
      </c>
      <c r="W19" s="18">
        <f t="shared" si="0"/>
        <v>26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164577.10000000006</v>
      </c>
      <c r="E20" s="25">
        <f>Tabela13[[#This Row],[META A]]-Tabela13[[#This Row],[ATINGIDO]]</f>
        <v>395422.89999999991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11900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11900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13</v>
      </c>
      <c r="W20" s="18">
        <f t="shared" si="0"/>
        <v>28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102257.37000000001</v>
      </c>
      <c r="E21" s="23">
        <f>Tabela13[[#This Row],[META A]]-Tabela13[[#This Row],[ATINGIDO]]</f>
        <v>322742.63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4230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4230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15</v>
      </c>
      <c r="W21" s="18">
        <f t="shared" ref="W21:W26" si="1">U21-V21</f>
        <v>29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46032.410000000033</v>
      </c>
      <c r="E22" s="25">
        <f>Tabela13[[#This Row],[META A]]-Tabela13[[#This Row],[ATINGIDO]]</f>
        <v>75967.589999999967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5810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5810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349360.19</v>
      </c>
      <c r="Q22" s="7">
        <f>O22-P22</f>
        <v>335639.81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17</v>
      </c>
      <c r="W22" s="18">
        <f t="shared" si="1"/>
        <v>23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74032.270000000019</v>
      </c>
      <c r="E23" s="23">
        <f>Tabela13[[#This Row],[META A]]-Tabela13[[#This Row],[ATINGIDO]]</f>
        <v>125967.72999999998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3350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3350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685000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20</v>
      </c>
      <c r="W23" s="18">
        <f t="shared" si="1"/>
        <v>35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42039.10000000002</v>
      </c>
      <c r="E24" s="25">
        <f>Tabela13[[#This Row],[META A]]-Tabela13[[#This Row],[ATINGIDO]]</f>
        <v>102960.89999999998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2080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2080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685000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19</v>
      </c>
      <c r="W24" s="18">
        <f t="shared" si="1"/>
        <v>18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30459.750000000044</v>
      </c>
      <c r="E25" s="23">
        <f>Tabela13[[#This Row],[META A]]-Tabela13[[#This Row],[ATINGIDO]]</f>
        <v>116540.24999999996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5310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5310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15</v>
      </c>
      <c r="W25" s="18">
        <f t="shared" si="1"/>
        <v>38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12411.01999999999</v>
      </c>
      <c r="E26" s="25">
        <f>Tabela13[[#This Row],[META A]]-Tabela13[[#This Row],[ATINGIDO]]</f>
        <v>77588.98000000001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1140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1140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19</v>
      </c>
      <c r="W26" s="18">
        <f t="shared" si="1"/>
        <v>19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84789.259999999951</v>
      </c>
      <c r="E27" s="23">
        <f>Tabela13[[#This Row],[META A]]-Tabela13[[#This Row],[ATINGIDO]]</f>
        <v>157210.74000000005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2910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2910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122383.545</v>
      </c>
      <c r="E28" s="25">
        <f>Tabela13[[#This Row],[META A]]-Tabela13[[#This Row],[ATINGIDO]]</f>
        <v>201116.45500000002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45226.060000000027</v>
      </c>
      <c r="E30" s="25">
        <f>Tabela13[[#This Row],[META A]]-Tabela13[[#This Row],[ATINGIDO]]</f>
        <v>94273.939999999973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62873.510000000017</v>
      </c>
      <c r="E31" s="23">
        <f>Tabela13[[#This Row],[META A]]-Tabela13[[#This Row],[ATINGIDO]]</f>
        <v>104126.48999999999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575938.87000000454</v>
      </c>
      <c r="K31" s="7">
        <f>I31-J31</f>
        <v>116084.93952380493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160</v>
      </c>
      <c r="W31" s="6">
        <f t="shared" ref="W31:W33" si="2">U31-V31</f>
        <v>26.428571428571416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87703.629999999946</v>
      </c>
      <c r="E32" s="25">
        <f>Tabela13[[#This Row],[META A]]-Tabela13[[#This Row],[ATINGIDO]]</f>
        <v>177296.37000000005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382935.37000000081</v>
      </c>
      <c r="K32" s="7">
        <f t="shared" ref="K32:K34" si="3">I32-J32</f>
        <v>309088.43952380866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30745.210000000014</v>
      </c>
      <c r="E33" s="23">
        <f>Tabela13[[#This Row],[META A]]-Tabela13[[#This Row],[ATINGIDO]]</f>
        <v>69254.789999999979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18836.87</v>
      </c>
      <c r="E34" s="25">
        <f>Tabela13[[#This Row],[META A]]-Tabela13[[#This Row],[ATINGIDO]]</f>
        <v>36163.130000000005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28299.450000000004</v>
      </c>
      <c r="E35" s="23">
        <f>Tabela13[[#This Row],[META A]]-Tabela13[[#This Row],[ATINGIDO]]</f>
        <v>46700.549999999996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1204104.709999999</v>
      </c>
      <c r="E40" s="7">
        <f>C40-D40</f>
        <v>173157.19476190582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768614.76000000036</v>
      </c>
      <c r="E41" s="7">
        <f t="shared" ref="E41:E43" si="4">C41-D41</f>
        <v>608647.14476190449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2026-08-12T13:29:49Z</dcterms:modified>
</cp:coreProperties>
</file>