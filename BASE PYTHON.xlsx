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B58F6C73-8F44-4555-813E-3D00B123277C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2" l="1"/>
  <c r="P24" i="2"/>
  <c r="P23" i="2"/>
  <c r="P22" i="2"/>
  <c r="P21" i="2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J32" i="2"/>
  <c r="P17" i="2"/>
  <c r="D44" i="2"/>
  <c r="D43" i="2"/>
  <c r="P12" i="2"/>
  <c r="D42" i="2"/>
  <c r="J35" i="2"/>
  <c r="D40" i="2"/>
  <c r="D41" i="2"/>
  <c r="V32" i="2"/>
  <c r="P15" i="2"/>
  <c r="P13" i="2"/>
  <c r="V33" i="2"/>
  <c r="V34" i="2"/>
  <c r="V31" i="2"/>
  <c r="J34" i="2"/>
  <c r="P11" i="2"/>
  <c r="J33" i="2"/>
  <c r="J31" i="2"/>
  <c r="P14" i="2"/>
  <c r="V30" i="2"/>
  <c r="P16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1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<sst xmlns="http://schemas.openxmlformats.org/spreadsheetml/2006/main" count="215" uniqueCount="54">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</sst>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11/08/2026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17883.400000000001</v>
          </cell>
          <cell r="H5" t="str">
            <v>CENTRO</v>
          </cell>
          <cell r="I5">
            <v>3163.95</v>
          </cell>
        </row>
        <row r="6">
          <cell r="E6" t="str">
            <v>CENTRO</v>
          </cell>
          <cell r="F6">
            <v>140602.74999999994</v>
          </cell>
          <cell r="H6" t="str">
            <v>INDAIATUBA</v>
          </cell>
          <cell r="I6">
            <v>220.8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INTERLAGOS</v>
          </cell>
          <cell r="I7">
            <v>3652.2999999999997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H8" t="str">
            <v>JUNDIAI</v>
          </cell>
          <cell r="I8">
            <v>1527.93</v>
          </cell>
          <cell r="K8" t="str">
            <v>CAMPINAS</v>
          </cell>
          <cell r="N8">
            <v>14</v>
          </cell>
        </row>
        <row r="9">
          <cell r="E9" t="str">
            <v>INDAIATUBA</v>
          </cell>
          <cell r="F9">
            <v>31741.525000000009</v>
          </cell>
          <cell r="H9" t="str">
            <v>KEY INTERIOR</v>
          </cell>
          <cell r="I9">
            <v>2714.6</v>
          </cell>
          <cell r="K9" t="str">
            <v>CENTRO</v>
          </cell>
          <cell r="N9">
            <v>30</v>
          </cell>
        </row>
        <row r="10">
          <cell r="E10" t="str">
            <v>INTERLAGOS</v>
          </cell>
          <cell r="F10">
            <v>83323.1899999999</v>
          </cell>
          <cell r="H10" t="str">
            <v>KEY ZL</v>
          </cell>
          <cell r="I10">
            <v>1077</v>
          </cell>
          <cell r="K10" t="str">
            <v>INDAIATUBA</v>
          </cell>
          <cell r="N10">
            <v>17</v>
          </cell>
        </row>
        <row r="11">
          <cell r="E11" t="str">
            <v>JUNDIAI</v>
          </cell>
          <cell r="F11">
            <v>30016.580000000013</v>
          </cell>
          <cell r="H11" t="str">
            <v>LESTE</v>
          </cell>
          <cell r="I11">
            <v>150</v>
          </cell>
          <cell r="K11" t="str">
            <v>INTERLAGOS</v>
          </cell>
          <cell r="N11">
            <v>33</v>
          </cell>
        </row>
        <row r="12">
          <cell r="E12" t="str">
            <v>KEY ABC</v>
          </cell>
          <cell r="F12">
            <v>60845.74</v>
          </cell>
          <cell r="H12" t="str">
            <v>LESTE MOOCA</v>
          </cell>
          <cell r="I12">
            <v>2609.1999999999998</v>
          </cell>
          <cell r="K12" t="str">
            <v>JUNDIAI</v>
          </cell>
          <cell r="N12">
            <v>8</v>
          </cell>
        </row>
        <row r="13">
          <cell r="E13" t="str">
            <v>KEY CASA</v>
          </cell>
          <cell r="F13">
            <v>158412.58999999994</v>
          </cell>
          <cell r="H13" t="str">
            <v>LESTE PENHA</v>
          </cell>
          <cell r="I13">
            <v>4104.8</v>
          </cell>
          <cell r="K13" t="str">
            <v>LESTE</v>
          </cell>
          <cell r="N13">
            <v>16</v>
          </cell>
        </row>
        <row r="14">
          <cell r="E14" t="str">
            <v>KEY INTERIOR</v>
          </cell>
          <cell r="F14">
            <v>409440.49999999983</v>
          </cell>
          <cell r="H14" t="str">
            <v>MOGI</v>
          </cell>
          <cell r="I14">
            <v>144.9</v>
          </cell>
          <cell r="K14" t="str">
            <v>LESTE MOOCA</v>
          </cell>
          <cell r="N14">
            <v>24</v>
          </cell>
        </row>
        <row r="15">
          <cell r="E15" t="str">
            <v>KEY PIRACICABA</v>
          </cell>
          <cell r="F15">
            <v>0</v>
          </cell>
          <cell r="H15" t="str">
            <v>OSASCO</v>
          </cell>
          <cell r="I15">
            <v>4119.9900000000007</v>
          </cell>
          <cell r="K15" t="str">
            <v>LESTE PENHA</v>
          </cell>
          <cell r="N15">
            <v>9</v>
          </cell>
        </row>
        <row r="16">
          <cell r="E16" t="str">
            <v>KEY SJC</v>
          </cell>
          <cell r="F16">
            <v>2225.3500000000004</v>
          </cell>
          <cell r="H16" t="str">
            <v>PIRITUBA</v>
          </cell>
          <cell r="I16">
            <v>503.1</v>
          </cell>
          <cell r="K16" t="str">
            <v>LESTE TATUAPE</v>
          </cell>
          <cell r="N16">
            <v>13</v>
          </cell>
        </row>
        <row r="17">
          <cell r="E17" t="str">
            <v>KEY SP</v>
          </cell>
          <cell r="F17">
            <v>114671.21999999997</v>
          </cell>
          <cell r="H17" t="str">
            <v>SBC</v>
          </cell>
          <cell r="I17">
            <v>11201.53</v>
          </cell>
          <cell r="K17" t="str">
            <v>MOGI</v>
          </cell>
          <cell r="N17">
            <v>11</v>
          </cell>
        </row>
        <row r="18">
          <cell r="E18" t="str">
            <v>KEY ZL</v>
          </cell>
          <cell r="F18">
            <v>100507.01000000001</v>
          </cell>
          <cell r="H18" t="str">
            <v>SJC</v>
          </cell>
          <cell r="I18">
            <v>3266.9500000000003</v>
          </cell>
          <cell r="K18" t="str">
            <v>NORTE</v>
          </cell>
          <cell r="N18">
            <v>20</v>
          </cell>
        </row>
        <row r="19">
          <cell r="E19" t="str">
            <v>LESTE</v>
          </cell>
          <cell r="F19">
            <v>38956.680000000037</v>
          </cell>
          <cell r="H19" t="str">
            <v>VENDEDOR INTERNO 1</v>
          </cell>
          <cell r="I19">
            <v>1692</v>
          </cell>
          <cell r="K19" t="str">
            <v>OSASCO</v>
          </cell>
          <cell r="N19">
            <v>30</v>
          </cell>
        </row>
        <row r="20">
          <cell r="E20" t="str">
            <v>LESTE MOOCA</v>
          </cell>
          <cell r="F20">
            <v>50618.770000000033</v>
          </cell>
          <cell r="H20" t="str">
            <v>Total Geral</v>
          </cell>
          <cell r="I20">
            <v>40149.050000000003</v>
          </cell>
          <cell r="K20" t="str">
            <v>PIRITUBA</v>
          </cell>
          <cell r="N20">
            <v>15</v>
          </cell>
        </row>
        <row r="21">
          <cell r="E21" t="str">
            <v>LESTE PENHA</v>
          </cell>
          <cell r="F21">
            <v>39500.55000000001</v>
          </cell>
          <cell r="K21" t="str">
            <v>SANTO ANDRE</v>
          </cell>
          <cell r="N21">
            <v>13</v>
          </cell>
        </row>
        <row r="22">
          <cell r="E22" t="str">
            <v>LESTE TATUAPE</v>
          </cell>
          <cell r="F22">
            <v>27067.310000000038</v>
          </cell>
          <cell r="K22" t="str">
            <v>SBC</v>
          </cell>
          <cell r="N22">
            <v>20</v>
          </cell>
        </row>
        <row r="23">
          <cell r="E23" t="str">
            <v>MOGI</v>
          </cell>
          <cell r="F23">
            <v>12000.569999999991</v>
          </cell>
          <cell r="K23" t="str">
            <v>SJC</v>
          </cell>
          <cell r="N23">
            <v>15</v>
          </cell>
        </row>
        <row r="24">
          <cell r="E24" t="str">
            <v>NORTE</v>
          </cell>
          <cell r="F24">
            <v>68952.660000000076</v>
          </cell>
          <cell r="K24" t="str">
            <v>SJC/VALE</v>
          </cell>
          <cell r="N24">
            <v>16</v>
          </cell>
        </row>
        <row r="25">
          <cell r="E25" t="str">
            <v>OSASCO</v>
          </cell>
          <cell r="F25">
            <v>106087.57500000004</v>
          </cell>
          <cell r="K25" t="str">
            <v>Total Geral</v>
          </cell>
          <cell r="N25">
            <v>304</v>
          </cell>
        </row>
        <row r="26">
          <cell r="E26" t="str">
            <v>PIRITUBA</v>
          </cell>
          <cell r="F26">
            <v>39984.230000000003</v>
          </cell>
        </row>
        <row r="27">
          <cell r="E27" t="str">
            <v>SANTO ANDRE</v>
          </cell>
          <cell r="F27">
            <v>46455.64</v>
          </cell>
        </row>
        <row r="28">
          <cell r="E28" t="str">
            <v>SBC</v>
          </cell>
          <cell r="F28">
            <v>83432.329999999973</v>
          </cell>
        </row>
        <row r="29">
          <cell r="E29" t="str">
            <v>SJC</v>
          </cell>
          <cell r="F29">
            <v>28839.310000000009</v>
          </cell>
        </row>
        <row r="30">
          <cell r="E30" t="str">
            <v>SJC/VALE</v>
          </cell>
          <cell r="F30">
            <v>17378.379999999994</v>
          </cell>
        </row>
        <row r="31">
          <cell r="E31" t="str">
            <v>VENDEDOR INTERNO 1</v>
          </cell>
          <cell r="F31">
            <v>27813</v>
          </cell>
        </row>
        <row r="32">
          <cell r="E32" t="str">
            <v>Total Geral</v>
          </cell>
          <cell r="F32">
            <v>1737490.1400000041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N21" sqref="N21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1737490.14</v>
      </c>
      <c r="D5" s="2"/>
      <c r="E5" s="4"/>
      <c r="F5" s="4"/>
      <c r="G5" s="4"/>
      <c r="H5" s="4" t="s">
        <v>1</v>
      </c>
      <c r="I5" s="7">
        <f>SUM(J10:J27)</f>
        <v>36357.449999999997</v>
      </c>
      <c r="J5" s="4"/>
      <c r="K5" s="4"/>
      <c r="L5" s="4"/>
      <c r="M5" s="4"/>
      <c r="N5" s="4" t="s">
        <v>1</v>
      </c>
      <c r="O5" s="7">
        <f>SUM(P11:P17)</f>
        <v>256382.92000000004</v>
      </c>
      <c r="P5" s="4"/>
      <c r="Q5" s="4"/>
      <c r="R5" s="4"/>
      <c r="S5" s="4"/>
      <c r="T5" s="4" t="s">
        <v>1</v>
      </c>
      <c r="U5" s="4">
        <f>SUM(V10:V26)</f>
        <v>304</v>
      </c>
      <c r="V5" s="4"/>
      <c r="W5" s="4"/>
    </row>
    <row r="6" spans="1:23" x14ac:dyDescent="0.25">
      <c r="A6" s="4"/>
      <c r="B6" s="4" t="s">
        <v>2</v>
      </c>
      <c r="C6" s="2">
        <f>C4-C5</f>
        <v>4047009.8600000003</v>
      </c>
      <c r="D6" s="2"/>
      <c r="E6" s="4"/>
      <c r="F6" s="4"/>
      <c r="G6" s="4"/>
      <c r="H6" s="4" t="s">
        <v>2</v>
      </c>
      <c r="I6" s="7">
        <f>I4-I5</f>
        <v>163642.54999999999</v>
      </c>
      <c r="J6" s="4"/>
      <c r="K6" s="4"/>
      <c r="L6" s="4"/>
      <c r="M6" s="4"/>
      <c r="N6" s="4" t="s">
        <v>2</v>
      </c>
      <c r="O6" s="7">
        <f>O4-O5</f>
        <v>266617.07999999996</v>
      </c>
      <c r="P6" s="4"/>
      <c r="Q6" s="4"/>
      <c r="R6" s="4"/>
      <c r="S6" s="4"/>
      <c r="T6" s="4" t="s">
        <v>2</v>
      </c>
      <c r="U6" s="4">
        <f>U4-U5</f>
        <v>479</v>
      </c>
      <c r="V6" s="4"/>
      <c r="W6" s="4"/>
    </row>
    <row r="7" spans="1:23" x14ac:dyDescent="0.25">
      <c r="A7" s="4"/>
      <c r="B7" s="4" t="s">
        <v>3</v>
      </c>
      <c r="C7" s="3">
        <f>1-(C6/C4)</f>
        <v>0.30036997839052637</v>
      </c>
      <c r="D7" s="2"/>
      <c r="E7" s="4"/>
      <c r="F7" s="4"/>
      <c r="G7" s="4"/>
      <c r="H7" s="4" t="s">
        <v>3</v>
      </c>
      <c r="I7" s="3">
        <f>1-(I6/I4)</f>
        <v>0.18178725000000007</v>
      </c>
      <c r="J7" s="4"/>
      <c r="K7" s="4"/>
      <c r="L7" s="4"/>
      <c r="M7" s="4"/>
      <c r="N7" s="4" t="s">
        <v>3</v>
      </c>
      <c r="O7" s="3">
        <f>1-(O6/O4)</f>
        <v>0.49021590822179739</v>
      </c>
      <c r="P7" s="4"/>
      <c r="Q7" s="4"/>
      <c r="R7" s="4"/>
      <c r="S7" s="4"/>
      <c r="T7" s="4" t="s">
        <v>3</v>
      </c>
      <c r="U7" s="3">
        <f>1-(U6/U4)</f>
        <v>0.38825031928480203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17883.400000000001</v>
      </c>
      <c r="E10" s="25">
        <f>Tabela13[[#This Row],[META A]]-Tabela13[[#This Row],[ATINGIDO]]</f>
        <v>46616.6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22330</v>
      </c>
      <c r="J10" s="21">
        <f>_xlfn.XLOOKUP(Tabela5[[#This Row],[REFERENCIA]],'[1]BASE PYTHON'!$H:$H,'[1]BASE PYTHON'!$I:$I,0)</f>
        <v>4119.9900000000007</v>
      </c>
      <c r="K10" s="22">
        <f>Tabela5[[#This Row],[COMPROMISSO]]-Tabela5[[#This Row],[ATINGIDO]]</f>
        <v>18210.009999999998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14</v>
      </c>
      <c r="W10" s="18">
        <f>U10-V10</f>
        <v>24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140602.74999999994</v>
      </c>
      <c r="E11" s="23">
        <f>Tabela13[[#This Row],[META A]]-Tabela13[[#This Row],[ATINGIDO]]</f>
        <v>189397.25000000006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13640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13640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1680.5</v>
      </c>
      <c r="Q11" s="2">
        <f>Tabela8[[#This Row],[COMPROMISSO]]-Tabela8[[#This Row],[ATINGIDO]]</f>
        <v>67819.5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30</v>
      </c>
      <c r="W11" s="18">
        <f t="shared" ref="W11:W20" si="0">U11-V11</f>
        <v>24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11040</v>
      </c>
      <c r="J12" s="21">
        <f>_xlfn.XLOOKUP(Tabela5[[#This Row],[REFERENCIA]],'[1]BASE PYTHON'!$H:$H,'[1]BASE PYTHON'!$I:$I,0)</f>
        <v>503.1</v>
      </c>
      <c r="K12" s="22">
        <f>Tabela5[[#This Row],[COMPROMISSO]]-Tabela5[[#This Row],[ATINGIDO]]</f>
        <v>10536.9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17</v>
      </c>
      <c r="W12" s="18">
        <f t="shared" si="0"/>
        <v>26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31741.525000000009</v>
      </c>
      <c r="E13" s="23">
        <f>Tabela13[[#This Row],[META A]]-Tabela13[[#This Row],[ATINGIDO]]</f>
        <v>58258.474999999991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22280</v>
      </c>
      <c r="J13" s="21">
        <f>_xlfn.XLOOKUP(Tabela5[[#This Row],[REFERENCIA]],'[1]BASE PYTHON'!$H:$H,'[1]BASE PYTHON'!$I:$I,0)</f>
        <v>11201.53</v>
      </c>
      <c r="K13" s="22">
        <f>Tabela5[[#This Row],[COMPROMISSO]]-Tabela5[[#This Row],[ATINGIDO]]</f>
        <v>11078.47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32612.6</v>
      </c>
      <c r="Q13" s="2">
        <f>Tabela8[[#This Row],[COMPROMISSO]]-Tabela8[[#This Row],[ATINGIDO]]</f>
        <v>66387.399999999994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33</v>
      </c>
      <c r="W13" s="18">
        <f t="shared" si="0"/>
        <v>28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83323.1899999999</v>
      </c>
      <c r="E14" s="25">
        <f>Tabela13[[#This Row],[META A]]-Tabela13[[#This Row],[ATINGIDO]]</f>
        <v>189676.81000000011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14070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14070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175666.40000000002</v>
      </c>
      <c r="Q14" s="2">
        <f>Tabela8[[#This Row],[COMPROMISSO]]-Tabela8[[#This Row],[ATINGIDO]]</f>
        <v>-15666.400000000023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8</v>
      </c>
      <c r="W14" s="18">
        <f t="shared" si="0"/>
        <v>21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30016.580000000013</v>
      </c>
      <c r="E15" s="23">
        <f>Tabela13[[#This Row],[META A]]-Tabela13[[#This Row],[ATINGIDO]]</f>
        <v>47983.419999999984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20960</v>
      </c>
      <c r="J15" s="21">
        <f>_xlfn.XLOOKUP(Tabela5[[#This Row],[REFERENCIA]],'[1]BASE PYTHON'!$H:$H,'[1]BASE PYTHON'!$I:$I,0)</f>
        <v>3163.95</v>
      </c>
      <c r="K15" s="22">
        <f>Tabela5[[#This Row],[COMPROMISSO]]-Tabela5[[#This Row],[ATINGIDO]]</f>
        <v>17796.05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13773.72</v>
      </c>
      <c r="Q15" s="2">
        <f>Tabela8[[#This Row],[COMPROMISSO]]-Tabela8[[#This Row],[ATINGIDO]]</f>
        <v>118226.28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16</v>
      </c>
      <c r="W15" s="18">
        <f>U15-V15</f>
        <v>32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60845.74</v>
      </c>
      <c r="E16" s="25">
        <f>Tabela13[[#This Row],[META A]]-Tabela13[[#This Row],[ATINGIDO]]</f>
        <v>289154.26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11350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11350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11</v>
      </c>
      <c r="W16" s="18">
        <f t="shared" si="0"/>
        <v>30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158412.58999999994</v>
      </c>
      <c r="E17" s="23">
        <f>Tabela13[[#This Row],[META A]]-Tabela13[[#This Row],[ATINGIDO]]</f>
        <v>261587.41000000006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7100</v>
      </c>
      <c r="J17" s="21">
        <f>_xlfn.XLOOKUP(Tabela5[[#This Row],[REFERENCIA]],'[1]BASE PYTHON'!$H:$H,'[1]BASE PYTHON'!$I:$I,0)</f>
        <v>144.9</v>
      </c>
      <c r="K17" s="22">
        <f>Tabela5[[#This Row],[COMPROMISSO]]-Tabela5[[#This Row],[ATINGIDO]]</f>
        <v>6955.1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32649.700000000008</v>
      </c>
      <c r="Q17" s="2">
        <f>Tabela8[[#This Row],[COMPROMISSO]]-Tabela8[[#This Row],[ATINGIDO]]</f>
        <v>29850.299999999992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24</v>
      </c>
      <c r="W17" s="18">
        <f t="shared" si="0"/>
        <v>27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409440.49999999983</v>
      </c>
      <c r="E18" s="25">
        <f>Tabela13[[#This Row],[META A]]-Tabela13[[#This Row],[ATINGIDO]]</f>
        <v>570559.50000000023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6460</v>
      </c>
      <c r="J18" s="21">
        <f>_xlfn.XLOOKUP(Tabela5[[#This Row],[REFERENCIA]],'[1]BASE PYTHON'!$H:$H,'[1]BASE PYTHON'!$I:$I,0)</f>
        <v>150</v>
      </c>
      <c r="K18" s="22">
        <f>Tabela5[[#This Row],[COMPROMISSO]]-Tabela5[[#This Row],[ATINGIDO]]</f>
        <v>6310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20</v>
      </c>
      <c r="W18" s="18">
        <f t="shared" si="0"/>
        <v>27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2225.3500000000004</v>
      </c>
      <c r="E19" s="23">
        <f>Tabela13[[#This Row],[META A]]-Tabela13[[#This Row],[ATINGIDO]]</f>
        <v>139774.65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13770</v>
      </c>
      <c r="J19" s="21">
        <f>_xlfn.XLOOKUP(Tabela5[[#This Row],[REFERENCIA]],'[1]BASE PYTHON'!$H:$H,'[1]BASE PYTHON'!$I:$I,0)</f>
        <v>2609.1999999999998</v>
      </c>
      <c r="K19" s="22">
        <f>Tabela5[[#This Row],[COMPROMISSO]]-Tabela5[[#This Row],[ATINGIDO]]</f>
        <v>11160.8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30</v>
      </c>
      <c r="W19" s="18">
        <f t="shared" si="0"/>
        <v>33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114671.21999999997</v>
      </c>
      <c r="E20" s="25">
        <f>Tabela13[[#This Row],[META A]]-Tabela13[[#This Row],[ATINGIDO]]</f>
        <v>445328.78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15810</v>
      </c>
      <c r="J20" s="21">
        <f>_xlfn.XLOOKUP(Tabela5[[#This Row],[REFERENCIA]],'[1]BASE PYTHON'!$H:$H,'[1]BASE PYTHON'!$I:$I,0)</f>
        <v>3652.2999999999997</v>
      </c>
      <c r="K20" s="22">
        <f>Tabela5[[#This Row],[COMPROMISSO]]-Tabela5[[#This Row],[ATINGIDO]]</f>
        <v>12157.7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9</v>
      </c>
      <c r="W20" s="18">
        <f t="shared" si="0"/>
        <v>32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100507.01000000001</v>
      </c>
      <c r="E21" s="23">
        <f>Tabela13[[#This Row],[META A]]-Tabela13[[#This Row],[ATINGIDO]]</f>
        <v>324492.99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5080</v>
      </c>
      <c r="J21" s="21">
        <f>_xlfn.XLOOKUP(Tabela5[[#This Row],[REFERENCIA]],'[1]BASE PYTHON'!$H:$H,'[1]BASE PYTHON'!$I:$I,0)</f>
        <v>1527.93</v>
      </c>
      <c r="K21" s="22">
        <f>Tabela5[[#This Row],[COMPROMISSO]]-Tabela5[[#This Row],[ATINGIDO]]</f>
        <v>3552.0699999999997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15</v>
      </c>
      <c r="W21" s="18">
        <f t="shared" ref="W21:W26" si="1">U21-V21</f>
        <v>29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38956.680000000037</v>
      </c>
      <c r="E22" s="25">
        <f>Tabela13[[#This Row],[META A]]-Tabela13[[#This Row],[ATINGIDO]]</f>
        <v>83043.319999999963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14040</v>
      </c>
      <c r="J22" s="21">
        <f>_xlfn.XLOOKUP(Tabela5[[#This Row],[REFERENCIA]],'[1]BASE PYTHON'!$H:$H,'[1]BASE PYTHON'!$I:$I,0)</f>
        <v>4104.8</v>
      </c>
      <c r="K22" s="22">
        <f>Tabela5[[#This Row],[COMPROMISSO]]-Tabela5[[#This Row],[ATINGIDO]]</f>
        <v>9935.2000000000007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256382.92000000004</v>
      </c>
      <c r="Q22" s="7">
        <f>O22-P22</f>
        <v>428617.07999999996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13</v>
      </c>
      <c r="W22" s="18">
        <f t="shared" si="1"/>
        <v>27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50618.770000000033</v>
      </c>
      <c r="E23" s="23">
        <f>Tabela13[[#This Row],[META A]]-Tabela13[[#This Row],[ATINGIDO]]</f>
        <v>149381.22999999998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4480</v>
      </c>
      <c r="J23" s="21">
        <f>_xlfn.XLOOKUP(Tabela5[[#This Row],[REFERENCIA]],'[1]BASE PYTHON'!$H:$H,'[1]BASE PYTHON'!$I:$I,0)</f>
        <v>220.8</v>
      </c>
      <c r="K23" s="22">
        <f>Tabela5[[#This Row],[COMPROMISSO]]-Tabela5[[#This Row],[ATINGIDO]]</f>
        <v>4259.2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20</v>
      </c>
      <c r="W23" s="18">
        <f t="shared" si="1"/>
        <v>35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39500.55000000001</v>
      </c>
      <c r="E24" s="25">
        <f>Tabela13[[#This Row],[META A]]-Tabela13[[#This Row],[ATINGIDO]]</f>
        <v>105499.44999999998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2700</v>
      </c>
      <c r="J24" s="21">
        <f>_xlfn.XLOOKUP(Tabela5[[#This Row],[REFERENCIA]],'[1]BASE PYTHON'!$H:$H,'[1]BASE PYTHON'!$I:$I,0)</f>
        <v>1692</v>
      </c>
      <c r="K24" s="22">
        <f>Tabela5[[#This Row],[COMPROMISSO]]-Tabela5[[#This Row],[ATINGIDO]]</f>
        <v>1008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15</v>
      </c>
      <c r="W24" s="18">
        <f t="shared" si="1"/>
        <v>22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27067.310000000038</v>
      </c>
      <c r="E25" s="23">
        <f>Tabela13[[#This Row],[META A]]-Tabela13[[#This Row],[ATINGIDO]]</f>
        <v>119932.68999999996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5650</v>
      </c>
      <c r="J25" s="21">
        <f>_xlfn.XLOOKUP(Tabela5[[#This Row],[REFERENCIA]],'[1]BASE PYTHON'!$H:$H,'[1]BASE PYTHON'!$I:$I,0)</f>
        <v>3266.9500000000003</v>
      </c>
      <c r="K25" s="22">
        <f>Tabela5[[#This Row],[COMPROMISSO]]-Tabela5[[#This Row],[ATINGIDO]]</f>
        <v>2383.0499999999997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13</v>
      </c>
      <c r="W25" s="18">
        <f t="shared" si="1"/>
        <v>40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12000.569999999991</v>
      </c>
      <c r="E26" s="25">
        <f>Tabela13[[#This Row],[META A]]-Tabela13[[#This Row],[ATINGIDO]]</f>
        <v>77999.430000000008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3480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3480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16</v>
      </c>
      <c r="W26" s="18">
        <f t="shared" si="1"/>
        <v>22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68952.660000000076</v>
      </c>
      <c r="E27" s="23">
        <f>Tabela13[[#This Row],[META A]]-Tabela13[[#This Row],[ATINGIDO]]</f>
        <v>173047.33999999991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5760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5760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106087.57500000004</v>
      </c>
      <c r="E28" s="25">
        <f>Tabela13[[#This Row],[META A]]-Tabela13[[#This Row],[ATINGIDO]]</f>
        <v>217412.42499999996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39984.230000000003</v>
      </c>
      <c r="E30" s="25">
        <f>Tabela13[[#This Row],[META A]]-Tabela13[[#This Row],[ATINGIDO]]</f>
        <v>99515.76999999999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46455.64</v>
      </c>
      <c r="E31" s="23">
        <f>Tabela13[[#This Row],[META A]]-Tabela13[[#This Row],[ATINGIDO]]</f>
        <v>120544.36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576966.1700000047</v>
      </c>
      <c r="K31" s="7">
        <f>I31-J31</f>
        <v>115057.63952380477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90</v>
      </c>
      <c r="W31" s="6">
        <f t="shared" ref="W31:W33" si="2">U31-V31</f>
        <v>96.428571428571416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83432.329999999973</v>
      </c>
      <c r="E32" s="25">
        <f>Tabela13[[#This Row],[META A]]-Tabela13[[#This Row],[ATINGIDO]]</f>
        <v>181567.67000000004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263069.51</v>
      </c>
      <c r="K32" s="7">
        <f t="shared" ref="K32:K34" si="3">I32-J32</f>
        <v>428954.29952380946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28839.310000000009</v>
      </c>
      <c r="E33" s="23">
        <f>Tabela13[[#This Row],[META A]]-Tabela13[[#This Row],[ATINGIDO]]</f>
        <v>71160.689999999988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17378.379999999994</v>
      </c>
      <c r="E34" s="25">
        <f>Tabela13[[#This Row],[META A]]-Tabela13[[#This Row],[ATINGIDO]]</f>
        <v>37621.62000000001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27813</v>
      </c>
      <c r="E35" s="23">
        <f>Tabela13[[#This Row],[META A]]-Tabela13[[#This Row],[ATINGIDO]]</f>
        <v>47187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1205132.0099999986</v>
      </c>
      <c r="E40" s="7">
        <f>C40-D40</f>
        <v>172129.89476190624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532358.12999999977</v>
      </c>
      <c r="E41" s="7">
        <f t="shared" ref="E41:E43" si="4">C41-D41</f>
        <v>844903.77476190508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2026-08-11T13:39:14Z</dcterms:modified>
</cp:coreProperties>
</file>