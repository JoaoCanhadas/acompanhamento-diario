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6BA3B60-58FC-4748-B2CF-951EB49E9E4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2" i="2"/>
  <c r="V31" i="2"/>
  <c r="V34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4" i="2"/>
  <c r="D43" i="2"/>
  <c r="J35" i="2"/>
  <c r="P25" i="2"/>
  <c r="D41" i="2"/>
  <c r="J34" i="2"/>
  <c r="P22" i="2"/>
  <c r="D44" i="2"/>
  <c r="P21" i="2"/>
  <c r="J31" i="2"/>
  <c r="P23" i="2"/>
  <c r="J33" i="2"/>
  <c r="D40" i="2"/>
  <c r="J32" i="2"/>
  <c r="D4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<sst xmlns="http://schemas.openxmlformats.org/spreadsheetml/2006/main" count="215" uniqueCount="54">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</sst>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47335.959999999977</v>
          </cell>
          <cell r="H5" t="str">
            <v>CAMPINAS</v>
          </cell>
          <cell r="I5">
            <v>4802.1500000000005</v>
          </cell>
        </row>
        <row r="6">
          <cell r="E6" t="str">
            <v>CENTRO</v>
          </cell>
          <cell r="F6">
            <v>291950.24999999936</v>
          </cell>
          <cell r="H6" t="str">
            <v>CENTRO</v>
          </cell>
          <cell r="I6">
            <v>13464.27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5143.1400000000003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INTERLAGOS</v>
          </cell>
          <cell r="I8">
            <v>11973.369999999997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58482.359999999986</v>
          </cell>
          <cell r="H9" t="str">
            <v>JUNDIAI</v>
          </cell>
          <cell r="I9">
            <v>5839.8</v>
          </cell>
          <cell r="K9" t="str">
            <v>CENTRO</v>
          </cell>
          <cell r="N9">
            <v>48</v>
          </cell>
        </row>
        <row r="10">
          <cell r="E10" t="str">
            <v>INTERLAGOS</v>
          </cell>
          <cell r="F10">
            <v>206188.15999999983</v>
          </cell>
          <cell r="H10" t="str">
            <v>KEY ABC</v>
          </cell>
          <cell r="I10">
            <v>14424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61896.400000000081</v>
          </cell>
          <cell r="H11" t="str">
            <v>KEY CASA</v>
          </cell>
          <cell r="I11">
            <v>5039.8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275080.61999999994</v>
          </cell>
          <cell r="H12" t="str">
            <v>KEY INTERIOR</v>
          </cell>
          <cell r="I12">
            <v>8959.8000000000011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271633.08000000071</v>
          </cell>
          <cell r="H13" t="str">
            <v>KEY PIRACICABA</v>
          </cell>
          <cell r="I13">
            <v>1724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860353.20000000019</v>
          </cell>
          <cell r="H14" t="str">
            <v>KEY ZL</v>
          </cell>
          <cell r="I14">
            <v>17755.400000000001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107460.07999999997</v>
          </cell>
          <cell r="H15" t="str">
            <v>LESTE</v>
          </cell>
          <cell r="I15">
            <v>7841.6500000000005</v>
          </cell>
          <cell r="K15" t="str">
            <v>LESTE PENHA</v>
          </cell>
          <cell r="N15">
            <v>29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9019.4799999999977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279492.74</v>
          </cell>
          <cell r="H17" t="str">
            <v>LESTE PENHA</v>
          </cell>
          <cell r="I17">
            <v>5633.5499999999993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334763.69999999955</v>
          </cell>
          <cell r="H18" t="str">
            <v>LESTE TATUAPE</v>
          </cell>
          <cell r="I18">
            <v>16047.279999999999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85627.129999999932</v>
          </cell>
          <cell r="H19" t="str">
            <v>MOGI</v>
          </cell>
          <cell r="I19">
            <v>3193.2600000000007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154469.5849999995</v>
          </cell>
          <cell r="H20" t="str">
            <v>NORTE</v>
          </cell>
          <cell r="I20">
            <v>11776.7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104517.12999999998</v>
          </cell>
          <cell r="H21" t="str">
            <v>OSASCO</v>
          </cell>
          <cell r="I21">
            <v>9347.83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107065.40999999971</v>
          </cell>
          <cell r="H22" t="str">
            <v>PIRITUBA</v>
          </cell>
          <cell r="I22">
            <v>1907.2</v>
          </cell>
          <cell r="K22" t="str">
            <v>SBC</v>
          </cell>
          <cell r="N22">
            <v>39</v>
          </cell>
        </row>
        <row r="23">
          <cell r="E23" t="str">
            <v>MOGI</v>
          </cell>
          <cell r="F23">
            <v>56704.27000000015</v>
          </cell>
          <cell r="H23" t="str">
            <v>SANTO ANDRE</v>
          </cell>
          <cell r="I23">
            <v>10260.750000000002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194686.75999999949</v>
          </cell>
          <cell r="H24" t="str">
            <v>SBC</v>
          </cell>
          <cell r="I24">
            <v>13312.300000000001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259305.73999999932</v>
          </cell>
          <cell r="H25" t="str">
            <v>SJC</v>
          </cell>
          <cell r="I25">
            <v>9081.9599999999991</v>
          </cell>
          <cell r="K25" t="str">
            <v>Total Geral</v>
          </cell>
          <cell r="N25">
            <v>632</v>
          </cell>
        </row>
        <row r="26">
          <cell r="E26" t="str">
            <v>PIRITUBA</v>
          </cell>
          <cell r="F26">
            <v>103860.9499999999</v>
          </cell>
          <cell r="H26" t="str">
            <v>SJC/VALE</v>
          </cell>
          <cell r="I26">
            <v>1843.0700000000002</v>
          </cell>
        </row>
        <row r="27">
          <cell r="E27" t="str">
            <v>SANTO ANDRE</v>
          </cell>
          <cell r="F27">
            <v>134448.26999999999</v>
          </cell>
          <cell r="H27" t="str">
            <v>VENDEDOR INTERNO 1</v>
          </cell>
          <cell r="I27">
            <v>5952.3</v>
          </cell>
        </row>
        <row r="28">
          <cell r="E28" t="str">
            <v>SBC</v>
          </cell>
          <cell r="F28">
            <v>201074.25999999978</v>
          </cell>
          <cell r="H28" t="str">
            <v>Total Geral</v>
          </cell>
          <cell r="I28">
            <v>194343.06000000003</v>
          </cell>
        </row>
        <row r="29">
          <cell r="E29" t="str">
            <v>SJC</v>
          </cell>
          <cell r="F29">
            <v>71259.790000000052</v>
          </cell>
        </row>
        <row r="30">
          <cell r="E30" t="str">
            <v>SJC/VALE</v>
          </cell>
          <cell r="F30">
            <v>35397.510000000024</v>
          </cell>
        </row>
        <row r="31">
          <cell r="E31" t="str">
            <v>VENDEDOR INTERNO 1</v>
          </cell>
          <cell r="F31">
            <v>63280.780000000013</v>
          </cell>
        </row>
        <row r="32">
          <cell r="E32" t="str">
            <v>Total Geral</v>
          </cell>
          <cell r="F32">
            <v>4494723.5549999392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4494723.5549999978</v>
      </c>
      <c r="D5" s="2"/>
      <c r="E5" s="4"/>
      <c r="F5" s="4"/>
      <c r="G5" s="4"/>
      <c r="H5" s="4" t="s">
        <v>1</v>
      </c>
      <c r="I5" s="7">
        <f>SUM(J10:J27)</f>
        <v>146440.06</v>
      </c>
      <c r="J5" s="4"/>
      <c r="K5" s="4"/>
      <c r="L5" s="4"/>
      <c r="M5" s="4"/>
      <c r="N5" s="4" t="s">
        <v>1</v>
      </c>
      <c r="O5" s="7">
        <f>SUM(P11:P17)</f>
        <v>46179.000000000007</v>
      </c>
      <c r="P5" s="4"/>
      <c r="Q5" s="4"/>
      <c r="R5" s="4"/>
      <c r="S5" s="4"/>
      <c r="T5" s="4" t="s">
        <v>1</v>
      </c>
      <c r="U5" s="4">
        <f>SUM(V10:V26)</f>
        <v>632</v>
      </c>
      <c r="V5" s="4"/>
      <c r="W5" s="4"/>
    </row>
    <row r="6" spans="1:23" x14ac:dyDescent="0.25">
      <c r="A6" s="4"/>
      <c r="B6" s="4" t="s">
        <v>2</v>
      </c>
      <c r="C6" s="2">
        <f>C4-C5</f>
        <v>1097776.4450000022</v>
      </c>
      <c r="D6" s="2"/>
      <c r="E6" s="4"/>
      <c r="F6" s="4"/>
      <c r="G6" s="4"/>
      <c r="H6" s="4" t="s">
        <v>2</v>
      </c>
      <c r="I6" s="7">
        <f>I4-I5</f>
        <v>-16440.059999999998</v>
      </c>
      <c r="J6" s="4"/>
      <c r="K6" s="4"/>
      <c r="L6" s="4"/>
      <c r="M6" s="4"/>
      <c r="N6" s="4" t="s">
        <v>2</v>
      </c>
      <c r="O6" s="7">
        <f>O4-O5</f>
        <v>-46179.000000000007</v>
      </c>
      <c r="P6" s="4"/>
      <c r="Q6" s="4"/>
      <c r="R6" s="4"/>
      <c r="S6" s="4"/>
      <c r="T6" s="4" t="s">
        <v>2</v>
      </c>
      <c r="U6" s="4">
        <f>U4-U5</f>
        <v>126</v>
      </c>
      <c r="V6" s="4"/>
      <c r="W6" s="4"/>
    </row>
    <row r="7" spans="1:23" x14ac:dyDescent="0.25">
      <c r="A7" s="4"/>
      <c r="B7" s="4" t="s">
        <v>3</v>
      </c>
      <c r="C7" s="3">
        <f>1-(C6/C4)</f>
        <v>0.80370559767545779</v>
      </c>
      <c r="D7" s="2"/>
      <c r="E7" s="4"/>
      <c r="F7" s="4"/>
      <c r="G7" s="4"/>
      <c r="H7" s="4" t="s">
        <v>3</v>
      </c>
      <c r="I7" s="3">
        <f>1-(I6/I4)</f>
        <v>1.1264620000000001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0.83377308707124009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47335.959999999977</v>
      </c>
      <c r="E10" s="27">
        <f>Tabela13[[#This Row],[META A]]-Tabela13[[#This Row],[ATINGIDO]]</f>
        <v>17164.040000000023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9347.83</v>
      </c>
      <c r="K10" s="23">
        <f>Tabela5[[#This Row],[COMPROMISSO]]-Tabela5[[#This Row],[ATINGIDO]]</f>
        <v>2742.17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291950.24999999936</v>
      </c>
      <c r="E11" s="24">
        <f>Tabela13[[#This Row],[META A]]-Tabela13[[#This Row],[ATINGIDO]]</f>
        <v>33049.75000000064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11776.7</v>
      </c>
      <c r="K11" s="23">
        <f>Tabela5[[#This Row],[COMPROMISSO]]-Tabela5[[#This Row],[ATINGIDO]]</f>
        <v>-776.70000000000073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14424</v>
      </c>
      <c r="Q11" s="2">
        <f>O11-P11</f>
        <v>-14424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48</v>
      </c>
      <c r="W11" s="19">
        <f t="shared" ref="W11:W20" si="0">U11-V11</f>
        <v>4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1907.2</v>
      </c>
      <c r="K12" s="23">
        <f>Tabela5[[#This Row],[COMPROMISSO]]-Tabela5[[#This Row],[ATINGIDO]]</f>
        <v>3492.8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58482.359999999986</v>
      </c>
      <c r="E13" s="24">
        <f>Tabela13[[#This Row],[META A]]-Tabela13[[#This Row],[ATINGIDO]]</f>
        <v>31517.640000000014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13312.300000000001</v>
      </c>
      <c r="K13" s="23">
        <f>Tabela5[[#This Row],[COMPROMISSO]]-Tabela5[[#This Row],[ATINGIDO]]</f>
        <v>-312.30000000000109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17755.400000000001</v>
      </c>
      <c r="Q13" s="2">
        <f t="shared" ref="Q13:Q17" si="1">O13-P13</f>
        <v>-17755.400000000001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206188.15999999983</v>
      </c>
      <c r="E14" s="27">
        <f>Tabela13[[#This Row],[META A]]-Tabela13[[#This Row],[ATINGIDO]]</f>
        <v>66811.840000000171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16047.279999999999</v>
      </c>
      <c r="K14" s="23">
        <f>Tabela5[[#This Row],[COMPROMISSO]]-Tabela5[[#This Row],[ATINGIDO]]</f>
        <v>-12207.279999999999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8959.8000000000011</v>
      </c>
      <c r="Q14" s="2">
        <f t="shared" si="1"/>
        <v>-8959.8000000000011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61896.400000000081</v>
      </c>
      <c r="E15" s="24">
        <f>Tabela13[[#This Row],[META A]]-Tabela13[[#This Row],[ATINGIDO]]</f>
        <v>16103.599999999919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13464.27</v>
      </c>
      <c r="K15" s="23">
        <f>Tabela5[[#This Row],[COMPROMISSO]]-Tabela5[[#This Row],[ATINGIDO]]</f>
        <v>1535.7299999999996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275080.61999999994</v>
      </c>
      <c r="E16" s="27">
        <f>Tabela13[[#This Row],[META A]]-Tabela13[[#This Row],[ATINGIDO]]</f>
        <v>49919.380000000063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10260.750000000002</v>
      </c>
      <c r="K16" s="23">
        <f>Tabela5[[#This Row],[COMPROMISSO]]-Tabela5[[#This Row],[ATINGIDO]]</f>
        <v>-420.75000000000182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271633.08000000071</v>
      </c>
      <c r="E17" s="24">
        <f>Tabela13[[#This Row],[META A]]-Tabela13[[#This Row],[ATINGIDO]]</f>
        <v>-101633.08000000071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3193.2600000000007</v>
      </c>
      <c r="K17" s="23">
        <f>Tabela5[[#This Row],[COMPROMISSO]]-Tabela5[[#This Row],[ATINGIDO]]</f>
        <v>1656.7399999999993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5039.8</v>
      </c>
      <c r="Q17" s="2">
        <f t="shared" si="1"/>
        <v>-5039.8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860353.20000000019</v>
      </c>
      <c r="E18" s="27">
        <f>Tabela13[[#This Row],[META A]]-Tabela13[[#This Row],[ATINGIDO]]</f>
        <v>89646.799999999814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7841.6500000000005</v>
      </c>
      <c r="K18" s="23">
        <f>Tabela5[[#This Row],[COMPROMISSO]]-Tabela5[[#This Row],[ATINGIDO]]</f>
        <v>-1001.6500000000005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9019.4799999999977</v>
      </c>
      <c r="K19" s="23">
        <f>Tabela5[[#This Row],[COMPROMISSO]]-Tabela5[[#This Row],[ATINGIDO]]</f>
        <v>-1899.4799999999977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279492.74</v>
      </c>
      <c r="E20" s="27">
        <f>Tabela13[[#This Row],[META A]]-Tabela13[[#This Row],[ATINGIDO]]</f>
        <v>280507.26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11973.369999999997</v>
      </c>
      <c r="K20" s="23">
        <f>Tabela5[[#This Row],[COMPROMISSO]]-Tabela5[[#This Row],[ATINGIDO]]</f>
        <v>3026.6300000000028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29</v>
      </c>
      <c r="W20" s="19">
        <f t="shared" si="0"/>
        <v>10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334763.69999999955</v>
      </c>
      <c r="E21" s="24">
        <f>Tabela13[[#This Row],[META A]]-Tabela13[[#This Row],[ATINGIDO]]</f>
        <v>80236.300000000454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5839.8</v>
      </c>
      <c r="K21" s="23">
        <f>Tabela5[[#This Row],[COMPROMISSO]]-Tabela5[[#This Row],[ATINGIDO]]</f>
        <v>-739.80000000000018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85627.129999999932</v>
      </c>
      <c r="E22" s="27">
        <f>Tabela13[[#This Row],[META A]]-Tabela13[[#This Row],[ATINGIDO]]</f>
        <v>36372.870000000068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5633.5499999999993</v>
      </c>
      <c r="K22" s="23">
        <f>Tabela5[[#This Row],[COMPROMISSO]]-Tabela5[[#This Row],[ATINGIDO]]</f>
        <v>-2313.5499999999993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154469.5849999995</v>
      </c>
      <c r="E23" s="24">
        <f>Tabela13[[#This Row],[META A]]-Tabela13[[#This Row],[ATINGIDO]]</f>
        <v>40530.415000000503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5143.1400000000003</v>
      </c>
      <c r="K23" s="23">
        <f>Tabela5[[#This Row],[COMPROMISSO]]-Tabela5[[#This Row],[ATINGIDO]]</f>
        <v>-1133.1400000000003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39</v>
      </c>
      <c r="W23" s="19">
        <f t="shared" si="2"/>
        <v>16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104517.12999999998</v>
      </c>
      <c r="E24" s="27">
        <f>Tabela13[[#This Row],[META A]]-Tabela13[[#This Row],[ATINGIDO]]</f>
        <v>35482.870000000024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5952.3</v>
      </c>
      <c r="K24" s="23">
        <f>Tabela5[[#This Row],[COMPROMISSO]]-Tabela5[[#This Row],[ATINGIDO]]</f>
        <v>-1252.3000000000002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107065.40999999971</v>
      </c>
      <c r="E25" s="24">
        <f>Tabela13[[#This Row],[META A]]-Tabela13[[#This Row],[ATINGIDO]]</f>
        <v>35434.590000000288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9081.9599999999991</v>
      </c>
      <c r="K25" s="23">
        <f>Tabela5[[#This Row],[COMPROMISSO]]-Tabela5[[#This Row],[ATINGIDO]]</f>
        <v>-6391.9599999999991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47903</v>
      </c>
      <c r="Q25" s="7">
        <f>O25-P25</f>
        <v>571415.18181818188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56704.27000000015</v>
      </c>
      <c r="E26" s="27">
        <f>Tabela13[[#This Row],[META A]]-Tabela13[[#This Row],[ATINGIDO]]</f>
        <v>33295.72999999985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1843.0700000000002</v>
      </c>
      <c r="K26" s="23">
        <f>Tabela5[[#This Row],[COMPROMISSO]]-Tabela5[[#This Row],[ATINGIDO]]</f>
        <v>1686.9299999999998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194686.75999999949</v>
      </c>
      <c r="E27" s="24">
        <f>Tabela13[[#This Row],[META A]]-Tabela13[[#This Row],[ATINGIDO]]</f>
        <v>42813.240000000515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4802.1500000000005</v>
      </c>
      <c r="K27" s="23">
        <f>Tabela5[[#This Row],[COMPROMISSO]]-Tabela5[[#This Row],[ATINGIDO]]</f>
        <v>-2132.1500000000005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259305.73999999932</v>
      </c>
      <c r="E28" s="27">
        <f>Tabela13[[#This Row],[META A]]-Tabela13[[#This Row],[ATINGIDO]]</f>
        <v>59194.260000000679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103860.9499999999</v>
      </c>
      <c r="E30" s="27">
        <f>Tabela13[[#This Row],[META A]]-Tabela13[[#This Row],[ATINGIDO]]</f>
        <v>30639.050000000105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134448.26999999999</v>
      </c>
      <c r="E31" s="24">
        <f>Tabela13[[#This Row],[META A]]-Tabela13[[#This Row],[ATINGIDO]]</f>
        <v>32551.73000000001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201074.25999999978</v>
      </c>
      <c r="E32" s="27">
        <f>Tabela13[[#This Row],[META A]]-Tabela13[[#This Row],[ATINGIDO]]</f>
        <v>58925.740000000224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71259.790000000052</v>
      </c>
      <c r="E33" s="24">
        <f>Tabela13[[#This Row],[META A]]-Tabela13[[#This Row],[ATINGIDO]]</f>
        <v>28740.209999999948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35397.510000000024</v>
      </c>
      <c r="E34" s="27">
        <f>Tabela13[[#This Row],[META A]]-Tabela13[[#This Row],[ATINGIDO]]</f>
        <v>19602.489999999976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48</v>
      </c>
      <c r="W34" s="6">
        <f>U34-V34</f>
        <v>124.27272727272725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63280.780000000013</v>
      </c>
      <c r="E35" s="24">
        <f>Tabela13[[#This Row],[META A]]-Tabela13[[#This Row],[ATINGIDO]]</f>
        <v>9719.2199999999866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146440.05999999982</v>
      </c>
      <c r="K35" s="7">
        <f>I35-J35</f>
        <v>504809.94000000018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5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1266985.5749999946</v>
      </c>
      <c r="E43" s="7">
        <f t="shared" si="5"/>
        <v>3809.8795454599895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194343.05999999979</v>
      </c>
      <c r="E44" s="7">
        <f t="shared" ref="E44" si="6">C44-D44</f>
        <v>1076452.3945454548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2026-07-27T14:44:50Z</dcterms:modified>
</cp:coreProperties>
</file>