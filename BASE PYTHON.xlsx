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EE7B403A-6199-4AF3-A27E-A8280112E165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1" i="2" l="1"/>
  <c r="C10" i="2" l="1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V26" i="2"/>
  <c r="U26" i="2"/>
  <c r="V25" i="2"/>
  <c r="U25" i="2"/>
  <c r="V24" i="2"/>
  <c r="U24" i="2"/>
  <c r="V23" i="2"/>
  <c r="U23" i="2"/>
  <c r="V22" i="2"/>
  <c r="U22" i="2"/>
  <c r="V21" i="2"/>
  <c r="U21" i="2"/>
  <c r="V20" i="2"/>
  <c r="U20" i="2"/>
  <c r="V19" i="2"/>
  <c r="U19" i="2"/>
  <c r="V18" i="2"/>
  <c r="U18" i="2"/>
  <c r="V17" i="2"/>
  <c r="U17" i="2"/>
  <c r="V16" i="2"/>
  <c r="U16" i="2"/>
  <c r="V15" i="2"/>
  <c r="U15" i="2"/>
  <c r="V14" i="2"/>
  <c r="U14" i="2"/>
  <c r="V13" i="2"/>
  <c r="U13" i="2"/>
  <c r="V12" i="2"/>
  <c r="U12" i="2"/>
  <c r="V11" i="2"/>
  <c r="U11" i="2"/>
  <c r="V10" i="2"/>
  <c r="U10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O17" i="2" a="1"/>
  <c r="O17" i="2" s="1"/>
  <c r="O16" i="2" a="1"/>
  <c r="O16" i="2" s="1"/>
  <c r="O15" i="2" a="1"/>
  <c r="O15" i="2" s="1"/>
  <c r="O14" i="2" a="1"/>
  <c r="O14" i="2" s="1"/>
  <c r="O13" i="2" a="1"/>
  <c r="O13" i="2" s="1"/>
  <c r="O12" i="2" a="1"/>
  <c r="O12" i="2" s="1"/>
  <c r="O11" i="2" a="1"/>
  <c r="O11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J33" i="2"/>
  <c r="J35" i="2"/>
  <c r="P25" i="2"/>
  <c r="J31" i="2"/>
  <c r="V32" i="2"/>
  <c r="P24" i="2"/>
  <c r="D40" i="2"/>
  <c r="D42" i="2"/>
  <c r="P11" i="2"/>
  <c r="V30" i="2"/>
  <c r="P16" i="2"/>
  <c r="P14" i="2"/>
  <c r="V34" i="2"/>
  <c r="J34" i="2"/>
  <c r="P13" i="2"/>
  <c r="V33" i="2"/>
  <c r="P21" i="2"/>
  <c r="D44" i="2"/>
  <c r="P15" i="2"/>
  <c r="V31" i="2"/>
  <c r="J32" i="2"/>
  <c r="P23" i="2"/>
  <c r="P17" i="2"/>
  <c r="P12" i="2"/>
  <c r="P22" i="2"/>
  <c r="D43" i="2"/>
  <c r="Q11" i="2" l="1"/>
  <c r="Q17" i="2"/>
  <c r="Q16" i="2"/>
  <c r="Q15" i="2"/>
  <c r="Q14" i="2"/>
  <c r="Q13" i="2"/>
  <c r="Q12" i="2"/>
  <c r="E36" i="2"/>
  <c r="U5" i="2"/>
  <c r="E12" i="2"/>
  <c r="C5" i="2" l="1"/>
  <c r="C4" i="2"/>
  <c r="K16" i="2"/>
  <c r="K20" i="2"/>
  <c r="K19" i="2"/>
  <c r="K12" i="2"/>
  <c r="K27" i="2"/>
  <c r="K11" i="2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O6" i="2" l="1"/>
  <c r="O7" i="2" s="1"/>
  <c r="I4" i="2" l="1"/>
  <c r="I6" i="2" s="1"/>
  <c r="I7" i="2" s="1"/>
  <c r="W19" i="2" l="1"/>
  <c r="W18" i="2"/>
  <c r="W21" i="2"/>
  <c r="W23" i="2"/>
  <c r="W25" i="2"/>
  <c r="W11" i="2"/>
  <c r="W22" i="2"/>
  <c r="W16" i="2"/>
  <c r="W15" i="2"/>
  <c r="W17" i="2"/>
  <c r="W13" i="2"/>
  <c r="W14" i="2"/>
  <c r="W20" i="2"/>
  <c r="W12" i="2"/>
  <c r="W24" i="2"/>
  <c r="W26" i="2"/>
  <c r="W10" i="2" l="1"/>
  <c r="U4" i="2"/>
  <c r="U6" i="2" s="1"/>
  <c r="U7" i="2" s="1"/>
  <c r="C42" i="2" l="1" a="1"/>
  <c r="C42" i="2" s="1"/>
  <c r="E42" i="2" s="1"/>
  <c r="C43" i="2" a="1"/>
  <c r="C43" i="2" s="1"/>
  <c r="E43" i="2" s="1"/>
  <c r="C40" i="2" a="1"/>
  <c r="C40" i="2" s="1"/>
  <c r="E40" i="2" s="1"/>
  <c r="C41" i="2" a="1"/>
  <c r="C41" i="2" s="1"/>
  <c r="E41" i="2" s="1"/>
  <c r="C44" i="2" a="1"/>
  <c r="C44" i="2" s="1"/>
  <c r="E44" i="2" s="1"/>
  <c r="I32" i="2" a="1"/>
  <c r="I32" i="2" s="1"/>
  <c r="K32" i="2" s="1"/>
  <c r="I31" i="2" a="1"/>
  <c r="I31" i="2" s="1"/>
  <c r="K31" i="2" s="1"/>
  <c r="I34" i="2" a="1"/>
  <c r="I34" i="2" s="1"/>
  <c r="K34" i="2" s="1"/>
  <c r="O23" i="2" a="1"/>
  <c r="O23" i="2" s="1"/>
  <c r="Q23" i="2" s="1"/>
  <c r="I35" i="2" a="1"/>
  <c r="I35" i="2" s="1"/>
  <c r="K35" i="2" s="1"/>
  <c r="I33" i="2" a="1"/>
  <c r="I33" i="2" s="1"/>
  <c r="K33" i="2" s="1"/>
  <c r="O24" i="2" a="1"/>
  <c r="O24" i="2" s="1"/>
  <c r="Q24" i="2" s="1"/>
  <c r="O21" i="2" a="1"/>
  <c r="O21" i="2" s="1"/>
  <c r="Q21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8-06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<sst xmlns="http://schemas.openxmlformats.org/spreadsheetml/2006/main" count="215" uniqueCount="54">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</sst>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9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com3\Downloads\Conversor%20CX%20vs%20KG.xlsm" TargetMode="External"/><Relationship Id="rId1" Type="http://schemas.openxmlformats.org/officeDocument/2006/relationships/externalLinkPath" Target="file:///C:\Users\acom3\Downloads\Conversor%20CX%20vs%20KG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06/08/2026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10610.85</v>
          </cell>
          <cell r="H5" t="str">
            <v>CAMPINAS</v>
          </cell>
          <cell r="I5">
            <v>1073.68</v>
          </cell>
        </row>
        <row r="6">
          <cell r="E6" t="str">
            <v>CENTRO</v>
          </cell>
          <cell r="F6">
            <v>67263.179999999978</v>
          </cell>
          <cell r="H6" t="str">
            <v>CENTRO</v>
          </cell>
          <cell r="I6">
            <v>9112.59</v>
          </cell>
          <cell r="K6" t="str">
            <v>Contagem Distinta de COD_CLIENTE</v>
          </cell>
        </row>
        <row r="7">
          <cell r="E7" t="str">
            <v>ECOMMERCE</v>
          </cell>
          <cell r="F7">
            <v>644.28</v>
          </cell>
          <cell r="H7" t="str">
            <v>INDAIATUBA</v>
          </cell>
          <cell r="I7">
            <v>787.7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0</v>
          </cell>
          <cell r="H8" t="str">
            <v>INTERLAGOS</v>
          </cell>
          <cell r="I8">
            <v>1413.4400000000003</v>
          </cell>
          <cell r="K8" t="str">
            <v>CAMPINAS</v>
          </cell>
          <cell r="N8">
            <v>9</v>
          </cell>
        </row>
        <row r="9">
          <cell r="E9" t="str">
            <v>INDAIATUBA</v>
          </cell>
          <cell r="F9">
            <v>19002.600000000002</v>
          </cell>
          <cell r="H9" t="str">
            <v>JUNDIAI</v>
          </cell>
          <cell r="I9">
            <v>119.9</v>
          </cell>
          <cell r="K9" t="str">
            <v>CENTRO</v>
          </cell>
          <cell r="N9">
            <v>18</v>
          </cell>
        </row>
        <row r="10">
          <cell r="E10" t="str">
            <v>INTERLAGOS</v>
          </cell>
          <cell r="F10">
            <v>38088.070000000022</v>
          </cell>
          <cell r="H10" t="str">
            <v>KEY CASA</v>
          </cell>
          <cell r="I10">
            <v>24710.2</v>
          </cell>
          <cell r="K10" t="str">
            <v>INDAIATUBA</v>
          </cell>
          <cell r="N10">
            <v>13</v>
          </cell>
        </row>
        <row r="11">
          <cell r="E11" t="str">
            <v>JUNDIAI</v>
          </cell>
          <cell r="F11">
            <v>14024.009999999997</v>
          </cell>
          <cell r="H11" t="str">
            <v>KEY SP</v>
          </cell>
          <cell r="I11">
            <v>0</v>
          </cell>
          <cell r="K11" t="str">
            <v>INTERLAGOS</v>
          </cell>
          <cell r="N11">
            <v>20</v>
          </cell>
        </row>
        <row r="12">
          <cell r="E12" t="str">
            <v>KEY ABC</v>
          </cell>
          <cell r="F12">
            <v>18807.240000000002</v>
          </cell>
          <cell r="H12" t="str">
            <v>KEY ZL</v>
          </cell>
          <cell r="I12">
            <v>13386.2</v>
          </cell>
          <cell r="K12" t="str">
            <v>JUNDIAI</v>
          </cell>
          <cell r="N12">
            <v>5</v>
          </cell>
        </row>
        <row r="13">
          <cell r="E13" t="str">
            <v>KEY CASA</v>
          </cell>
          <cell r="F13">
            <v>119947.08999999998</v>
          </cell>
          <cell r="H13" t="str">
            <v>LESTE</v>
          </cell>
          <cell r="I13">
            <v>285.3</v>
          </cell>
          <cell r="K13" t="str">
            <v>LESTE</v>
          </cell>
          <cell r="N13">
            <v>9</v>
          </cell>
        </row>
        <row r="14">
          <cell r="E14" t="str">
            <v>KEY INTERIOR</v>
          </cell>
          <cell r="F14">
            <v>220323.9</v>
          </cell>
          <cell r="H14" t="str">
            <v>LESTE MOOCA</v>
          </cell>
          <cell r="I14">
            <v>2483.4500000000003</v>
          </cell>
          <cell r="K14" t="str">
            <v>LESTE MOOCA</v>
          </cell>
          <cell r="N14">
            <v>13</v>
          </cell>
        </row>
        <row r="15">
          <cell r="E15" t="str">
            <v>KEY PIRACICABA</v>
          </cell>
          <cell r="F15">
            <v>0</v>
          </cell>
          <cell r="H15" t="str">
            <v>LESTE PENHA</v>
          </cell>
          <cell r="I15">
            <v>779.77</v>
          </cell>
          <cell r="K15" t="str">
            <v>LESTE PENHA</v>
          </cell>
          <cell r="N15">
            <v>5</v>
          </cell>
        </row>
        <row r="16">
          <cell r="E16" t="str">
            <v>KEY SJC</v>
          </cell>
          <cell r="F16">
            <v>1785.3999999999999</v>
          </cell>
          <cell r="H16" t="str">
            <v>LESTE TATUAPE</v>
          </cell>
          <cell r="I16">
            <v>1530.91</v>
          </cell>
          <cell r="K16" t="str">
            <v>LESTE TATUAPE</v>
          </cell>
          <cell r="N16">
            <v>8</v>
          </cell>
        </row>
        <row r="17">
          <cell r="E17" t="str">
            <v>KEY SP</v>
          </cell>
          <cell r="F17">
            <v>32535.399999999998</v>
          </cell>
          <cell r="H17" t="str">
            <v>MOGI</v>
          </cell>
          <cell r="I17">
            <v>831.4</v>
          </cell>
          <cell r="K17" t="str">
            <v>MOGI</v>
          </cell>
          <cell r="N17">
            <v>5</v>
          </cell>
        </row>
        <row r="18">
          <cell r="E18" t="str">
            <v>KEY ZL</v>
          </cell>
          <cell r="F18">
            <v>62863.170000000042</v>
          </cell>
          <cell r="H18" t="str">
            <v>NORTE</v>
          </cell>
          <cell r="I18">
            <v>1405.2</v>
          </cell>
          <cell r="K18" t="str">
            <v>NORTE</v>
          </cell>
          <cell r="N18">
            <v>15</v>
          </cell>
        </row>
        <row r="19">
          <cell r="E19" t="str">
            <v>LESTE</v>
          </cell>
          <cell r="F19">
            <v>16758.439999999991</v>
          </cell>
          <cell r="H19" t="str">
            <v>OSASCO</v>
          </cell>
          <cell r="I19">
            <v>1777.53</v>
          </cell>
          <cell r="K19" t="str">
            <v>OSASCO</v>
          </cell>
          <cell r="N19">
            <v>19</v>
          </cell>
        </row>
        <row r="20">
          <cell r="E20" t="str">
            <v>LESTE MOOCA</v>
          </cell>
          <cell r="F20">
            <v>32467.700000000012</v>
          </cell>
          <cell r="H20" t="str">
            <v>PIRITUBA</v>
          </cell>
          <cell r="I20">
            <v>1272.5</v>
          </cell>
          <cell r="K20" t="str">
            <v>PIRITUBA</v>
          </cell>
          <cell r="N20">
            <v>9</v>
          </cell>
        </row>
        <row r="21">
          <cell r="E21" t="str">
            <v>LESTE PENHA</v>
          </cell>
          <cell r="F21">
            <v>19911.549999999996</v>
          </cell>
          <cell r="H21" t="str">
            <v>SANTO ANDRE</v>
          </cell>
          <cell r="I21">
            <v>1796.8500000000001</v>
          </cell>
          <cell r="K21" t="str">
            <v>SANTO ANDRE</v>
          </cell>
          <cell r="N21">
            <v>10</v>
          </cell>
        </row>
        <row r="22">
          <cell r="E22" t="str">
            <v>LESTE TATUAPE</v>
          </cell>
          <cell r="F22">
            <v>13820.139999999994</v>
          </cell>
          <cell r="H22" t="str">
            <v>SJC/VALE</v>
          </cell>
          <cell r="I22">
            <v>1751.1700000000003</v>
          </cell>
          <cell r="K22" t="str">
            <v>SBC</v>
          </cell>
          <cell r="N22">
            <v>10</v>
          </cell>
        </row>
        <row r="23">
          <cell r="E23" t="str">
            <v>MOGI</v>
          </cell>
          <cell r="F23">
            <v>7095.0299999999979</v>
          </cell>
          <cell r="H23" t="str">
            <v>VENDEDOR INTERNO 1</v>
          </cell>
          <cell r="I23">
            <v>193.78</v>
          </cell>
          <cell r="K23" t="str">
            <v>SJC</v>
          </cell>
          <cell r="N23">
            <v>8</v>
          </cell>
        </row>
        <row r="24">
          <cell r="E24" t="str">
            <v>NORTE</v>
          </cell>
          <cell r="F24">
            <v>46170.950000000033</v>
          </cell>
          <cell r="H24" t="str">
            <v>Total Geral</v>
          </cell>
          <cell r="I24">
            <v>64711.569999999985</v>
          </cell>
          <cell r="K24" t="str">
            <v>SJC/VALE</v>
          </cell>
          <cell r="N24">
            <v>11</v>
          </cell>
        </row>
        <row r="25">
          <cell r="E25" t="str">
            <v>OSASCO</v>
          </cell>
          <cell r="F25">
            <v>60726.210000000006</v>
          </cell>
          <cell r="K25" t="str">
            <v>Total Geral</v>
          </cell>
          <cell r="N25">
            <v>187</v>
          </cell>
        </row>
        <row r="26">
          <cell r="E26" t="str">
            <v>PIRITUBA</v>
          </cell>
          <cell r="F26">
            <v>21536.85</v>
          </cell>
        </row>
        <row r="27">
          <cell r="E27" t="str">
            <v>SANTO ANDRE</v>
          </cell>
          <cell r="F27">
            <v>29141.170000000006</v>
          </cell>
        </row>
        <row r="28">
          <cell r="E28" t="str">
            <v>SBC</v>
          </cell>
          <cell r="F28">
            <v>47115.100000000028</v>
          </cell>
        </row>
        <row r="29">
          <cell r="E29" t="str">
            <v>SJC</v>
          </cell>
          <cell r="F29">
            <v>10084.369999999995</v>
          </cell>
        </row>
        <row r="30">
          <cell r="E30" t="str">
            <v>SJC/VALE</v>
          </cell>
          <cell r="F30">
            <v>10615.939999999995</v>
          </cell>
        </row>
        <row r="31">
          <cell r="E31" t="str">
            <v>VENDEDOR INTERNO 1</v>
          </cell>
          <cell r="F31">
            <v>13290.779999999997</v>
          </cell>
        </row>
        <row r="32">
          <cell r="E32" t="str">
            <v>Total Geral</v>
          </cell>
          <cell r="F32">
            <v>934629.42000000225</v>
          </cell>
          <cell r="P32" t="str">
            <v>Soma de TOTAL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63</v>
          </cell>
        </row>
        <row r="64">
          <cell r="A64" t="str">
            <v>NORTE</v>
          </cell>
          <cell r="B64">
            <v>47</v>
          </cell>
        </row>
        <row r="65">
          <cell r="A65" t="str">
            <v>PIRITUBA</v>
          </cell>
          <cell r="B65">
            <v>44</v>
          </cell>
        </row>
        <row r="66">
          <cell r="A66" t="str">
            <v>SBC</v>
          </cell>
          <cell r="B66">
            <v>55</v>
          </cell>
        </row>
        <row r="67">
          <cell r="A67" t="str">
            <v>LESTE TATUAPE</v>
          </cell>
          <cell r="B67">
            <v>53</v>
          </cell>
        </row>
        <row r="68">
          <cell r="A68" t="str">
            <v>CENTRO</v>
          </cell>
          <cell r="B68">
            <v>54</v>
          </cell>
        </row>
        <row r="69">
          <cell r="A69" t="str">
            <v>SANTO ANDRE</v>
          </cell>
          <cell r="B69">
            <v>40</v>
          </cell>
        </row>
        <row r="70">
          <cell r="A70" t="str">
            <v>MOGI</v>
          </cell>
          <cell r="B70">
            <v>41</v>
          </cell>
        </row>
        <row r="71">
          <cell r="A71" t="str">
            <v>LESTE</v>
          </cell>
          <cell r="B71">
            <v>48</v>
          </cell>
        </row>
        <row r="72">
          <cell r="A72" t="str">
            <v>LESTE MOOCA</v>
          </cell>
          <cell r="B72">
            <v>51</v>
          </cell>
        </row>
        <row r="73">
          <cell r="A73" t="str">
            <v>INTERLAGOS</v>
          </cell>
          <cell r="B73">
            <v>61</v>
          </cell>
        </row>
        <row r="74">
          <cell r="A74" t="str">
            <v>JUNDIAI</v>
          </cell>
          <cell r="B74">
            <v>29</v>
          </cell>
        </row>
        <row r="75">
          <cell r="A75" t="str">
            <v>LESTE PENHA</v>
          </cell>
          <cell r="B75">
            <v>41</v>
          </cell>
        </row>
        <row r="76">
          <cell r="A76" t="str">
            <v>INDAIATUBA</v>
          </cell>
          <cell r="B76">
            <v>43</v>
          </cell>
        </row>
        <row r="77">
          <cell r="A77" t="str">
            <v>SJC</v>
          </cell>
          <cell r="B77">
            <v>37</v>
          </cell>
        </row>
        <row r="78">
          <cell r="A78" t="str">
            <v>SJC/VALE</v>
          </cell>
          <cell r="B78">
            <v>38</v>
          </cell>
        </row>
        <row r="79">
          <cell r="A79" t="str">
            <v>CAMPINAS</v>
          </cell>
          <cell r="B79">
            <v>38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7">
          <cell r="E87">
            <v>96500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  <sheetName val="Conversor CX vs KG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49"/>
    <tableColumn id="2" xr3:uid="{0B55D821-52F8-4CE2-9F16-C5BCDBCE53AC}" name="VENDEDOR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45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25"/>
    <tableColumn id="2" xr3:uid="{E2D85F5C-4525-4FA4-B813-A1322F5C254D}" name="VENDEDOR" dataDxfId="24"/>
    <tableColumn id="3" xr3:uid="{53C55BB3-DDD4-47EF-87D5-552E4D02B5BA}" name="META A" dataDxfId="23">
      <calculatedColumnFormula>_xlfn.XLOOKUP(Tabela2[[#This Row],[REFERENCIA]],'[2]BASE PYTHON'!$A$63:$A$79,#REF!)</calculatedColumnFormula>
    </tableColumn>
    <tableColumn id="4" xr3:uid="{018C7BF7-4C79-4668-95B2-CBF2E10B657D}" name="ATINGIDO" dataDxfId="22">
      <calculatedColumnFormula>_xlfn.XLOOKUP(Tabela2[[#This Row],[REFERENCIA]],'[1]BASE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REFERENCIA" dataDxfId="17"/>
    <tableColumn id="2" xr3:uid="{A71A6478-3B31-4F54-A10C-E6EC00E95E0B}" name="VENDEDOR" dataDxfId="16"/>
    <tableColumn id="3" xr3:uid="{9F5EDCDD-D442-4FBE-9C74-26084F24EFCB}" name="COMPROMISSO" dataDxfId="15" dataCellStyle="Moeda">
      <calculatedColumnFormula>_xlfn.XLOOKUP(Tabela5[[#This Row],[REFERENCIA]],[1]!Tabela1[VENDEDOR],[1]!Tabela1[VALOR])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10" totalsRowDxfId="9"/>
    <tableColumn id="2" xr3:uid="{4F0BAF4D-D0FC-4B7C-8FF4-8DDD6505FDA1}" name="VENDEDOR" dataDxfId="8" totalsRowDxfId="7"/>
    <tableColumn id="3" xr3:uid="{CCB341E8-8BC2-4209-AEA0-D6F26BFCB356}" name="META A" dataDxfId="6" totalsRowDxfId="5" dataCellStyle="Moeda">
      <calculatedColumnFormula>_xlfn.XLOOKUP(Tabela13[[#This Row],[REFERENCIA]],[1]!Tabela2[VENDEDOR],[1]!Tabela2[META A],0)</calculatedColumnFormula>
    </tableColumn>
    <tableColumn id="4" xr3:uid="{9AA985E6-33FD-40FD-9473-5AF6B4D03030}" name="ATINGIDO" dataDxfId="4" totalsRowDxfId="3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2" totalsRowDxfId="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W63"/>
  <sheetViews>
    <sheetView showGridLines="0" tabSelected="1" zoomScale="60" zoomScaleNormal="60" workbookViewId="0">
      <selection activeCell="I5" sqref="I5"/>
    </sheetView>
  </sheetViews>
  <sheetFormatPr defaultRowHeight="15" x14ac:dyDescent="0.25"/>
  <cols>
    <col min="1" max="1" width="26.5703125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5784500</v>
      </c>
      <c r="D4" s="2"/>
      <c r="E4" s="4"/>
      <c r="F4" s="4"/>
      <c r="G4" s="4"/>
      <c r="H4" s="4" t="s">
        <v>0</v>
      </c>
      <c r="I4" s="7">
        <f>SUM(I10:I27)</f>
        <v>120660</v>
      </c>
      <c r="J4" s="4"/>
      <c r="K4" s="4"/>
      <c r="L4" s="4"/>
      <c r="M4" s="4"/>
      <c r="N4" s="4" t="s">
        <v>37</v>
      </c>
      <c r="O4" s="7">
        <f>SUM(O11:O17)</f>
        <v>42500</v>
      </c>
      <c r="P4" s="4"/>
      <c r="Q4" s="4"/>
      <c r="R4" s="4"/>
      <c r="S4" s="4"/>
      <c r="T4" s="4" t="s">
        <v>38</v>
      </c>
      <c r="U4" s="4">
        <f>SUM(U10:U26)</f>
        <v>783</v>
      </c>
      <c r="V4" s="4"/>
      <c r="W4" s="4"/>
    </row>
    <row r="5" spans="1:23" x14ac:dyDescent="0.25">
      <c r="A5" s="4"/>
      <c r="B5" s="4" t="s">
        <v>1</v>
      </c>
      <c r="C5" s="2">
        <f>SUM(D10:D36)</f>
        <v>934629.42000000016</v>
      </c>
      <c r="D5" s="2"/>
      <c r="E5" s="4"/>
      <c r="F5" s="4"/>
      <c r="G5" s="4"/>
      <c r="H5" s="4" t="s">
        <v>1</v>
      </c>
      <c r="I5" s="7">
        <f>SUM(J10:J27)</f>
        <v>26615.170000000002</v>
      </c>
      <c r="J5" s="4"/>
      <c r="K5" s="4"/>
      <c r="L5" s="4"/>
      <c r="M5" s="4"/>
      <c r="N5" s="4" t="s">
        <v>1</v>
      </c>
      <c r="O5" s="7">
        <f>SUM(P11:P17)</f>
        <v>456262.20000000007</v>
      </c>
      <c r="P5" s="4"/>
      <c r="Q5" s="4"/>
      <c r="R5" s="4"/>
      <c r="S5" s="4"/>
      <c r="T5" s="4" t="s">
        <v>1</v>
      </c>
      <c r="U5" s="4">
        <f>SUM(V10:V26)</f>
        <v>187</v>
      </c>
      <c r="V5" s="4"/>
      <c r="W5" s="4"/>
    </row>
    <row r="6" spans="1:23" x14ac:dyDescent="0.25">
      <c r="A6" s="4"/>
      <c r="B6" s="4" t="s">
        <v>2</v>
      </c>
      <c r="C6" s="2">
        <f>C4-C5</f>
        <v>4849870.58</v>
      </c>
      <c r="D6" s="2"/>
      <c r="E6" s="4"/>
      <c r="F6" s="4"/>
      <c r="G6" s="4"/>
      <c r="H6" s="4" t="s">
        <v>2</v>
      </c>
      <c r="I6" s="7">
        <f>I4-I5</f>
        <v>94044.83</v>
      </c>
      <c r="J6" s="4"/>
      <c r="K6" s="4"/>
      <c r="L6" s="4"/>
      <c r="M6" s="4"/>
      <c r="N6" s="4" t="s">
        <v>2</v>
      </c>
      <c r="O6" s="7">
        <f>O4-O5</f>
        <v>-413762.20000000007</v>
      </c>
      <c r="P6" s="4"/>
      <c r="Q6" s="4"/>
      <c r="R6" s="4"/>
      <c r="S6" s="4"/>
      <c r="T6" s="4" t="s">
        <v>2</v>
      </c>
      <c r="U6" s="4">
        <f>U4-U5</f>
        <v>596</v>
      </c>
      <c r="V6" s="4"/>
      <c r="W6" s="4"/>
    </row>
    <row r="7" spans="1:23" x14ac:dyDescent="0.25">
      <c r="A7" s="4"/>
      <c r="B7" s="4" t="s">
        <v>3</v>
      </c>
      <c r="C7" s="3">
        <f>1-(C6/C4)</f>
        <v>0.16157479816751663</v>
      </c>
      <c r="D7" s="2"/>
      <c r="E7" s="4"/>
      <c r="F7" s="4"/>
      <c r="G7" s="4"/>
      <c r="H7" s="4" t="s">
        <v>3</v>
      </c>
      <c r="I7" s="3">
        <f>1-(I6/I4)</f>
        <v>0.220579893916791</v>
      </c>
      <c r="J7" s="4"/>
      <c r="K7" s="4"/>
      <c r="L7" s="4"/>
      <c r="M7" s="4"/>
      <c r="N7" s="4" t="s">
        <v>3</v>
      </c>
      <c r="O7" s="3">
        <f>1-(O6/O4)</f>
        <v>10.735581176470589</v>
      </c>
      <c r="P7" s="4"/>
      <c r="Q7" s="4"/>
      <c r="R7" s="4"/>
      <c r="S7" s="4"/>
      <c r="T7" s="4" t="s">
        <v>3</v>
      </c>
      <c r="U7" s="3">
        <f>1-(U6/U4)</f>
        <v>0.23882503192848026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19" t="s">
        <v>46</v>
      </c>
      <c r="B9" s="19" t="s">
        <v>5</v>
      </c>
      <c r="C9" s="26" t="s">
        <v>33</v>
      </c>
      <c r="D9" s="26" t="s">
        <v>1</v>
      </c>
      <c r="E9" s="19" t="s">
        <v>2</v>
      </c>
      <c r="F9" s="4"/>
      <c r="G9" s="17" t="s">
        <v>46</v>
      </c>
      <c r="H9" s="17" t="s">
        <v>5</v>
      </c>
      <c r="I9" s="17" t="s">
        <v>6</v>
      </c>
      <c r="J9" s="17" t="s">
        <v>1</v>
      </c>
      <c r="K9" s="17" t="s">
        <v>2</v>
      </c>
      <c r="L9" s="4"/>
      <c r="M9" s="4"/>
      <c r="N9" s="4"/>
      <c r="O9" s="8" t="s">
        <v>4</v>
      </c>
      <c r="P9" s="4"/>
      <c r="Q9" s="4"/>
      <c r="R9" s="4"/>
      <c r="S9" s="17" t="s">
        <v>46</v>
      </c>
      <c r="T9" s="17" t="s">
        <v>5</v>
      </c>
      <c r="U9" s="17" t="s">
        <v>33</v>
      </c>
      <c r="V9" s="17" t="s">
        <v>1</v>
      </c>
      <c r="W9" s="17" t="s">
        <v>2</v>
      </c>
    </row>
    <row r="10" spans="1:23" x14ac:dyDescent="0.25">
      <c r="A10" s="24" t="s">
        <v>7</v>
      </c>
      <c r="B10" s="24" t="s">
        <v>7</v>
      </c>
      <c r="C10" s="28">
        <f>_xlfn.XLOOKUP(Tabela13[[#This Row],[REFERENCIA]],[1]!Tabela2[VENDEDOR],[1]!Tabela2[META A],0)</f>
        <v>64500</v>
      </c>
      <c r="D10" s="28">
        <f>_xlfn.XLOOKUP(Tabela13[[#This Row],[REFERENCIA]],'[1]BASE PYTHON'!$E:$E,'[1]BASE PYTHON'!$F:$F,0)</f>
        <v>10610.85</v>
      </c>
      <c r="E10" s="25">
        <f>Tabela13[[#This Row],[META A]]-Tabela13[[#This Row],[ATINGIDO]]</f>
        <v>53889.15</v>
      </c>
      <c r="F10" s="4"/>
      <c r="G10" s="20" t="s">
        <v>18</v>
      </c>
      <c r="H10" s="20" t="s">
        <v>18</v>
      </c>
      <c r="I10" s="21">
        <f>_xlfn.XLOOKUP(Tabela5[[#This Row],[REFERENCIA]],[1]!Tabela1[VENDEDOR],[1]!Tabela1[VALOR])</f>
        <v>16700</v>
      </c>
      <c r="J10" s="21">
        <f>_xlfn.XLOOKUP(Tabela5[[#This Row],[REFERENCIA]],'[1]BASE PYTHON'!$H:$H,'[1]BASE PYTHON'!$I:$I,0)</f>
        <v>1777.53</v>
      </c>
      <c r="K10" s="22">
        <f>Tabela5[[#This Row],[COMPROMISSO]]-Tabela5[[#This Row],[ATINGIDO]]</f>
        <v>14922.47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8" t="s">
        <v>7</v>
      </c>
      <c r="T10" s="18" t="s">
        <v>7</v>
      </c>
      <c r="U10" s="18">
        <f>_xlfn.XLOOKUP(Tabela2[[#This Row],[REFERENCIA]],'[1]BASE PYTHON'!$A$63:$A$79,'[1]BASE PYTHON'!$B$63:$B$79)</f>
        <v>38</v>
      </c>
      <c r="V10" s="18">
        <f>_xlfn.XLOOKUP(Tabela2[[#This Row],[REFERENCIA]],'[1]BASE PYTHON'!$K:$K,'[1]BASE PYTHON'!$N:$N,0)</f>
        <v>9</v>
      </c>
      <c r="W10" s="18">
        <f>U10-V10</f>
        <v>29</v>
      </c>
    </row>
    <row r="11" spans="1:23" x14ac:dyDescent="0.25">
      <c r="A11" s="16" t="s">
        <v>8</v>
      </c>
      <c r="B11" s="16" t="s">
        <v>8</v>
      </c>
      <c r="C11" s="28">
        <f>_xlfn.XLOOKUP(Tabela13[[#This Row],[REFERENCIA]],[1]!Tabela2[VENDEDOR],[1]!Tabela2[META A],0)</f>
        <v>330000</v>
      </c>
      <c r="D11" s="28">
        <f>_xlfn.XLOOKUP(Tabela13[[#This Row],[REFERENCIA]],'[1]BASE PYTHON'!$E:$E,'[1]BASE PYTHON'!$F:$F,0)</f>
        <v>67263.179999999978</v>
      </c>
      <c r="E11" s="23">
        <f>Tabela13[[#This Row],[META A]]-Tabela13[[#This Row],[ATINGIDO]]</f>
        <v>262736.82</v>
      </c>
      <c r="F11" s="4"/>
      <c r="G11" s="20" t="s">
        <v>17</v>
      </c>
      <c r="H11" s="20" t="s">
        <v>17</v>
      </c>
      <c r="I11" s="21">
        <f>_xlfn.XLOOKUP(Tabela5[[#This Row],[REFERENCIA]],[1]!Tabela1[VENDEDOR],[1]!Tabela1[VALOR])</f>
        <v>11990</v>
      </c>
      <c r="J11" s="21">
        <f>_xlfn.XLOOKUP(Tabela5[[#This Row],[REFERENCIA]],'[1]BASE PYTHON'!$H:$H,'[1]BASE PYTHON'!$I:$I,0)</f>
        <v>1405.2</v>
      </c>
      <c r="K11" s="22">
        <f>Tabela5[[#This Row],[COMPROMISSO]]-Tabela5[[#This Row],[ATINGIDO]]</f>
        <v>10584.8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42500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18807.240000000002</v>
      </c>
      <c r="Q11" s="2">
        <f>Tabela8[[#This Row],[COMPROMISSO]]-Tabela8[[#This Row],[ATINGIDO]]</f>
        <v>23692.76</v>
      </c>
      <c r="R11" s="2"/>
      <c r="S11" s="18" t="s">
        <v>8</v>
      </c>
      <c r="T11" s="18" t="s">
        <v>8</v>
      </c>
      <c r="U11" s="18">
        <f>_xlfn.XLOOKUP(Tabela2[[#This Row],[REFERENCIA]],'[1]BASE PYTHON'!$A$63:$A$79,'[1]BASE PYTHON'!$B$63:$B$79)</f>
        <v>54</v>
      </c>
      <c r="V11" s="18">
        <f>_xlfn.XLOOKUP(Tabela2[[#This Row],[REFERENCIA]],'[1]BASE PYTHON'!$K:$K,'[1]BASE PYTHON'!$N:$N,0)</f>
        <v>18</v>
      </c>
      <c r="W11" s="18">
        <f t="shared" ref="W11:W20" si="0">U11-V11</f>
        <v>36</v>
      </c>
    </row>
    <row r="12" spans="1:23" x14ac:dyDescent="0.25">
      <c r="A12" s="24" t="s">
        <v>51</v>
      </c>
      <c r="B12" s="24" t="s">
        <v>39</v>
      </c>
      <c r="C12" s="28">
        <f>_xlfn.XLOOKUP(Tabela13[[#This Row],[REFERENCIA]],[1]!Tabela2[VENDEDOR],[1]!Tabela2[META A],0)</f>
        <v>0</v>
      </c>
      <c r="D12" s="28">
        <f>_xlfn.XLOOKUP(Tabela13[[#This Row],[REFERENCIA]],'[1]BASE PYTHON'!$E:$E,'[1]BASE PYTHON'!$F:$F,0)</f>
        <v>0</v>
      </c>
      <c r="E12" s="25">
        <f>Tabela13[[#This Row],[META A]]-Tabela13[[#This Row],[ATINGIDO]]</f>
        <v>0</v>
      </c>
      <c r="F12" s="4"/>
      <c r="G12" s="20" t="s">
        <v>19</v>
      </c>
      <c r="H12" s="20" t="s">
        <v>19</v>
      </c>
      <c r="I12" s="21">
        <f>_xlfn.XLOOKUP(Tabela5[[#This Row],[REFERENCIA]],[1]!Tabela1[VENDEDOR],[1]!Tabela1[VALOR])</f>
        <v>4780</v>
      </c>
      <c r="J12" s="21">
        <f>_xlfn.XLOOKUP(Tabela5[[#This Row],[REFERENCIA]],'[1]BASE PYTHON'!$H:$H,'[1]BASE PYTHON'!$I:$I,0)</f>
        <v>1272.5</v>
      </c>
      <c r="K12" s="22">
        <f>Tabela5[[#This Row],[COMPROMISSO]]-Tabela5[[#This Row],[ATINGIDO]]</f>
        <v>3507.5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8" t="s">
        <v>9</v>
      </c>
      <c r="T12" s="18" t="s">
        <v>9</v>
      </c>
      <c r="U12" s="18">
        <f>_xlfn.XLOOKUP(Tabela2[[#This Row],[REFERENCIA]],'[1]BASE PYTHON'!$A$63:$A$79,'[1]BASE PYTHON'!$B$63:$B$79)</f>
        <v>43</v>
      </c>
      <c r="V12" s="18">
        <f>_xlfn.XLOOKUP(Tabela2[[#This Row],[REFERENCIA]],'[1]BASE PYTHON'!$K:$K,'[1]BASE PYTHON'!$N:$N,0)</f>
        <v>13</v>
      </c>
      <c r="W12" s="18">
        <f t="shared" si="0"/>
        <v>30</v>
      </c>
    </row>
    <row r="13" spans="1:23" x14ac:dyDescent="0.25">
      <c r="A13" s="16" t="s">
        <v>9</v>
      </c>
      <c r="B13" s="16" t="s">
        <v>9</v>
      </c>
      <c r="C13" s="28">
        <f>_xlfn.XLOOKUP(Tabela13[[#This Row],[REFERENCIA]],[1]!Tabela2[VENDEDOR],[1]!Tabela2[META A],0)</f>
        <v>90000</v>
      </c>
      <c r="D13" s="28">
        <f>_xlfn.XLOOKUP(Tabela13[[#This Row],[REFERENCIA]],'[1]BASE PYTHON'!$E:$E,'[1]BASE PYTHON'!$F:$F,0)</f>
        <v>19002.600000000002</v>
      </c>
      <c r="E13" s="23">
        <f>Tabela13[[#This Row],[META A]]-Tabela13[[#This Row],[ATINGIDO]]</f>
        <v>70997.399999999994</v>
      </c>
      <c r="F13" s="4"/>
      <c r="G13" s="20" t="s">
        <v>21</v>
      </c>
      <c r="H13" s="20" t="s">
        <v>21</v>
      </c>
      <c r="I13" s="21">
        <f>_xlfn.XLOOKUP(Tabela5[[#This Row],[REFERENCIA]],[1]!Tabela1[VENDEDOR],[1]!Tabela1[VALOR])</f>
        <v>7240</v>
      </c>
      <c r="J13" s="21">
        <f>_xlfn.XLOOKUP(Tabela5[[#This Row],[REFERENCIA]],'[1]BASE PYTHON'!$H:$H,'[1]BASE PYTHON'!$I:$I,0)</f>
        <v>0</v>
      </c>
      <c r="K13" s="22">
        <f>Tabela5[[#This Row],[COMPROMISSO]]-Tabela5[[#This Row],[ATINGIDO]]</f>
        <v>7240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62863.170000000042</v>
      </c>
      <c r="Q13" s="2">
        <f>Tabela8[[#This Row],[COMPROMISSO]]-Tabela8[[#This Row],[ATINGIDO]]</f>
        <v>-62863.170000000042</v>
      </c>
      <c r="R13" s="2"/>
      <c r="S13" s="18" t="s">
        <v>10</v>
      </c>
      <c r="T13" s="18" t="s">
        <v>10</v>
      </c>
      <c r="U13" s="18">
        <f>_xlfn.XLOOKUP(Tabela2[[#This Row],[REFERENCIA]],'[1]BASE PYTHON'!$A$63:$A$79,'[1]BASE PYTHON'!$B$63:$B$79)</f>
        <v>61</v>
      </c>
      <c r="V13" s="18">
        <f>_xlfn.XLOOKUP(Tabela2[[#This Row],[REFERENCIA]],'[1]BASE PYTHON'!$K:$K,'[1]BASE PYTHON'!$N:$N,0)</f>
        <v>20</v>
      </c>
      <c r="W13" s="18">
        <f t="shared" si="0"/>
        <v>41</v>
      </c>
    </row>
    <row r="14" spans="1:23" x14ac:dyDescent="0.25">
      <c r="A14" s="24" t="s">
        <v>10</v>
      </c>
      <c r="B14" s="24" t="s">
        <v>10</v>
      </c>
      <c r="C14" s="28">
        <f>_xlfn.XLOOKUP(Tabela13[[#This Row],[REFERENCIA]],[1]!Tabela2[VENDEDOR],[1]!Tabela2[META A],0)</f>
        <v>273000</v>
      </c>
      <c r="D14" s="28">
        <f>_xlfn.XLOOKUP(Tabela13[[#This Row],[REFERENCIA]],'[1]BASE PYTHON'!$E:$E,'[1]BASE PYTHON'!$F:$F,0)</f>
        <v>38088.070000000022</v>
      </c>
      <c r="E14" s="25">
        <f>Tabela13[[#This Row],[META A]]-Tabela13[[#This Row],[ATINGIDO]]</f>
        <v>234911.93</v>
      </c>
      <c r="F14" s="4"/>
      <c r="G14" s="20" t="s">
        <v>15</v>
      </c>
      <c r="H14" s="20" t="s">
        <v>43</v>
      </c>
      <c r="I14" s="21">
        <f>_xlfn.XLOOKUP(Tabela5[[#This Row],[REFERENCIA]],[1]!Tabela1[VENDEDOR],[1]!Tabela1[VALOR])</f>
        <v>3520</v>
      </c>
      <c r="J14" s="21">
        <f>_xlfn.XLOOKUP(Tabela5[[#This Row],[REFERENCIA]],'[1]BASE PYTHON'!$H:$H,'[1]BASE PYTHON'!$I:$I,0)</f>
        <v>1530.91</v>
      </c>
      <c r="K14" s="22">
        <f>Tabela5[[#This Row],[COMPROMISSO]]-Tabela5[[#This Row],[ATINGIDO]]</f>
        <v>1989.09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220323.9</v>
      </c>
      <c r="Q14" s="2">
        <f>Tabela8[[#This Row],[COMPROMISSO]]-Tabela8[[#This Row],[ATINGIDO]]</f>
        <v>-220323.9</v>
      </c>
      <c r="R14" s="2"/>
      <c r="S14" s="18" t="s">
        <v>11</v>
      </c>
      <c r="T14" s="18" t="s">
        <v>11</v>
      </c>
      <c r="U14" s="18">
        <f>_xlfn.XLOOKUP(Tabela2[[#This Row],[REFERENCIA]],'[1]BASE PYTHON'!$A$63:$A$79,'[1]BASE PYTHON'!$B$63:$B$79)</f>
        <v>29</v>
      </c>
      <c r="V14" s="18">
        <f>_xlfn.XLOOKUP(Tabela2[[#This Row],[REFERENCIA]],'[1]BASE PYTHON'!$K:$K,'[1]BASE PYTHON'!$N:$N,0)</f>
        <v>5</v>
      </c>
      <c r="W14" s="18">
        <f t="shared" si="0"/>
        <v>24</v>
      </c>
    </row>
    <row r="15" spans="1:23" x14ac:dyDescent="0.25">
      <c r="A15" s="16" t="s">
        <v>11</v>
      </c>
      <c r="B15" s="16" t="s">
        <v>11</v>
      </c>
      <c r="C15" s="28">
        <f>_xlfn.XLOOKUP(Tabela13[[#This Row],[REFERENCIA]],[1]!Tabela2[VENDEDOR],[1]!Tabela2[META A],0)</f>
        <v>78000</v>
      </c>
      <c r="D15" s="28">
        <f>_xlfn.XLOOKUP(Tabela13[[#This Row],[REFERENCIA]],'[1]BASE PYTHON'!$E:$E,'[1]BASE PYTHON'!$F:$F,0)</f>
        <v>14024.009999999997</v>
      </c>
      <c r="E15" s="23">
        <f>Tabela13[[#This Row],[META A]]-Tabela13[[#This Row],[ATINGIDO]]</f>
        <v>63975.990000000005</v>
      </c>
      <c r="F15" s="4"/>
      <c r="G15" s="20" t="s">
        <v>8</v>
      </c>
      <c r="H15" s="20" t="s">
        <v>8</v>
      </c>
      <c r="I15" s="21">
        <f>_xlfn.XLOOKUP(Tabela5[[#This Row],[REFERENCIA]],[1]!Tabela1[VENDEDOR],[1]!Tabela1[VALOR])</f>
        <v>15270</v>
      </c>
      <c r="J15" s="21">
        <f>_xlfn.XLOOKUP(Tabela5[[#This Row],[REFERENCIA]],'[1]BASE PYTHON'!$H:$H,'[1]BASE PYTHON'!$I:$I,0)</f>
        <v>9112.59</v>
      </c>
      <c r="K15" s="22">
        <f>Tabela5[[#This Row],[COMPROMISSO]]-Tabela5[[#This Row],[ATINGIDO]]</f>
        <v>6157.41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32535.399999999998</v>
      </c>
      <c r="Q15" s="2">
        <f>Tabela8[[#This Row],[COMPROMISSO]]-Tabela8[[#This Row],[ATINGIDO]]</f>
        <v>-32535.399999999998</v>
      </c>
      <c r="R15" s="2"/>
      <c r="S15" s="18" t="s">
        <v>12</v>
      </c>
      <c r="T15" s="18" t="s">
        <v>12</v>
      </c>
      <c r="U15" s="18">
        <f>_xlfn.XLOOKUP(Tabela2[[#This Row],[REFERENCIA]],'[1]BASE PYTHON'!$A$63:$A$79,'[1]BASE PYTHON'!$B$63:$B$79)</f>
        <v>48</v>
      </c>
      <c r="V15" s="18">
        <f>_xlfn.XLOOKUP(Tabela2[[#This Row],[REFERENCIA]],'[1]BASE PYTHON'!$K:$K,'[1]BASE PYTHON'!$N:$N,0)</f>
        <v>9</v>
      </c>
      <c r="W15" s="18">
        <f>U15-V15</f>
        <v>39</v>
      </c>
    </row>
    <row r="16" spans="1:23" x14ac:dyDescent="0.25">
      <c r="A16" s="24" t="s">
        <v>26</v>
      </c>
      <c r="B16" s="24" t="s">
        <v>26</v>
      </c>
      <c r="C16" s="28">
        <f>_xlfn.XLOOKUP(Tabela13[[#This Row],[REFERENCIA]],[1]!Tabela2[VENDEDOR],[1]!Tabela2[META A],0)</f>
        <v>350000</v>
      </c>
      <c r="D16" s="28">
        <f>_xlfn.XLOOKUP(Tabela13[[#This Row],[REFERENCIA]],'[1]BASE PYTHON'!$E:$E,'[1]BASE PYTHON'!$F:$F,0)</f>
        <v>18807.240000000002</v>
      </c>
      <c r="E16" s="25">
        <f>Tabela13[[#This Row],[META A]]-Tabela13[[#This Row],[ATINGIDO]]</f>
        <v>331192.76</v>
      </c>
      <c r="F16" s="4"/>
      <c r="G16" s="20" t="s">
        <v>20</v>
      </c>
      <c r="H16" s="20" t="s">
        <v>20</v>
      </c>
      <c r="I16" s="21">
        <f>_xlfn.XLOOKUP(Tabela5[[#This Row],[REFERENCIA]],[1]!Tabela1[VENDEDOR],[1]!Tabela1[VALOR])</f>
        <v>8030</v>
      </c>
      <c r="J16" s="21">
        <f>_xlfn.XLOOKUP(Tabela5[[#This Row],[REFERENCIA]],'[1]BASE PYTHON'!$H:$H,'[1]BASE PYTHON'!$I:$I,0)</f>
        <v>1796.8500000000001</v>
      </c>
      <c r="K16" s="22">
        <f>Tabela5[[#This Row],[COMPROMISSO]]-Tabela5[[#This Row],[ATINGIDO]]</f>
        <v>6233.15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1785.3999999999999</v>
      </c>
      <c r="Q16" s="2">
        <f>Tabela8[[#This Row],[COMPROMISSO]]-Tabela8[[#This Row],[ATINGIDO]]</f>
        <v>-1785.3999999999999</v>
      </c>
      <c r="R16" s="2"/>
      <c r="S16" s="18" t="s">
        <v>16</v>
      </c>
      <c r="T16" s="18" t="s">
        <v>16</v>
      </c>
      <c r="U16" s="18">
        <f>_xlfn.XLOOKUP(Tabela2[[#This Row],[REFERENCIA]],'[1]BASE PYTHON'!$A$63:$A$79,'[1]BASE PYTHON'!$B$63:$B$79)</f>
        <v>41</v>
      </c>
      <c r="V16" s="18">
        <f>_xlfn.XLOOKUP(Tabela2[[#This Row],[REFERENCIA]],'[1]BASE PYTHON'!$K:$K,'[1]BASE PYTHON'!$N:$N,0)</f>
        <v>5</v>
      </c>
      <c r="W16" s="18">
        <f t="shared" si="0"/>
        <v>36</v>
      </c>
    </row>
    <row r="17" spans="1:23" x14ac:dyDescent="0.25">
      <c r="A17" s="16" t="s">
        <v>32</v>
      </c>
      <c r="B17" s="16" t="s">
        <v>32</v>
      </c>
      <c r="C17" s="28">
        <f>_xlfn.XLOOKUP(Tabela13[[#This Row],[REFERENCIA]],[1]!Tabela2[VENDEDOR],[1]!Tabela2[META A],0)</f>
        <v>420000</v>
      </c>
      <c r="D17" s="28">
        <f>_xlfn.XLOOKUP(Tabela13[[#This Row],[REFERENCIA]],'[1]BASE PYTHON'!$E:$E,'[1]BASE PYTHON'!$F:$F,0)</f>
        <v>119947.08999999998</v>
      </c>
      <c r="E17" s="23">
        <f>Tabela13[[#This Row],[META A]]-Tabela13[[#This Row],[ATINGIDO]]</f>
        <v>300052.91000000003</v>
      </c>
      <c r="F17" s="4"/>
      <c r="G17" s="20" t="s">
        <v>16</v>
      </c>
      <c r="H17" s="20" t="s">
        <v>16</v>
      </c>
      <c r="I17" s="21">
        <f>_xlfn.XLOOKUP(Tabela5[[#This Row],[REFERENCIA]],[1]!Tabela1[VENDEDOR],[1]!Tabela1[VALOR])</f>
        <v>4200</v>
      </c>
      <c r="J17" s="21">
        <f>_xlfn.XLOOKUP(Tabela5[[#This Row],[REFERENCIA]],'[1]BASE PYTHON'!$H:$H,'[1]BASE PYTHON'!$I:$I,0)</f>
        <v>831.4</v>
      </c>
      <c r="K17" s="22">
        <f>Tabela5[[#This Row],[COMPROMISSO]]-Tabela5[[#This Row],[ATINGIDO]]</f>
        <v>3368.6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119947.08999999998</v>
      </c>
      <c r="Q17" s="2">
        <f>Tabela8[[#This Row],[COMPROMISSO]]-Tabela8[[#This Row],[ATINGIDO]]</f>
        <v>-119947.08999999998</v>
      </c>
      <c r="R17" s="2"/>
      <c r="S17" s="18" t="s">
        <v>13</v>
      </c>
      <c r="T17" s="18" t="s">
        <v>41</v>
      </c>
      <c r="U17" s="18">
        <f>_xlfn.XLOOKUP(Tabela2[[#This Row],[REFERENCIA]],'[1]BASE PYTHON'!$A$63:$A$79,'[1]BASE PYTHON'!$B$63:$B$79)</f>
        <v>51</v>
      </c>
      <c r="V17" s="18">
        <f>_xlfn.XLOOKUP(Tabela2[[#This Row],[REFERENCIA]],'[1]BASE PYTHON'!$K:$K,'[1]BASE PYTHON'!$N:$N,0)</f>
        <v>13</v>
      </c>
      <c r="W17" s="18">
        <f t="shared" si="0"/>
        <v>38</v>
      </c>
    </row>
    <row r="18" spans="1:23" x14ac:dyDescent="0.25">
      <c r="A18" s="24" t="s">
        <v>29</v>
      </c>
      <c r="B18" s="24" t="s">
        <v>29</v>
      </c>
      <c r="C18" s="28">
        <f>_xlfn.XLOOKUP(Tabela13[[#This Row],[REFERENCIA]],[1]!Tabela2[VENDEDOR],[1]!Tabela2[META A],0)</f>
        <v>980000</v>
      </c>
      <c r="D18" s="28">
        <f>_xlfn.XLOOKUP(Tabela13[[#This Row],[REFERENCIA]],'[1]BASE PYTHON'!$E:$E,'[1]BASE PYTHON'!$F:$F,0)</f>
        <v>220323.9</v>
      </c>
      <c r="E18" s="25">
        <f>Tabela13[[#This Row],[META A]]-Tabela13[[#This Row],[ATINGIDO]]</f>
        <v>759676.1</v>
      </c>
      <c r="F18" s="4"/>
      <c r="G18" s="20" t="s">
        <v>12</v>
      </c>
      <c r="H18" s="20" t="s">
        <v>12</v>
      </c>
      <c r="I18" s="21">
        <f>_xlfn.XLOOKUP(Tabela5[[#This Row],[REFERENCIA]],[1]!Tabela1[VENDEDOR],[1]!Tabela1[VALOR])</f>
        <v>5650</v>
      </c>
      <c r="J18" s="21">
        <f>_xlfn.XLOOKUP(Tabela5[[#This Row],[REFERENCIA]],'[1]BASE PYTHON'!$H:$H,'[1]BASE PYTHON'!$I:$I,0)</f>
        <v>285.3</v>
      </c>
      <c r="K18" s="22">
        <f>Tabela5[[#This Row],[COMPROMISSO]]-Tabela5[[#This Row],[ATINGIDO]]</f>
        <v>5364.7</v>
      </c>
      <c r="L18" s="4"/>
      <c r="M18" s="15"/>
      <c r="N18" s="4"/>
      <c r="O18" s="4"/>
      <c r="P18" s="2"/>
      <c r="Q18" s="2"/>
      <c r="R18" s="4"/>
      <c r="S18" s="18" t="s">
        <v>17</v>
      </c>
      <c r="T18" s="18" t="s">
        <v>17</v>
      </c>
      <c r="U18" s="18">
        <f>_xlfn.XLOOKUP(Tabela2[[#This Row],[REFERENCIA]],'[1]BASE PYTHON'!$A$63:$A$79,'[1]BASE PYTHON'!$B$63:$B$79)</f>
        <v>47</v>
      </c>
      <c r="V18" s="18">
        <f>_xlfn.XLOOKUP(Tabela2[[#This Row],[REFERENCIA]],'[1]BASE PYTHON'!$K:$K,'[1]BASE PYTHON'!$N:$N,0)</f>
        <v>15</v>
      </c>
      <c r="W18" s="18">
        <f t="shared" si="0"/>
        <v>32</v>
      </c>
    </row>
    <row r="19" spans="1:23" x14ac:dyDescent="0.25">
      <c r="A19" s="16" t="s">
        <v>31</v>
      </c>
      <c r="B19" s="16" t="s">
        <v>31</v>
      </c>
      <c r="C19" s="28">
        <f>_xlfn.XLOOKUP(Tabela13[[#This Row],[REFERENCIA]],[1]!Tabela2[VENDEDOR],[1]!Tabela2[META A],0)</f>
        <v>142000</v>
      </c>
      <c r="D19" s="28">
        <f>_xlfn.XLOOKUP(Tabela13[[#This Row],[REFERENCIA]],'[1]BASE PYTHON'!$E:$E,'[1]BASE PYTHON'!$F:$F,0)</f>
        <v>1785.3999999999999</v>
      </c>
      <c r="E19" s="23">
        <f>Tabela13[[#This Row],[META A]]-Tabela13[[#This Row],[ATINGIDO]]</f>
        <v>140214.6</v>
      </c>
      <c r="F19" s="4"/>
      <c r="G19" s="20" t="s">
        <v>13</v>
      </c>
      <c r="H19" s="20" t="s">
        <v>41</v>
      </c>
      <c r="I19" s="21">
        <f>_xlfn.XLOOKUP(Tabela5[[#This Row],[REFERENCIA]],[1]!Tabela1[VENDEDOR],[1]!Tabela1[VALOR])</f>
        <v>6150</v>
      </c>
      <c r="J19" s="21">
        <f>_xlfn.XLOOKUP(Tabela5[[#This Row],[REFERENCIA]],'[1]BASE PYTHON'!$H:$H,'[1]BASE PYTHON'!$I:$I,0)</f>
        <v>2483.4500000000003</v>
      </c>
      <c r="K19" s="22">
        <f>Tabela5[[#This Row],[COMPROMISSO]]-Tabela5[[#This Row],[ATINGIDO]]</f>
        <v>3666.5499999999997</v>
      </c>
      <c r="L19" s="4"/>
      <c r="M19" s="4"/>
      <c r="R19" s="4"/>
      <c r="S19" s="18" t="s">
        <v>18</v>
      </c>
      <c r="T19" s="18" t="s">
        <v>18</v>
      </c>
      <c r="U19" s="18">
        <f>_xlfn.XLOOKUP(Tabela2[[#This Row],[REFERENCIA]],'[1]BASE PYTHON'!$A$63:$A$79,'[1]BASE PYTHON'!$B$63:$B$79)</f>
        <v>63</v>
      </c>
      <c r="V19" s="18">
        <f>_xlfn.XLOOKUP(Tabela2[[#This Row],[REFERENCIA]],'[1]BASE PYTHON'!$K:$K,'[1]BASE PYTHON'!$N:$N,0)</f>
        <v>19</v>
      </c>
      <c r="W19" s="18">
        <f t="shared" si="0"/>
        <v>44</v>
      </c>
    </row>
    <row r="20" spans="1:23" x14ac:dyDescent="0.25">
      <c r="A20" s="24" t="s">
        <v>30</v>
      </c>
      <c r="B20" s="24" t="s">
        <v>30</v>
      </c>
      <c r="C20" s="28">
        <f>_xlfn.XLOOKUP(Tabela13[[#This Row],[REFERENCIA]],[1]!Tabela2[VENDEDOR],[1]!Tabela2[META A],0)</f>
        <v>560000</v>
      </c>
      <c r="D20" s="28">
        <f>_xlfn.XLOOKUP(Tabela13[[#This Row],[REFERENCIA]],'[1]BASE PYTHON'!$E:$E,'[1]BASE PYTHON'!$F:$F,0)</f>
        <v>32535.399999999998</v>
      </c>
      <c r="E20" s="25">
        <f>Tabela13[[#This Row],[META A]]-Tabela13[[#This Row],[ATINGIDO]]</f>
        <v>527464.6</v>
      </c>
      <c r="F20" s="4"/>
      <c r="G20" s="20" t="s">
        <v>10</v>
      </c>
      <c r="H20" s="20" t="s">
        <v>10</v>
      </c>
      <c r="I20" s="21">
        <f>_xlfn.XLOOKUP(Tabela5[[#This Row],[REFERENCIA]],[1]!Tabela1[VENDEDOR],[1]!Tabela1[VALOR])</f>
        <v>15540</v>
      </c>
      <c r="J20" s="21">
        <f>_xlfn.XLOOKUP(Tabela5[[#This Row],[REFERENCIA]],'[1]BASE PYTHON'!$H:$H,'[1]BASE PYTHON'!$I:$I,0)</f>
        <v>1413.4400000000003</v>
      </c>
      <c r="K20" s="22">
        <f>Tabela5[[#This Row],[COMPROMISSO]]-Tabela5[[#This Row],[ATINGIDO]]</f>
        <v>14126.56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8" t="s">
        <v>14</v>
      </c>
      <c r="T20" s="18" t="s">
        <v>42</v>
      </c>
      <c r="U20" s="18">
        <f>_xlfn.XLOOKUP(Tabela2[[#This Row],[REFERENCIA]],'[1]BASE PYTHON'!$A$63:$A$79,'[1]BASE PYTHON'!$B$63:$B$79)</f>
        <v>41</v>
      </c>
      <c r="V20" s="18">
        <f>_xlfn.XLOOKUP(Tabela2[[#This Row],[REFERENCIA]],'[1]BASE PYTHON'!$K:$K,'[1]BASE PYTHON'!$N:$N,0)</f>
        <v>5</v>
      </c>
      <c r="W20" s="18">
        <f t="shared" si="0"/>
        <v>36</v>
      </c>
    </row>
    <row r="21" spans="1:23" x14ac:dyDescent="0.25">
      <c r="A21" s="16" t="s">
        <v>28</v>
      </c>
      <c r="B21" s="16" t="s">
        <v>28</v>
      </c>
      <c r="C21" s="28">
        <f>_xlfn.XLOOKUP(Tabela13[[#This Row],[REFERENCIA]],[1]!Tabela2[VENDEDOR],[1]!Tabela2[META A],0)</f>
        <v>425000</v>
      </c>
      <c r="D21" s="28">
        <f>_xlfn.XLOOKUP(Tabela13[[#This Row],[REFERENCIA]],'[1]BASE PYTHON'!$E:$E,'[1]BASE PYTHON'!$F:$F,0)</f>
        <v>62863.170000000042</v>
      </c>
      <c r="E21" s="23">
        <f>Tabela13[[#This Row],[META A]]-Tabela13[[#This Row],[ATINGIDO]]</f>
        <v>362136.82999999996</v>
      </c>
      <c r="F21" s="4"/>
      <c r="G21" s="20" t="s">
        <v>11</v>
      </c>
      <c r="H21" s="20" t="s">
        <v>11</v>
      </c>
      <c r="I21" s="21">
        <f>_xlfn.XLOOKUP(Tabela5[[#This Row],[REFERENCIA]],[1]!Tabela1[VENDEDOR],[1]!Tabela1[VALOR])</f>
        <v>2510</v>
      </c>
      <c r="J21" s="21">
        <f>_xlfn.XLOOKUP(Tabela5[[#This Row],[REFERENCIA]],'[1]BASE PYTHON'!$H:$H,'[1]BASE PYTHON'!$I:$I,0)</f>
        <v>119.9</v>
      </c>
      <c r="K21" s="22">
        <f>Tabela5[[#This Row],[COMPROMISSO]]-Tabela5[[#This Row],[ATINGIDO]]</f>
        <v>2390.1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685000</v>
      </c>
      <c r="P21" s="2">
        <f>GETPIVOTDATA("[Measures].[Soma de TOTAL 3]",'[1]BASE PYTHON'!$P$32,"[Intervalo 2].[SEMANA]","[Intervalo 2].[SEMANA].&amp;[1]")</f>
        <v>456262.20000000007</v>
      </c>
      <c r="Q21" s="7">
        <f>O21-P21</f>
        <v>228737.79999999993</v>
      </c>
      <c r="R21" s="4"/>
      <c r="S21" s="18" t="s">
        <v>19</v>
      </c>
      <c r="T21" s="18" t="s">
        <v>19</v>
      </c>
      <c r="U21" s="18">
        <f>_xlfn.XLOOKUP(Tabela2[[#This Row],[REFERENCIA]],'[1]BASE PYTHON'!$A$63:$A$79,'[1]BASE PYTHON'!$B$63:$B$79)</f>
        <v>44</v>
      </c>
      <c r="V21" s="18">
        <f>_xlfn.XLOOKUP(Tabela2[[#This Row],[REFERENCIA]],'[1]BASE PYTHON'!$K:$K,'[1]BASE PYTHON'!$N:$N,0)</f>
        <v>9</v>
      </c>
      <c r="W21" s="18">
        <f t="shared" ref="W21:W26" si="1">U21-V21</f>
        <v>35</v>
      </c>
    </row>
    <row r="22" spans="1:23" x14ac:dyDescent="0.25">
      <c r="A22" s="24" t="s">
        <v>12</v>
      </c>
      <c r="B22" s="24" t="s">
        <v>12</v>
      </c>
      <c r="C22" s="28">
        <f>_xlfn.XLOOKUP(Tabela13[[#This Row],[REFERENCIA]],[1]!Tabela2[VENDEDOR],[1]!Tabela2[META A],0)</f>
        <v>122000</v>
      </c>
      <c r="D22" s="28">
        <f>_xlfn.XLOOKUP(Tabela13[[#This Row],[REFERENCIA]],'[1]BASE PYTHON'!$E:$E,'[1]BASE PYTHON'!$F:$F,0)</f>
        <v>16758.439999999991</v>
      </c>
      <c r="E22" s="25">
        <f>Tabela13[[#This Row],[META A]]-Tabela13[[#This Row],[ATINGIDO]]</f>
        <v>105241.56000000001</v>
      </c>
      <c r="F22" s="4"/>
      <c r="G22" s="20" t="s">
        <v>14</v>
      </c>
      <c r="H22" s="20" t="s">
        <v>14</v>
      </c>
      <c r="I22" s="21">
        <f>_xlfn.XLOOKUP(Tabela5[[#This Row],[REFERENCIA]],[1]!Tabela1[VENDEDOR],[1]!Tabela1[VALOR])</f>
        <v>5970</v>
      </c>
      <c r="J22" s="21">
        <f>_xlfn.XLOOKUP(Tabela5[[#This Row],[REFERENCIA]],'[1]BASE PYTHON'!$H:$H,'[1]BASE PYTHON'!$I:$I,0)</f>
        <v>779.77</v>
      </c>
      <c r="K22" s="22">
        <f>Tabela5[[#This Row],[COMPROMISSO]]-Tabela5[[#This Row],[ATINGIDO]]</f>
        <v>5190.2299999999996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685000</v>
      </c>
      <c r="P22" s="7" t="e">
        <f>GETPIVOTDATA("[Measures].[Soma de TOTAL 3]",'[1]BASE PYTHON'!$P$32,"[Intervalo 2].[SEMANA]","[Intervalo 2].[SEMANA].&amp;[2]")</f>
        <v>#REF!</v>
      </c>
      <c r="Q22" s="7" t="e">
        <f>O22-P22</f>
        <v>#REF!</v>
      </c>
      <c r="R22" s="4"/>
      <c r="S22" s="18" t="s">
        <v>20</v>
      </c>
      <c r="T22" s="18" t="s">
        <v>20</v>
      </c>
      <c r="U22" s="18">
        <f>_xlfn.XLOOKUP(Tabela2[[#This Row],[REFERENCIA]],'[1]BASE PYTHON'!$A$63:$A$79,'[1]BASE PYTHON'!$B$63:$B$79)</f>
        <v>40</v>
      </c>
      <c r="V22" s="18">
        <f>_xlfn.XLOOKUP(Tabela2[[#This Row],[REFERENCIA]],'[1]BASE PYTHON'!$K:$K,'[1]BASE PYTHON'!$N:$N,0)</f>
        <v>10</v>
      </c>
      <c r="W22" s="18">
        <f t="shared" si="1"/>
        <v>30</v>
      </c>
    </row>
    <row r="23" spans="1:23" x14ac:dyDescent="0.25">
      <c r="A23" s="16" t="s">
        <v>13</v>
      </c>
      <c r="B23" s="16" t="s">
        <v>41</v>
      </c>
      <c r="C23" s="28">
        <f>_xlfn.XLOOKUP(Tabela13[[#This Row],[REFERENCIA]],[1]!Tabela2[VENDEDOR],[1]!Tabela2[META A],0)</f>
        <v>200000</v>
      </c>
      <c r="D23" s="28">
        <f>_xlfn.XLOOKUP(Tabela13[[#This Row],[REFERENCIA]],'[1]BASE PYTHON'!$E:$E,'[1]BASE PYTHON'!$F:$F,0)</f>
        <v>32467.700000000012</v>
      </c>
      <c r="E23" s="23">
        <f>Tabela13[[#This Row],[META A]]-Tabela13[[#This Row],[ATINGIDO]]</f>
        <v>167532.29999999999</v>
      </c>
      <c r="F23" s="4"/>
      <c r="G23" s="20" t="s">
        <v>9</v>
      </c>
      <c r="H23" s="20" t="s">
        <v>9</v>
      </c>
      <c r="I23" s="21">
        <f>_xlfn.XLOOKUP(Tabela5[[#This Row],[REFERENCIA]],[1]!Tabela1[VENDEDOR],[1]!Tabela1[VALOR])</f>
        <v>2500</v>
      </c>
      <c r="J23" s="21">
        <f>_xlfn.XLOOKUP(Tabela5[[#This Row],[REFERENCIA]],'[1]BASE PYTHON'!$H:$H,'[1]BASE PYTHON'!$I:$I,0)</f>
        <v>787.7</v>
      </c>
      <c r="K23" s="22">
        <f>Tabela5[[#This Row],[COMPROMISSO]]-Tabela5[[#This Row],[ATINGIDO]]</f>
        <v>1712.3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685000</v>
      </c>
      <c r="P23" s="7" t="e">
        <f>GETPIVOTDATA("[Measures].[Soma de TOTAL 3]",'[1]BASE PYTHON'!$P$32,"[Intervalo 2].[SEMANA]","[Intervalo 2].[SEMANA].&amp;[3]")</f>
        <v>#REF!</v>
      </c>
      <c r="Q23" s="7" t="e">
        <f>O23-P23</f>
        <v>#REF!</v>
      </c>
      <c r="R23" s="4"/>
      <c r="S23" s="18" t="s">
        <v>21</v>
      </c>
      <c r="T23" s="18" t="s">
        <v>21</v>
      </c>
      <c r="U23" s="18">
        <f>_xlfn.XLOOKUP(Tabela2[[#This Row],[REFERENCIA]],'[1]BASE PYTHON'!$A$63:$A$79,'[1]BASE PYTHON'!$B$63:$B$79)</f>
        <v>55</v>
      </c>
      <c r="V23" s="18">
        <f>_xlfn.XLOOKUP(Tabela2[[#This Row],[REFERENCIA]],'[1]BASE PYTHON'!$K:$K,'[1]BASE PYTHON'!$N:$N,0)</f>
        <v>10</v>
      </c>
      <c r="W23" s="18">
        <f t="shared" si="1"/>
        <v>45</v>
      </c>
    </row>
    <row r="24" spans="1:23" x14ac:dyDescent="0.25">
      <c r="A24" s="24" t="s">
        <v>14</v>
      </c>
      <c r="B24" s="24" t="s">
        <v>42</v>
      </c>
      <c r="C24" s="28">
        <f>_xlfn.XLOOKUP(Tabela13[[#This Row],[REFERENCIA]],[1]!Tabela2[VENDEDOR],[1]!Tabela2[META A],0)</f>
        <v>145000</v>
      </c>
      <c r="D24" s="28">
        <f>_xlfn.XLOOKUP(Tabela13[[#This Row],[REFERENCIA]],'[1]BASE PYTHON'!$E:$E,'[1]BASE PYTHON'!$F:$F,0)</f>
        <v>19911.549999999996</v>
      </c>
      <c r="E24" s="25">
        <f>Tabela13[[#This Row],[META A]]-Tabela13[[#This Row],[ATINGIDO]]</f>
        <v>125088.45000000001</v>
      </c>
      <c r="F24" s="4"/>
      <c r="G24" s="20" t="s">
        <v>24</v>
      </c>
      <c r="H24" s="20" t="s">
        <v>45</v>
      </c>
      <c r="I24" s="21">
        <f>_xlfn.XLOOKUP(Tabela5[[#This Row],[REFERENCIA]],[1]!Tabela1[VENDEDOR],[1]!Tabela1[VALOR])</f>
        <v>2460</v>
      </c>
      <c r="J24" s="21">
        <f>_xlfn.XLOOKUP(Tabela5[[#This Row],[REFERENCIA]],'[1]BASE PYTHON'!$H:$H,'[1]BASE PYTHON'!$I:$I,0)</f>
        <v>193.78</v>
      </c>
      <c r="K24" s="22">
        <f>Tabela5[[#This Row],[COMPROMISSO]]-Tabela5[[#This Row],[ATINGIDO]]</f>
        <v>2266.2199999999998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685000</v>
      </c>
      <c r="P24" s="7" t="e">
        <f>GETPIVOTDATA("[Measures].[Soma de TOTAL 3]",'[1]BASE PYTHON'!$P$32,"[Intervalo 2].[SEMANA]","[Intervalo 2].[SEMANA].&amp;[4]")</f>
        <v>#REF!</v>
      </c>
      <c r="Q24" s="7" t="e">
        <f>O24-P24</f>
        <v>#REF!</v>
      </c>
      <c r="R24" s="4"/>
      <c r="S24" s="18" t="s">
        <v>22</v>
      </c>
      <c r="T24" s="18" t="s">
        <v>22</v>
      </c>
      <c r="U24" s="18">
        <f>_xlfn.XLOOKUP(Tabela2[[#This Row],[REFERENCIA]],'[1]BASE PYTHON'!$A$63:$A$79,'[1]BASE PYTHON'!$B$63:$B$79)</f>
        <v>37</v>
      </c>
      <c r="V24" s="18">
        <f>_xlfn.XLOOKUP(Tabela2[[#This Row],[REFERENCIA]],'[1]BASE PYTHON'!$K:$K,'[1]BASE PYTHON'!$N:$N,0)</f>
        <v>8</v>
      </c>
      <c r="W24" s="18">
        <f t="shared" si="1"/>
        <v>29</v>
      </c>
    </row>
    <row r="25" spans="1:23" x14ac:dyDescent="0.25">
      <c r="A25" s="16" t="s">
        <v>15</v>
      </c>
      <c r="B25" s="16" t="s">
        <v>43</v>
      </c>
      <c r="C25" s="28">
        <f>_xlfn.XLOOKUP(Tabela13[[#This Row],[REFERENCIA]],[1]!Tabela2[VENDEDOR],[1]!Tabela2[META A],0)</f>
        <v>147000</v>
      </c>
      <c r="D25" s="28">
        <f>_xlfn.XLOOKUP(Tabela13[[#This Row],[REFERENCIA]],'[1]BASE PYTHON'!$E:$E,'[1]BASE PYTHON'!$F:$F,0)</f>
        <v>13820.139999999994</v>
      </c>
      <c r="E25" s="23">
        <f>Tabela13[[#This Row],[META A]]-Tabela13[[#This Row],[ATINGIDO]]</f>
        <v>133179.86000000002</v>
      </c>
      <c r="F25" s="4"/>
      <c r="G25" s="20" t="s">
        <v>22</v>
      </c>
      <c r="H25" s="20" t="s">
        <v>22</v>
      </c>
      <c r="I25" s="21">
        <f>_xlfn.XLOOKUP(Tabela5[[#This Row],[REFERENCIA]],[1]!Tabela1[VENDEDOR],[1]!Tabela1[VALOR])</f>
        <v>3030</v>
      </c>
      <c r="J25" s="21">
        <f>_xlfn.XLOOKUP(Tabela5[[#This Row],[REFERENCIA]],'[1]BASE PYTHON'!$H:$H,'[1]BASE PYTHON'!$I:$I,0)</f>
        <v>0</v>
      </c>
      <c r="K25" s="22">
        <f>Tabela5[[#This Row],[COMPROMISSO]]-Tabela5[[#This Row],[ATINGIDO]]</f>
        <v>3030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137000</v>
      </c>
      <c r="P25" s="7" t="e">
        <f>GETPIVOTDATA("[Measures].[Soma de TOTAL 3]",'[1]BASE PYTHON'!$P$32,"[Intervalo 2].[SEMANA]","[Intervalo 2].[SEMANA].&amp;[5]")</f>
        <v>#REF!</v>
      </c>
      <c r="Q25" s="7" t="e">
        <f>O25-P25</f>
        <v>#REF!</v>
      </c>
      <c r="R25" s="4"/>
      <c r="S25" s="18" t="s">
        <v>15</v>
      </c>
      <c r="T25" s="18" t="s">
        <v>43</v>
      </c>
      <c r="U25" s="18">
        <f>_xlfn.XLOOKUP(Tabela2[[#This Row],[REFERENCIA]],'[1]BASE PYTHON'!$A$63:$A$79,'[1]BASE PYTHON'!$B$63:$B$79)</f>
        <v>53</v>
      </c>
      <c r="V25" s="18">
        <f>_xlfn.XLOOKUP(Tabela2[[#This Row],[REFERENCIA]],'[1]BASE PYTHON'!$K:$K,'[1]BASE PYTHON'!$N:$N,0)</f>
        <v>8</v>
      </c>
      <c r="W25" s="18">
        <f t="shared" si="1"/>
        <v>45</v>
      </c>
    </row>
    <row r="26" spans="1:23" x14ac:dyDescent="0.25">
      <c r="A26" s="24" t="s">
        <v>16</v>
      </c>
      <c r="B26" s="24" t="s">
        <v>16</v>
      </c>
      <c r="C26" s="28">
        <f>_xlfn.XLOOKUP(Tabela13[[#This Row],[REFERENCIA]],[1]!Tabela2[VENDEDOR],[1]!Tabela2[META A],0)</f>
        <v>90000</v>
      </c>
      <c r="D26" s="28">
        <f>_xlfn.XLOOKUP(Tabela13[[#This Row],[REFERENCIA]],'[1]BASE PYTHON'!$E:$E,'[1]BASE PYTHON'!$F:$F,0)</f>
        <v>7095.0299999999979</v>
      </c>
      <c r="E26" s="25">
        <f>Tabela13[[#This Row],[META A]]-Tabela13[[#This Row],[ATINGIDO]]</f>
        <v>82904.97</v>
      </c>
      <c r="F26" s="4"/>
      <c r="G26" s="20" t="s">
        <v>23</v>
      </c>
      <c r="H26" s="20" t="s">
        <v>44</v>
      </c>
      <c r="I26" s="21">
        <f>_xlfn.XLOOKUP(Tabela5[[#This Row],[REFERENCIA]],[1]!Tabela1[VENDEDOR],[1]!Tabela1[VALOR])</f>
        <v>2510</v>
      </c>
      <c r="J26" s="21">
        <f>_xlfn.XLOOKUP(Tabela5[[#This Row],[REFERENCIA]],'[1]BASE PYTHON'!$H:$H,'[1]BASE PYTHON'!$I:$I,0)</f>
        <v>1751.1700000000003</v>
      </c>
      <c r="K26" s="22">
        <f>Tabela5[[#This Row],[COMPROMISSO]]-Tabela5[[#This Row],[ATINGIDO]]</f>
        <v>758.8299999999997</v>
      </c>
      <c r="L26" s="4"/>
      <c r="M26" s="4"/>
      <c r="N26" s="4"/>
      <c r="O26" s="2"/>
      <c r="P26" s="4"/>
      <c r="Q26" s="4"/>
      <c r="R26" s="4"/>
      <c r="S26" s="18" t="s">
        <v>23</v>
      </c>
      <c r="T26" s="18" t="s">
        <v>44</v>
      </c>
      <c r="U26" s="18">
        <f>_xlfn.XLOOKUP(Tabela2[[#This Row],[REFERENCIA]],'[1]BASE PYTHON'!$A$63:$A$79,'[1]BASE PYTHON'!$B$63:$B$79)</f>
        <v>38</v>
      </c>
      <c r="V26" s="18">
        <f>_xlfn.XLOOKUP(Tabela2[[#This Row],[REFERENCIA]],'[1]BASE PYTHON'!$K:$K,'[1]BASE PYTHON'!$N:$N,0)</f>
        <v>11</v>
      </c>
      <c r="W26" s="18">
        <f t="shared" si="1"/>
        <v>27</v>
      </c>
    </row>
    <row r="27" spans="1:23" x14ac:dyDescent="0.25">
      <c r="A27" s="16" t="s">
        <v>17</v>
      </c>
      <c r="B27" s="16" t="s">
        <v>17</v>
      </c>
      <c r="C27" s="28">
        <f>_xlfn.XLOOKUP(Tabela13[[#This Row],[REFERENCIA]],[1]!Tabela2[VENDEDOR],[1]!Tabela2[META A],0)</f>
        <v>242000</v>
      </c>
      <c r="D27" s="28">
        <f>_xlfn.XLOOKUP(Tabela13[[#This Row],[REFERENCIA]],'[1]BASE PYTHON'!$E:$E,'[1]BASE PYTHON'!$F:$F,0)</f>
        <v>46170.950000000033</v>
      </c>
      <c r="E27" s="23">
        <f>Tabela13[[#This Row],[META A]]-Tabela13[[#This Row],[ATINGIDO]]</f>
        <v>195829.04999999996</v>
      </c>
      <c r="F27" s="4"/>
      <c r="G27" s="20" t="s">
        <v>7</v>
      </c>
      <c r="H27" s="20" t="s">
        <v>7</v>
      </c>
      <c r="I27" s="21">
        <f>_xlfn.XLOOKUP(Tabela5[[#This Row],[REFERENCIA]],[1]!Tabela1[VENDEDOR],[1]!Tabela1[VALOR])</f>
        <v>2610</v>
      </c>
      <c r="J27" s="21">
        <f>_xlfn.XLOOKUP(Tabela5[[#This Row],[REFERENCIA]],'[1]BASE PYTHON'!$H:$H,'[1]BASE PYTHON'!$I:$I,0)</f>
        <v>1073.68</v>
      </c>
      <c r="K27" s="22">
        <f>Tabela5[[#This Row],[COMPROMISSO]]-Tabela5[[#This Row],[ATINGIDO]]</f>
        <v>1536.32</v>
      </c>
      <c r="L27" s="4"/>
      <c r="M27" s="4"/>
      <c r="N27" s="4"/>
      <c r="O27" s="4"/>
      <c r="P27" s="4"/>
      <c r="Q27" s="4"/>
      <c r="R27" s="4"/>
    </row>
    <row r="28" spans="1:23" x14ac:dyDescent="0.25">
      <c r="A28" s="24" t="s">
        <v>18</v>
      </c>
      <c r="B28" s="24" t="s">
        <v>18</v>
      </c>
      <c r="C28" s="28">
        <f>_xlfn.XLOOKUP(Tabela13[[#This Row],[REFERENCIA]],[1]!Tabela2[VENDEDOR],[1]!Tabela2[META A],0)</f>
        <v>323500</v>
      </c>
      <c r="D28" s="28">
        <f>_xlfn.XLOOKUP(Tabela13[[#This Row],[REFERENCIA]],'[1]BASE PYTHON'!$E:$E,'[1]BASE PYTHON'!$F:$F,0)</f>
        <v>60726.210000000006</v>
      </c>
      <c r="E28" s="25">
        <f>Tabela13[[#This Row],[META A]]-Tabela13[[#This Row],[ATINGIDO]]</f>
        <v>262773.78999999998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28">
        <f>_xlfn.XLOOKUP(Tabela13[[#This Row],[REFERENCIA]],[1]!Tabela2[VENDEDOR],[1]!Tabela2[META A],0)</f>
        <v>0</v>
      </c>
      <c r="D29" s="28">
        <f>_xlfn.XLOOKUP(Tabela13[[#This Row],[REFERENCIA]],'[1]BASE PYTHON'!$E:$E,'[1]BASE PYTHON'!$F:$F,0)</f>
        <v>0</v>
      </c>
      <c r="E29" s="2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4" t="s">
        <v>19</v>
      </c>
      <c r="B30" s="24" t="s">
        <v>19</v>
      </c>
      <c r="C30" s="28">
        <f>_xlfn.XLOOKUP(Tabela13[[#This Row],[REFERENCIA]],[1]!Tabela2[VENDEDOR],[1]!Tabela2[META A],0)</f>
        <v>139500</v>
      </c>
      <c r="D30" s="28">
        <f>_xlfn.XLOOKUP(Tabela13[[#This Row],[REFERENCIA]],'[1]BASE PYTHON'!$E:$E,'[1]BASE PYTHON'!$F:$F,0)</f>
        <v>21536.85</v>
      </c>
      <c r="E30" s="25">
        <f>Tabela13[[#This Row],[META A]]-Tabela13[[#This Row],[ATINGIDO]]</f>
        <v>117963.15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186.42857142857142</v>
      </c>
      <c r="V30" s="5">
        <f>IFERROR(GETPIVOTDATA("[Measures].[Contagem Distinta de COD_CLIENTE]",'[1]BASE PYTHON'!$P$85,"[Intervalo 2].[SEMANA]","[Intervalo 2].[SEMANA].&amp;[1]"),0)</f>
        <v>185</v>
      </c>
      <c r="W30" s="6">
        <f>U30-V30</f>
        <v>1.4285714285714164</v>
      </c>
    </row>
    <row r="31" spans="1:23" x14ac:dyDescent="0.25">
      <c r="A31" s="16" t="s">
        <v>20</v>
      </c>
      <c r="B31" s="16" t="s">
        <v>20</v>
      </c>
      <c r="C31" s="28">
        <f>_xlfn.XLOOKUP(Tabela13[[#This Row],[REFERENCIA]],[1]!Tabela2[VENDEDOR],[1]!Tabela2[META A],0)</f>
        <v>167000</v>
      </c>
      <c r="D31" s="28">
        <f>_xlfn.XLOOKUP(Tabela13[[#This Row],[REFERENCIA]],'[1]BASE PYTHON'!$E:$E,'[1]BASE PYTHON'!$F:$F,0)</f>
        <v>29141.170000000006</v>
      </c>
      <c r="E31" s="23">
        <f>Tabela13[[#This Row],[META A]]-Tabela13[[#This Row],[ATINGIDO]]</f>
        <v>137858.82999999999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692023.80952380947</v>
      </c>
      <c r="J31" s="2">
        <f>IFERROR(GETPIVOTDATA("[Measures].[Soma de TOTAL 3]",'[1]BASE PYTHON'!$P$4,"[Intervalo 2].[SEMANA]","[Intervalo 2].[SEMANA].&amp;[1]"),0)</f>
        <v>445255.24000000185</v>
      </c>
      <c r="K31" s="7">
        <f>I31-J31</f>
        <v>246768.56952380762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186.42857142857142</v>
      </c>
      <c r="V31" s="6">
        <f>IFERROR(GETPIVOTDATA("[Measures].[Contagem Distinta de COD_CLIENTE]",'[1]BASE PYTHON'!$P$85,"[Intervalo 2].[SEMANA]","[Intervalo 2].[SEMANA].&amp;[2]"),0)</f>
        <v>0</v>
      </c>
      <c r="W31" s="6">
        <f t="shared" ref="W31:W33" si="2">U31-V31</f>
        <v>186.42857142857142</v>
      </c>
    </row>
    <row r="32" spans="1:23" x14ac:dyDescent="0.25">
      <c r="A32" s="24" t="s">
        <v>21</v>
      </c>
      <c r="B32" s="24" t="s">
        <v>21</v>
      </c>
      <c r="C32" s="28">
        <f>_xlfn.XLOOKUP(Tabela13[[#This Row],[REFERENCIA]],[1]!Tabela2[VENDEDOR],[1]!Tabela2[META A],0)</f>
        <v>265000</v>
      </c>
      <c r="D32" s="28">
        <f>_xlfn.XLOOKUP(Tabela13[[#This Row],[REFERENCIA]],'[1]BASE PYTHON'!$E:$E,'[1]BASE PYTHON'!$F:$F,0)</f>
        <v>47115.100000000028</v>
      </c>
      <c r="E32" s="25">
        <f>Tabela13[[#This Row],[META A]]-Tabela13[[#This Row],[ATINGIDO]]</f>
        <v>217884.89999999997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692023.80952380947</v>
      </c>
      <c r="J32" s="7">
        <f>IFERROR(GETPIVOTDATA("[Measures].[Soma de TOTAL 3]",'[1]BASE PYTHON'!$P$4,"[Intervalo 2].[SEMANA]","[Intervalo 2].[SEMANA].&amp;[2]"),0)</f>
        <v>0</v>
      </c>
      <c r="K32" s="7">
        <f t="shared" ref="K32:K34" si="3">I32-J32</f>
        <v>692023.80952380947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186.42857142857142</v>
      </c>
      <c r="V32" s="6">
        <f>IFERROR(GETPIVOTDATA("[Measures].[Contagem Distinta de COD_CLIENTE]",'[1]BASE PYTHON'!$P$85,"[Intervalo 2].[SEMANA]","[Intervalo 2].[SEMANA].&amp;[3]"),0)</f>
        <v>0</v>
      </c>
      <c r="W32" s="6">
        <f t="shared" si="2"/>
        <v>186.42857142857142</v>
      </c>
    </row>
    <row r="33" spans="1:23" x14ac:dyDescent="0.25">
      <c r="A33" s="16" t="s">
        <v>22</v>
      </c>
      <c r="B33" s="16" t="s">
        <v>22</v>
      </c>
      <c r="C33" s="28">
        <f>_xlfn.XLOOKUP(Tabela13[[#This Row],[REFERENCIA]],[1]!Tabela2[VENDEDOR],[1]!Tabela2[META A],0)</f>
        <v>100000</v>
      </c>
      <c r="D33" s="28">
        <f>_xlfn.XLOOKUP(Tabela13[[#This Row],[REFERENCIA]],'[1]BASE PYTHON'!$E:$E,'[1]BASE PYTHON'!$F:$F,0)</f>
        <v>10084.369999999995</v>
      </c>
      <c r="E33" s="23">
        <f>Tabela13[[#This Row],[META A]]-Tabela13[[#This Row],[ATINGIDO]]</f>
        <v>89915.63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692023.80952380947</v>
      </c>
      <c r="J33" s="7">
        <f>IFERROR(GETPIVOTDATA("[Measures].[Soma de TOTAL 3]",'[1]BASE PYTHON'!$P$4,"[Intervalo 2].[SEMANA]","[Intervalo 2].[SEMANA].&amp;[3]"),0)</f>
        <v>0</v>
      </c>
      <c r="K33" s="7">
        <f t="shared" si="3"/>
        <v>692023.80952380947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186.42857142857142</v>
      </c>
      <c r="V33" s="6">
        <f>IFERROR(GETPIVOTDATA("[Measures].[Contagem Distinta de COD_CLIENTE]",'[1]BASE PYTHON'!$P$85,"[Intervalo 2].[SEMANA]","[Intervalo 2].[SEMANA].&amp;[4]"),0)</f>
        <v>0</v>
      </c>
      <c r="W33" s="6">
        <f t="shared" si="2"/>
        <v>186.42857142857142</v>
      </c>
    </row>
    <row r="34" spans="1:23" x14ac:dyDescent="0.25">
      <c r="A34" s="24" t="s">
        <v>23</v>
      </c>
      <c r="B34" s="24" t="s">
        <v>44</v>
      </c>
      <c r="C34" s="28">
        <f>_xlfn.XLOOKUP(Tabela13[[#This Row],[REFERENCIA]],[1]!Tabela2[VENDEDOR],[1]!Tabela2[META A],0)</f>
        <v>55000</v>
      </c>
      <c r="D34" s="28">
        <f>_xlfn.XLOOKUP(Tabela13[[#This Row],[REFERENCIA]],'[1]BASE PYTHON'!$E:$E,'[1]BASE PYTHON'!$F:$F,0)</f>
        <v>10615.939999999995</v>
      </c>
      <c r="E34" s="25">
        <f>Tabela13[[#This Row],[META A]]-Tabela13[[#This Row],[ATINGIDO]]</f>
        <v>44384.060000000005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692023.80952380947</v>
      </c>
      <c r="J34" s="7">
        <f>IFERROR(GETPIVOTDATA("[Measures].[Soma de TOTAL 3]",'[1]BASE PYTHON'!$P$4,"[Intervalo 2].[SEMANA]","[Intervalo 2].[SEMANA].&amp;[4]"),0)</f>
        <v>0</v>
      </c>
      <c r="K34" s="7">
        <f t="shared" si="3"/>
        <v>692023.80952380947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37.285714285714285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37.285714285714285</v>
      </c>
    </row>
    <row r="35" spans="1:23" x14ac:dyDescent="0.25">
      <c r="A35" s="16" t="s">
        <v>24</v>
      </c>
      <c r="B35" s="16" t="s">
        <v>45</v>
      </c>
      <c r="C35" s="28">
        <f>_xlfn.XLOOKUP(Tabela13[[#This Row],[REFERENCIA]],[1]!Tabela2[VENDEDOR],[1]!Tabela2[META A],0)</f>
        <v>75000</v>
      </c>
      <c r="D35" s="28">
        <f>_xlfn.XLOOKUP(Tabela13[[#This Row],[REFERENCIA]],'[1]BASE PYTHON'!$E:$E,'[1]BASE PYTHON'!$F:$F,0)</f>
        <v>13290.779999999997</v>
      </c>
      <c r="E35" s="23">
        <f>Tabela13[[#This Row],[META A]]-Tabela13[[#This Row],[ATINGIDO]]</f>
        <v>61709.22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138404.76190476189</v>
      </c>
      <c r="J35" s="7">
        <f>IFERROR(GETPIVOTDATA("[Measures].[Soma de TOTAL 3]",'[1]BASE PYTHON'!$P$4,"[Intervalo 2].[SEMANA]","[Intervalo 2].[SEMANA].&amp;[5]"),0)</f>
        <v>0</v>
      </c>
      <c r="K35" s="7">
        <f>I35-J35</f>
        <v>138404.76190476189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28">
        <f>_xlfn.XLOOKUP(Tabela13[[#This Row],[REFERENCIA]],[1]!Tabela2[VENDEDOR],[1]!Tabela2[META A],0)</f>
        <v>1000</v>
      </c>
      <c r="D36" s="28">
        <f>_xlfn.XLOOKUP(Tabela13[[#This Row],[REFERENCIA]],'[1]BASE PYTHON'!$E:$E,'[1]BASE PYTHON'!$F:$F,0)</f>
        <v>644.28</v>
      </c>
      <c r="E36" s="23">
        <f>Tabela13[[#This Row],[META A]]-Tabela13[[#This Row],[ATINGIDO]]</f>
        <v>355.72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7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7"/>
      <c r="B40" s="4" t="s">
        <v>4</v>
      </c>
      <c r="C40" s="2" cm="1">
        <f t="array" ref="C40">_xlfn.XLOOKUP(Tabela3[[#This Row],[SEMANAL]],[1]!Tabela7[[#All],[Coluna1]],[1]!Tabela7[[#All],[Coluna2]])</f>
        <v>1377261.9047619049</v>
      </c>
      <c r="D40" s="2">
        <f>IFERROR(GETPIVOTDATA("[Measures].[Soma de TOTAL 3]",'[1]BASE PYTHON'!$P$47,"[Intervalo 2].[SEMANA]","[Intervalo 2].[SEMANA].&amp;[1]"),0)</f>
        <v>934629.42000000225</v>
      </c>
      <c r="E40" s="7">
        <f>C40-D40</f>
        <v>442632.4847619026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7"/>
      <c r="B41" s="4" t="s">
        <v>48</v>
      </c>
      <c r="C41" s="2" cm="1">
        <f t="array" ref="C41">_xlfn.XLOOKUP(Tabela3[[#This Row],[SEMANAL]],[1]!Tabela7[[#All],[Coluna1]],[1]!Tabela7[[#All],[Coluna2]])</f>
        <v>1377261.9047619049</v>
      </c>
      <c r="D41" s="2">
        <f>INT((A6-(DATE(YEAR(A6),MONTH(A6),1)+(8-WEEKDAY(DATE(YEAR(A6),MONTH(A6),1),2))))/7)+1</f>
        <v>0</v>
      </c>
      <c r="E41" s="7">
        <f t="shared" ref="E41:E43" si="4">C41-D41</f>
        <v>1377261.9047619049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7"/>
      <c r="B42" s="4" t="s">
        <v>49</v>
      </c>
      <c r="C42" s="2" cm="1">
        <f t="array" ref="C42">_xlfn.XLOOKUP(Tabela3[[#This Row],[SEMANAL]],[1]!Tabela7[[#All],[Coluna1]],[1]!Tabela7[[#All],[Coluna2]])</f>
        <v>1377261.9047619049</v>
      </c>
      <c r="D42" s="2">
        <f>IFERROR(GETPIVOTDATA("[Measures].[Soma de TOTAL 3]",'[1]BASE PYTHON'!$P$47,"[Intervalo 2].[SEMANA]","[Intervalo 2].[SEMANA].&amp;[3]"),0)</f>
        <v>0</v>
      </c>
      <c r="E42" s="7">
        <f t="shared" si="4"/>
        <v>1377261.9047619049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7"/>
      <c r="B43" s="4" t="s">
        <v>50</v>
      </c>
      <c r="C43" s="2" cm="1">
        <f t="array" ref="C43">_xlfn.XLOOKUP(Tabela3[[#This Row],[SEMANAL]],[1]!Tabela7[[#All],[Coluna1]],[1]!Tabela7[[#All],[Coluna2]])</f>
        <v>1377261.9047619049</v>
      </c>
      <c r="D43" s="2">
        <f>IFERROR(GETPIVOTDATA("[Measures].[Soma de TOTAL 3]",'[1]BASE PYTHON'!$P$47,"[Intervalo 2].[SEMANA]","[Intervalo 2].[SEMANA].&amp;[4]"),0)</f>
        <v>0</v>
      </c>
      <c r="E43" s="7">
        <f t="shared" si="4"/>
        <v>1377261.9047619049</v>
      </c>
    </row>
    <row r="44" spans="1:23" x14ac:dyDescent="0.25">
      <c r="A44" s="27"/>
      <c r="B44" s="4" t="s">
        <v>52</v>
      </c>
      <c r="C44" s="2" cm="1">
        <f t="array" ref="C44">_xlfn.XLOOKUP(Tabela3[[#This Row],[SEMANAL]],[1]!Tabela7[[#All],[Coluna1]],[1]!Tabela7[[#All],[Coluna2]])</f>
        <v>275452.38095238095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5">C44-D44</f>
        <v>275452.38095238095</v>
      </c>
    </row>
    <row r="45" spans="1:23" x14ac:dyDescent="0.25">
      <c r="A45" s="27"/>
    </row>
    <row r="46" spans="1:23" x14ac:dyDescent="0.25">
      <c r="A46" s="27"/>
    </row>
    <row r="47" spans="1:23" x14ac:dyDescent="0.25">
      <c r="A47" s="27"/>
    </row>
    <row r="48" spans="1:23" x14ac:dyDescent="0.25">
      <c r="A48" s="27"/>
    </row>
    <row r="49" spans="1:1" x14ac:dyDescent="0.25">
      <c r="A49" s="27"/>
    </row>
    <row r="50" spans="1:1" x14ac:dyDescent="0.25">
      <c r="A50" s="27"/>
    </row>
    <row r="51" spans="1:1" x14ac:dyDescent="0.25">
      <c r="A51" s="27"/>
    </row>
    <row r="52" spans="1:1" x14ac:dyDescent="0.25">
      <c r="A52" s="27"/>
    </row>
    <row r="53" spans="1:1" x14ac:dyDescent="0.25">
      <c r="A53" s="27"/>
    </row>
    <row r="54" spans="1:1" x14ac:dyDescent="0.25">
      <c r="A54" s="27"/>
    </row>
    <row r="55" spans="1:1" x14ac:dyDescent="0.25">
      <c r="A55" s="27"/>
    </row>
    <row r="56" spans="1:1" x14ac:dyDescent="0.25">
      <c r="A56" s="27"/>
    </row>
    <row r="57" spans="1:1" x14ac:dyDescent="0.25">
      <c r="A57" s="27"/>
    </row>
    <row r="58" spans="1:1" x14ac:dyDescent="0.25">
      <c r="A58" s="27"/>
    </row>
    <row r="59" spans="1:1" x14ac:dyDescent="0.25">
      <c r="A59" s="27"/>
    </row>
    <row r="60" spans="1:1" x14ac:dyDescent="0.25">
      <c r="A60" s="27"/>
    </row>
    <row r="61" spans="1:1" x14ac:dyDescent="0.25">
      <c r="A61" s="27"/>
    </row>
    <row r="62" spans="1:1" x14ac:dyDescent="0.25">
      <c r="A62" s="27"/>
    </row>
    <row r="63" spans="1:1" x14ac:dyDescent="0.25">
      <c r="A63" s="27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2026-08-06T13:41:40Z</dcterms:modified>
</cp:coreProperties>
</file>