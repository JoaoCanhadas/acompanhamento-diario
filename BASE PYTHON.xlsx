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6D599799-BA6C-46B7-9655-866F7B11587F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1" i="2"/>
  <c r="V34" i="2"/>
  <c r="V33" i="2"/>
  <c r="V30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D41" i="2"/>
  <c r="J33" i="2"/>
  <c r="P21" i="2"/>
  <c r="J31" i="2"/>
  <c r="P25" i="2"/>
  <c r="J34" i="2"/>
  <c r="P23" i="2"/>
  <c r="D42" i="2"/>
  <c r="D40" i="2"/>
  <c r="D43" i="2"/>
  <c r="J32" i="2"/>
  <c r="P24" i="2"/>
  <c r="J35" i="2"/>
  <c r="D44" i="2"/>
  <c r="P2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C41" i="2" a="1"/>
  <c r="C41" i="2" s="1"/>
  <c r="E41" i="2" s="1"/>
  <c r="C44" i="2" a="1"/>
  <c r="C44" i="2" s="1"/>
  <c r="E44" i="2" s="1"/>
  <c r="I35" i="2" a="1"/>
  <c r="I35" i="2" s="1"/>
  <c r="K35" i="2" s="1"/>
  <c r="I33" i="2" a="1"/>
  <c r="I33" i="2" s="1"/>
  <c r="K33" i="2" s="1"/>
  <c r="C42" i="2" a="1"/>
  <c r="C42" i="2" s="1"/>
  <c r="E42" i="2" s="1"/>
  <c r="I31" i="2" a="1"/>
  <c r="I31" i="2" s="1"/>
  <c r="K31" i="2" s="1"/>
  <c r="C40" i="2" a="1"/>
  <c r="C40" i="2" s="1"/>
  <c r="E40" i="2" s="1"/>
  <c r="I34" i="2" a="1"/>
  <c r="I34" i="2" s="1"/>
  <c r="K34" i="2" s="1"/>
  <c r="C43" i="2" a="1"/>
  <c r="C43" i="2" s="1"/>
  <c r="E43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2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<sst xmlns="http://schemas.openxmlformats.org/spreadsheetml/2006/main" count="215" uniqueCount="54">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</sst>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22/07/2026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39246.379999999976</v>
          </cell>
          <cell r="H5" t="str">
            <v>CAMPINAS</v>
          </cell>
          <cell r="I5">
            <v>4075.6599999999994</v>
          </cell>
        </row>
        <row r="6">
          <cell r="E6" t="str">
            <v>CENTRO</v>
          </cell>
          <cell r="F6">
            <v>260716.2799999995</v>
          </cell>
          <cell r="H6" t="str">
            <v>CENTRO</v>
          </cell>
          <cell r="I6">
            <v>10594.419999999998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INDAIATUBA</v>
          </cell>
          <cell r="I7">
            <v>2152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INTERLAGOS</v>
          </cell>
          <cell r="I8">
            <v>4953.2</v>
          </cell>
          <cell r="K8" t="str">
            <v>CAMPINAS</v>
          </cell>
          <cell r="N8">
            <v>23</v>
          </cell>
        </row>
        <row r="9">
          <cell r="E9" t="str">
            <v>INDAIATUBA</v>
          </cell>
          <cell r="F9">
            <v>51198.209999999992</v>
          </cell>
          <cell r="H9" t="str">
            <v>JUNDIAI</v>
          </cell>
          <cell r="I9">
            <v>3373.65</v>
          </cell>
          <cell r="K9" t="str">
            <v>CENTRO</v>
          </cell>
          <cell r="N9">
            <v>41</v>
          </cell>
        </row>
        <row r="10">
          <cell r="E10" t="str">
            <v>INTERLAGOS</v>
          </cell>
          <cell r="F10">
            <v>175452.38999999984</v>
          </cell>
          <cell r="H10" t="str">
            <v>KEY ABC</v>
          </cell>
          <cell r="I10">
            <v>2409.6999999999998</v>
          </cell>
          <cell r="K10" t="str">
            <v>INDAIATUBA</v>
          </cell>
          <cell r="N10">
            <v>32</v>
          </cell>
        </row>
        <row r="11">
          <cell r="E11" t="str">
            <v>JUNDIAI</v>
          </cell>
          <cell r="F11">
            <v>51759.880000000063</v>
          </cell>
          <cell r="H11" t="str">
            <v>KEY INTERIOR</v>
          </cell>
          <cell r="I11">
            <v>334524.09999999998</v>
          </cell>
          <cell r="K11" t="str">
            <v>INTERLAGOS</v>
          </cell>
          <cell r="N11">
            <v>50</v>
          </cell>
        </row>
        <row r="12">
          <cell r="E12" t="str">
            <v>KEY ABC</v>
          </cell>
          <cell r="F12">
            <v>211630.01999999996</v>
          </cell>
          <cell r="H12" t="str">
            <v>KEY PIRACICABA</v>
          </cell>
          <cell r="I12">
            <v>5892</v>
          </cell>
          <cell r="K12" t="str">
            <v>JUNDIAI</v>
          </cell>
          <cell r="N12">
            <v>19</v>
          </cell>
        </row>
        <row r="13">
          <cell r="E13" t="str">
            <v>KEY CASA</v>
          </cell>
          <cell r="F13">
            <v>263985.40000000084</v>
          </cell>
          <cell r="H13" t="str">
            <v>KEY SJC</v>
          </cell>
          <cell r="I13">
            <v>22599.599999999999</v>
          </cell>
          <cell r="K13" t="str">
            <v>LESTE</v>
          </cell>
          <cell r="N13">
            <v>30</v>
          </cell>
        </row>
        <row r="14">
          <cell r="E14" t="str">
            <v>KEY INTERIOR</v>
          </cell>
          <cell r="F14">
            <v>851393.40000000026</v>
          </cell>
          <cell r="H14" t="str">
            <v>KEY SP</v>
          </cell>
          <cell r="I14">
            <v>4033.8200000000006</v>
          </cell>
          <cell r="K14" t="str">
            <v>LESTE MOOCA</v>
          </cell>
          <cell r="N14">
            <v>48</v>
          </cell>
        </row>
        <row r="15">
          <cell r="E15" t="str">
            <v>KEY PIRACICABA</v>
          </cell>
          <cell r="F15">
            <v>87483.259999999951</v>
          </cell>
          <cell r="H15" t="str">
            <v>KEY ZL</v>
          </cell>
          <cell r="I15">
            <v>19933.399999999991</v>
          </cell>
          <cell r="K15" t="str">
            <v>LESTE PENHA</v>
          </cell>
          <cell r="N15">
            <v>24</v>
          </cell>
        </row>
        <row r="16">
          <cell r="E16" t="str">
            <v>KEY SJC</v>
          </cell>
          <cell r="F16">
            <v>110646.80000000005</v>
          </cell>
          <cell r="H16" t="str">
            <v>LESTE</v>
          </cell>
          <cell r="I16">
            <v>3543.95</v>
          </cell>
          <cell r="K16" t="str">
            <v>LESTE TATUAPE</v>
          </cell>
          <cell r="N16">
            <v>35</v>
          </cell>
        </row>
        <row r="17">
          <cell r="E17" t="str">
            <v>KEY SP</v>
          </cell>
          <cell r="F17">
            <v>266913.34999999992</v>
          </cell>
          <cell r="H17" t="str">
            <v>LESTE MOOCA</v>
          </cell>
          <cell r="I17">
            <v>9469.7999999999975</v>
          </cell>
          <cell r="K17" t="str">
            <v>MOGI</v>
          </cell>
          <cell r="N17">
            <v>35</v>
          </cell>
        </row>
        <row r="18">
          <cell r="E18" t="str">
            <v>KEY ZL</v>
          </cell>
          <cell r="F18">
            <v>278371.99999999994</v>
          </cell>
          <cell r="H18" t="str">
            <v>LESTE PENHA</v>
          </cell>
          <cell r="I18">
            <v>6244.4900000000007</v>
          </cell>
          <cell r="K18" t="str">
            <v>NORTE</v>
          </cell>
          <cell r="N18">
            <v>40</v>
          </cell>
        </row>
        <row r="19">
          <cell r="E19" t="str">
            <v>LESTE</v>
          </cell>
          <cell r="F19">
            <v>72464.38</v>
          </cell>
          <cell r="H19" t="str">
            <v>LESTE TATUAPE</v>
          </cell>
          <cell r="I19">
            <v>2844.5000000000005</v>
          </cell>
          <cell r="K19" t="str">
            <v>OSASCO</v>
          </cell>
          <cell r="N19">
            <v>60</v>
          </cell>
        </row>
        <row r="20">
          <cell r="E20" t="str">
            <v>LESTE MOOCA</v>
          </cell>
          <cell r="F20">
            <v>133853.76499999966</v>
          </cell>
          <cell r="H20" t="str">
            <v>MOGI</v>
          </cell>
          <cell r="I20">
            <v>3569.1000000000004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96274.990000000063</v>
          </cell>
          <cell r="H21" t="str">
            <v>NORTE</v>
          </cell>
          <cell r="I21">
            <v>7244.07</v>
          </cell>
          <cell r="K21" t="str">
            <v>SANTO ANDRE</v>
          </cell>
          <cell r="N21">
            <v>27</v>
          </cell>
        </row>
        <row r="22">
          <cell r="E22" t="str">
            <v>LESTE TATUAPE</v>
          </cell>
          <cell r="F22">
            <v>84553.079999999842</v>
          </cell>
          <cell r="H22" t="str">
            <v>OSASCO</v>
          </cell>
          <cell r="I22">
            <v>7588.8599999999988</v>
          </cell>
          <cell r="K22" t="str">
            <v>SBC</v>
          </cell>
          <cell r="N22">
            <v>35</v>
          </cell>
        </row>
        <row r="23">
          <cell r="E23" t="str">
            <v>MOGI</v>
          </cell>
          <cell r="F23">
            <v>49159.000000000095</v>
          </cell>
          <cell r="H23" t="str">
            <v>PIRITUBA</v>
          </cell>
          <cell r="I23">
            <v>3907.3199999999997</v>
          </cell>
          <cell r="K23" t="str">
            <v>SJC</v>
          </cell>
          <cell r="N23">
            <v>21</v>
          </cell>
        </row>
        <row r="24">
          <cell r="E24" t="str">
            <v>NORTE</v>
          </cell>
          <cell r="F24">
            <v>163165.17999999976</v>
          </cell>
          <cell r="H24" t="str">
            <v>SANTO ANDRE</v>
          </cell>
          <cell r="I24">
            <v>11473.039999999997</v>
          </cell>
          <cell r="K24" t="str">
            <v>SJC/VALE</v>
          </cell>
          <cell r="N24">
            <v>23</v>
          </cell>
        </row>
        <row r="25">
          <cell r="E25" t="str">
            <v>OSASCO</v>
          </cell>
          <cell r="F25">
            <v>236192.96999999959</v>
          </cell>
          <cell r="H25" t="str">
            <v>SBC</v>
          </cell>
          <cell r="I25">
            <v>10432.39</v>
          </cell>
          <cell r="K25" t="str">
            <v>Total Geral</v>
          </cell>
          <cell r="N25">
            <v>570</v>
          </cell>
        </row>
        <row r="26">
          <cell r="E26" t="str">
            <v>PIRITUBA</v>
          </cell>
          <cell r="F26">
            <v>92708.429999999935</v>
          </cell>
          <cell r="H26" t="str">
            <v>SJC</v>
          </cell>
          <cell r="I26">
            <v>2316.5</v>
          </cell>
        </row>
        <row r="27">
          <cell r="E27" t="str">
            <v>SANTO ANDRE</v>
          </cell>
          <cell r="F27">
            <v>116320.90999999995</v>
          </cell>
          <cell r="H27" t="str">
            <v>SJC/VALE</v>
          </cell>
          <cell r="I27">
            <v>36.6</v>
          </cell>
        </row>
        <row r="28">
          <cell r="E28" t="str">
            <v>SBC</v>
          </cell>
          <cell r="F28">
            <v>179510.92999999985</v>
          </cell>
          <cell r="H28" t="str">
            <v>VENDEDOR INTERNO 1</v>
          </cell>
          <cell r="I28">
            <v>1031.8499999999999</v>
          </cell>
        </row>
        <row r="29">
          <cell r="E29" t="str">
            <v>SJC</v>
          </cell>
          <cell r="F29">
            <v>58341.390000000094</v>
          </cell>
          <cell r="H29" t="str">
            <v>Total Geral</v>
          </cell>
          <cell r="I29">
            <v>484244.02000000025</v>
          </cell>
        </row>
        <row r="30">
          <cell r="E30" t="str">
            <v>SJC/VALE</v>
          </cell>
          <cell r="F30">
            <v>29667.840000000015</v>
          </cell>
        </row>
        <row r="31">
          <cell r="E31" t="str">
            <v>VENDEDOR INTERNO 1</v>
          </cell>
          <cell r="F31">
            <v>52543.400000000009</v>
          </cell>
        </row>
        <row r="32">
          <cell r="E32" t="str">
            <v>Total Geral</v>
          </cell>
          <cell r="F32">
            <v>4014787.5549999522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150000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4014787.5549999988</v>
      </c>
      <c r="D5" s="2"/>
      <c r="E5" s="4"/>
      <c r="F5" s="4"/>
      <c r="G5" s="4"/>
      <c r="H5" s="4" t="s">
        <v>1</v>
      </c>
      <c r="I5" s="7">
        <f>SUM(J10:J27)</f>
        <v>94851.4</v>
      </c>
      <c r="J5" s="4"/>
      <c r="K5" s="4"/>
      <c r="L5" s="4"/>
      <c r="M5" s="4"/>
      <c r="N5" s="4" t="s">
        <v>1</v>
      </c>
      <c r="O5" s="7">
        <f>SUM(P11:P17)</f>
        <v>383500.61999999994</v>
      </c>
      <c r="P5" s="4"/>
      <c r="Q5" s="4"/>
      <c r="R5" s="4"/>
      <c r="S5" s="4"/>
      <c r="T5" s="4" t="s">
        <v>1</v>
      </c>
      <c r="U5" s="4">
        <f>SUM(V10:V26)</f>
        <v>570</v>
      </c>
      <c r="V5" s="4"/>
      <c r="W5" s="4"/>
    </row>
    <row r="6" spans="1:23" x14ac:dyDescent="0.25">
      <c r="A6" s="4"/>
      <c r="B6" s="4" t="s">
        <v>2</v>
      </c>
      <c r="C6" s="2">
        <f>C4-C5</f>
        <v>1577712.4450000012</v>
      </c>
      <c r="D6" s="2"/>
      <c r="E6" s="4"/>
      <c r="F6" s="4"/>
      <c r="G6" s="4"/>
      <c r="H6" s="4" t="s">
        <v>2</v>
      </c>
      <c r="I6" s="7">
        <f>I4-I5</f>
        <v>55148.600000000006</v>
      </c>
      <c r="J6" s="4"/>
      <c r="K6" s="4"/>
      <c r="L6" s="4"/>
      <c r="M6" s="4"/>
      <c r="N6" s="4" t="s">
        <v>2</v>
      </c>
      <c r="O6" s="7">
        <f>O4-O5</f>
        <v>-383500.61999999994</v>
      </c>
      <c r="P6" s="4"/>
      <c r="Q6" s="4"/>
      <c r="R6" s="4"/>
      <c r="S6" s="4"/>
      <c r="T6" s="4" t="s">
        <v>2</v>
      </c>
      <c r="U6" s="4">
        <f>U4-U5</f>
        <v>188</v>
      </c>
      <c r="V6" s="4"/>
      <c r="W6" s="4"/>
    </row>
    <row r="7" spans="1:23" x14ac:dyDescent="0.25">
      <c r="A7" s="4"/>
      <c r="B7" s="4" t="s">
        <v>3</v>
      </c>
      <c r="C7" s="3">
        <f>1-(C6/C4)</f>
        <v>0.71788780599016522</v>
      </c>
      <c r="D7" s="2"/>
      <c r="E7" s="4"/>
      <c r="F7" s="4"/>
      <c r="G7" s="4"/>
      <c r="H7" s="4" t="s">
        <v>3</v>
      </c>
      <c r="I7" s="3">
        <f>1-(I6/I4)</f>
        <v>0.63234266666666661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0.75197889182058053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39246.379999999976</v>
      </c>
      <c r="E10" s="27">
        <f>Tabela13[[#This Row],[META A]]-Tabela13[[#This Row],[ATINGIDO]]</f>
        <v>25253.620000000024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17000</v>
      </c>
      <c r="J10" s="22">
        <f>_xlfn.XLOOKUP(Tabela5[[#This Row],[VENDEDOR]],'[1]BASE PYTHON'!$H:$H,'[1]BASE PYTHON'!$I:$I,0)</f>
        <v>7588.8599999999988</v>
      </c>
      <c r="K10" s="23">
        <f>Tabela5[[#This Row],[COMPROMISSO]]-Tabela5[[#This Row],[ATINGIDO]]</f>
        <v>9411.1400000000012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23</v>
      </c>
      <c r="W10" s="19">
        <f>U10-V10</f>
        <v>13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260716.2799999995</v>
      </c>
      <c r="E11" s="24">
        <f>Tabela13[[#This Row],[META A]]-Tabela13[[#This Row],[ATINGIDO]]</f>
        <v>64283.720000000496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11960</v>
      </c>
      <c r="J11" s="22">
        <f>_xlfn.XLOOKUP(Tabela5[[#This Row],[VENDEDOR]],'[1]BASE PYTHON'!$H:$H,'[1]BASE PYTHON'!$I:$I,0)</f>
        <v>7244.07</v>
      </c>
      <c r="K11" s="23">
        <f>Tabela5[[#This Row],[COMPROMISSO]]-Tabela5[[#This Row],[ATINGIDO]]</f>
        <v>4715.93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2409.6999999999998</v>
      </c>
      <c r="Q11" s="2">
        <f>O11-P11</f>
        <v>-2409.6999999999998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41</v>
      </c>
      <c r="W11" s="19">
        <f t="shared" ref="W11:W20" si="0">U11-V11</f>
        <v>11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9110</v>
      </c>
      <c r="J12" s="22">
        <f>_xlfn.XLOOKUP(Tabela5[[#This Row],[VENDEDOR]],'[1]BASE PYTHON'!$H:$H,'[1]BASE PYTHON'!$I:$I,0)</f>
        <v>3907.3199999999997</v>
      </c>
      <c r="K12" s="23">
        <f>Tabela5[[#This Row],[COMPROMISSO]]-Tabela5[[#This Row],[ATINGIDO]]</f>
        <v>5202.68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32</v>
      </c>
      <c r="W12" s="19">
        <f t="shared" si="0"/>
        <v>9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51198.209999999992</v>
      </c>
      <c r="E13" s="24">
        <f>Tabela13[[#This Row],[META A]]-Tabela13[[#This Row],[ATINGIDO]]</f>
        <v>38801.790000000008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15000</v>
      </c>
      <c r="J13" s="22">
        <f>_xlfn.XLOOKUP(Tabela5[[#This Row],[VENDEDOR]],'[1]BASE PYTHON'!$H:$H,'[1]BASE PYTHON'!$I:$I,0)</f>
        <v>10432.39</v>
      </c>
      <c r="K13" s="23">
        <f>Tabela5[[#This Row],[COMPROMISSO]]-Tabela5[[#This Row],[ATINGIDO]]</f>
        <v>4567.6100000000006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19933.399999999991</v>
      </c>
      <c r="Q13" s="2">
        <f t="shared" ref="Q13:Q17" si="1">O13-P13</f>
        <v>-19933.399999999991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50</v>
      </c>
      <c r="W13" s="19">
        <f t="shared" si="0"/>
        <v>9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175452.38999999984</v>
      </c>
      <c r="E14" s="27">
        <f>Tabela13[[#This Row],[META A]]-Tabela13[[#This Row],[ATINGIDO]]</f>
        <v>97547.610000000161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4280</v>
      </c>
      <c r="J14" s="22">
        <f>_xlfn.XLOOKUP(Tabela5[[#This Row],[VENDEDOR]],'[1]BASE PYTHON'!$H:$H,'[1]BASE PYTHON'!$I:$I,0)</f>
        <v>2844.5000000000005</v>
      </c>
      <c r="K14" s="23">
        <f>Tabela5[[#This Row],[COMPROMISSO]]-Tabela5[[#This Row],[ATINGIDO]]</f>
        <v>1435.4999999999995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334524.09999999998</v>
      </c>
      <c r="Q14" s="2">
        <f t="shared" si="1"/>
        <v>-334524.09999999998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19</v>
      </c>
      <c r="W14" s="19">
        <f t="shared" si="0"/>
        <v>8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51759.880000000063</v>
      </c>
      <c r="E15" s="24">
        <f>Tabela13[[#This Row],[META A]]-Tabela13[[#This Row],[ATINGIDO]]</f>
        <v>26240.119999999937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10594.419999999998</v>
      </c>
      <c r="K15" s="23">
        <f>Tabela5[[#This Row],[COMPROMISSO]]-Tabela5[[#This Row],[ATINGIDO]]</f>
        <v>4405.5800000000017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4033.8200000000006</v>
      </c>
      <c r="Q15" s="2">
        <f t="shared" si="1"/>
        <v>-4033.8200000000006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30</v>
      </c>
      <c r="W15" s="19">
        <f>U15-V15</f>
        <v>18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211630.01999999996</v>
      </c>
      <c r="E16" s="27">
        <f>Tabela13[[#This Row],[META A]]-Tabela13[[#This Row],[ATINGIDO]]</f>
        <v>113369.98000000004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13470</v>
      </c>
      <c r="J16" s="22">
        <f>_xlfn.XLOOKUP(Tabela5[[#This Row],[VENDEDOR]],'[1]BASE PYTHON'!$H:$H,'[1]BASE PYTHON'!$I:$I,0)</f>
        <v>11473.039999999997</v>
      </c>
      <c r="K16" s="23">
        <f>Tabela5[[#This Row],[COMPROMISSO]]-Tabela5[[#This Row],[ATINGIDO]]</f>
        <v>1996.9600000000028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22599.599999999999</v>
      </c>
      <c r="Q16" s="2">
        <f t="shared" si="1"/>
        <v>-22599.599999999999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35</v>
      </c>
      <c r="W16" s="19">
        <f t="shared" si="0"/>
        <v>4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263985.40000000084</v>
      </c>
      <c r="E17" s="24">
        <f>Tabela13[[#This Row],[META A]]-Tabela13[[#This Row],[ATINGIDO]]</f>
        <v>-93985.400000000838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2530</v>
      </c>
      <c r="J17" s="22">
        <f>_xlfn.XLOOKUP(Tabela5[[#This Row],[VENDEDOR]],'[1]BASE PYTHON'!$H:$H,'[1]BASE PYTHON'!$I:$I,0)</f>
        <v>3569.1000000000004</v>
      </c>
      <c r="K17" s="23">
        <f>Tabela5[[#This Row],[COMPROMISSO]]-Tabela5[[#This Row],[ATINGIDO]]</f>
        <v>-1039.1000000000004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48</v>
      </c>
      <c r="W17" s="19">
        <f t="shared" si="0"/>
        <v>1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3543.95</v>
      </c>
      <c r="K18" s="23">
        <f>Tabela5[[#This Row],[COMPROMISSO]]-Tabela5[[#This Row],[ATINGIDO]]</f>
        <v>3296.05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40</v>
      </c>
      <c r="W18" s="19">
        <f t="shared" si="0"/>
        <v>5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110646.80000000005</v>
      </c>
      <c r="E19" s="24">
        <f>Tabela13[[#This Row],[META A]]-Tabela13[[#This Row],[ATINGIDO]]</f>
        <v>19353.199999999953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10910</v>
      </c>
      <c r="J19" s="22">
        <f>_xlfn.XLOOKUP(Tabela5[[#This Row],[VENDEDOR]],'[1]BASE PYTHON'!$H:$H,'[1]BASE PYTHON'!$I:$I,0)</f>
        <v>9469.7999999999975</v>
      </c>
      <c r="K19" s="23">
        <f>Tabela5[[#This Row],[COMPROMISSO]]-Tabela5[[#This Row],[ATINGIDO]]</f>
        <v>1440.2000000000025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266913.34999999992</v>
      </c>
      <c r="E20" s="27">
        <f>Tabela13[[#This Row],[META A]]-Tabela13[[#This Row],[ATINGIDO]]</f>
        <v>293086.65000000008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13000</v>
      </c>
      <c r="J20" s="22">
        <f>_xlfn.XLOOKUP(Tabela5[[#This Row],[VENDEDOR]],'[1]BASE PYTHON'!$H:$H,'[1]BASE PYTHON'!$I:$I,0)</f>
        <v>4953.2</v>
      </c>
      <c r="K20" s="23">
        <f>Tabela5[[#This Row],[COMPROMISSO]]-Tabela5[[#This Row],[ATINGIDO]]</f>
        <v>8046.8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24</v>
      </c>
      <c r="W20" s="19">
        <f t="shared" si="0"/>
        <v>15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278371.99999999994</v>
      </c>
      <c r="E21" s="24">
        <f>Tabela13[[#This Row],[META A]]-Tabela13[[#This Row],[ATINGIDO]]</f>
        <v>136628.00000000006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5490</v>
      </c>
      <c r="J21" s="22">
        <f>_xlfn.XLOOKUP(Tabela5[[#This Row],[VENDEDOR]],'[1]BASE PYTHON'!$H:$H,'[1]BASE PYTHON'!$I:$I,0)</f>
        <v>3373.65</v>
      </c>
      <c r="K21" s="23">
        <f>Tabela5[[#This Row],[COMPROMISSO]]-Tabela5[[#This Row],[ATINGIDO]]</f>
        <v>2116.35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72464.38</v>
      </c>
      <c r="E22" s="27">
        <f>Tabela13[[#This Row],[META A]]-Tabela13[[#This Row],[ATINGIDO]]</f>
        <v>49535.619999999995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7350</v>
      </c>
      <c r="J22" s="22">
        <f>_xlfn.XLOOKUP(Tabela5[[#This Row],[VENDEDOR]],'[1]BASE PYTHON'!$H:$H,'[1]BASE PYTHON'!$I:$I,0)</f>
        <v>6244.4900000000007</v>
      </c>
      <c r="K22" s="23">
        <f>Tabela5[[#This Row],[COMPROMISSO]]-Tabela5[[#This Row],[ATINGIDO]]</f>
        <v>1105.5099999999993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563167.95000000019</v>
      </c>
      <c r="Q22" s="7">
        <f>O22-P22</f>
        <v>-67713.404545454716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27</v>
      </c>
      <c r="W22" s="19">
        <f t="shared" si="2"/>
        <v>13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133853.76499999966</v>
      </c>
      <c r="E23" s="24">
        <f>Tabela13[[#This Row],[META A]]-Tabela13[[#This Row],[ATINGIDO]]</f>
        <v>61146.235000000335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5290</v>
      </c>
      <c r="J23" s="22">
        <f>_xlfn.XLOOKUP(Tabela5[[#This Row],[VENDEDOR]],'[1]BASE PYTHON'!$H:$H,'[1]BASE PYTHON'!$I:$I,0)</f>
        <v>2152</v>
      </c>
      <c r="K23" s="23">
        <f>Tabela5[[#This Row],[COMPROMISSO]]-Tabela5[[#This Row],[ATINGIDO]]</f>
        <v>3138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685907.54999999935</v>
      </c>
      <c r="Q23" s="7">
        <f>O23-P23</f>
        <v>-66589.368181817466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35</v>
      </c>
      <c r="W23" s="19">
        <f t="shared" si="2"/>
        <v>20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96274.990000000063</v>
      </c>
      <c r="E24" s="27">
        <f>Tabela13[[#This Row],[META A]]-Tabela13[[#This Row],[ATINGIDO]]</f>
        <v>43725.009999999937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3540</v>
      </c>
      <c r="J24" s="22">
        <f>_xlfn.XLOOKUP(Tabela5[[#This Row],[VENDEDOR]],'[1]BASE PYTHON'!$H:$H,'[1]BASE PYTHON'!$I:$I,0)</f>
        <v>1031.8499999999999</v>
      </c>
      <c r="K24" s="23">
        <f>Tabela5[[#This Row],[COMPROMISSO]]-Tabela5[[#This Row],[ATINGIDO]]</f>
        <v>2508.15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546107.10999999964</v>
      </c>
      <c r="Q24" s="7">
        <f>O24-P24</f>
        <v>73211.071818182245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21</v>
      </c>
      <c r="W24" s="19">
        <f t="shared" si="2"/>
        <v>16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84553.079999999842</v>
      </c>
      <c r="E25" s="24">
        <f>Tabela13[[#This Row],[META A]]-Tabela13[[#This Row],[ATINGIDO]]</f>
        <v>57946.920000000158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3900</v>
      </c>
      <c r="J25" s="22">
        <f>_xlfn.XLOOKUP(Tabela5[[#This Row],[VENDEDOR]],'[1]BASE PYTHON'!$H:$H,'[1]BASE PYTHON'!$I:$I,0)</f>
        <v>2316.5</v>
      </c>
      <c r="K25" s="23">
        <f>Tabela5[[#This Row],[COMPROMISSO]]-Tabela5[[#This Row],[ATINGIDO]]</f>
        <v>1583.5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35</v>
      </c>
      <c r="W25" s="19">
        <f t="shared" si="2"/>
        <v>16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49159.000000000095</v>
      </c>
      <c r="E26" s="27">
        <f>Tabela13[[#This Row],[META A]]-Tabela13[[#This Row],[ATINGIDO]]</f>
        <v>40840.999999999905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2780</v>
      </c>
      <c r="J26" s="22">
        <f>_xlfn.XLOOKUP(Tabela5[[#This Row],[VENDEDOR]],'[1]BASE PYTHON'!$H:$H,'[1]BASE PYTHON'!$I:$I,0)</f>
        <v>36.6</v>
      </c>
      <c r="K26" s="23">
        <f>Tabela5[[#This Row],[COMPROMISSO]]-Tabela5[[#This Row],[ATINGIDO]]</f>
        <v>2743.4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23</v>
      </c>
      <c r="W26" s="19">
        <f t="shared" si="2"/>
        <v>12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163165.17999999976</v>
      </c>
      <c r="E27" s="24">
        <f>Tabela13[[#This Row],[META A]]-Tabela13[[#This Row],[ATINGIDO]]</f>
        <v>74334.82000000024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2550</v>
      </c>
      <c r="J27" s="22">
        <f>_xlfn.XLOOKUP(Tabela5[[#This Row],[VENDEDOR]],'[1]BASE PYTHON'!$H:$H,'[1]BASE PYTHON'!$I:$I,0)</f>
        <v>4075.6599999999994</v>
      </c>
      <c r="K27" s="23">
        <f>Tabela5[[#This Row],[COMPROMISSO]]-Tabela5[[#This Row],[ATINGIDO]]</f>
        <v>-1525.6599999999994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236192.96999999959</v>
      </c>
      <c r="E28" s="27">
        <f>Tabela13[[#This Row],[META A]]-Tabela13[[#This Row],[ATINGIDO]]</f>
        <v>82307.030000000406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87483.259999999951</v>
      </c>
      <c r="E29" s="24">
        <f>Tabela13[[#This Row],[META A]]-Tabela13[[#This Row],[ATINGIDO]]</f>
        <v>87516.740000000049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92708.429999999935</v>
      </c>
      <c r="E30" s="27">
        <f>Tabela13[[#This Row],[META A]]-Tabela13[[#This Row],[ATINGIDO]]</f>
        <v>41791.570000000065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116320.90999999995</v>
      </c>
      <c r="E31" s="24">
        <f>Tabela13[[#This Row],[META A]]-Tabela13[[#This Row],[ATINGIDO]]</f>
        <v>50679.090000000055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179510.92999999985</v>
      </c>
      <c r="E32" s="27">
        <f>Tabela13[[#This Row],[META A]]-Tabela13[[#This Row],[ATINGIDO]]</f>
        <v>80489.070000000153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540157.7900000033</v>
      </c>
      <c r="K32" s="7">
        <f t="shared" ref="K32:K34" si="4">I32-J32</f>
        <v>-19157.790000003297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58341.390000000094</v>
      </c>
      <c r="E33" s="24">
        <f>Tabela13[[#This Row],[META A]]-Tabela13[[#This Row],[ATINGIDO]]</f>
        <v>41658.609999999906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700067.9900000022</v>
      </c>
      <c r="K33" s="7">
        <f t="shared" si="4"/>
        <v>-48817.990000002203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184</v>
      </c>
      <c r="W33" s="6">
        <f t="shared" si="3"/>
        <v>-11.727272727272748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29667.840000000015</v>
      </c>
      <c r="E34" s="27">
        <f>Tabela13[[#This Row],[META A]]-Tabela13[[#This Row],[ATINGIDO]]</f>
        <v>25332.159999999985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432569.58500000188</v>
      </c>
      <c r="K34" s="7">
        <f t="shared" si="4"/>
        <v>218680.41499999812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52543.400000000009</v>
      </c>
      <c r="E35" s="24">
        <f>Tabela13[[#This Row],[META A]]-Tabela13[[#This Row],[ATINGIDO]]</f>
        <v>20456.599999999991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1103755.3899999959</v>
      </c>
      <c r="E41" s="7">
        <f t="shared" ref="E41:E43" si="5">C41-D41</f>
        <v>-582755.38999999594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1386417.7799999914</v>
      </c>
      <c r="E42" s="7">
        <f t="shared" si="5"/>
        <v>-735167.77999999141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978930.58500000194</v>
      </c>
      <c r="E43" s="7">
        <f t="shared" si="5"/>
        <v>-327680.58500000194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2026-07-22T19:15:11Z</dcterms:modified>
</cp:coreProperties>
</file>