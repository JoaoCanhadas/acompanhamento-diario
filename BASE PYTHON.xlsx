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F866C21-07E9-4E28-B78D-FD51EBEA8F7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2" i="2"/>
  <c r="P25" i="2"/>
  <c r="P11" i="2"/>
  <c r="D44" i="2"/>
  <c r="P23" i="2"/>
  <c r="P12" i="2"/>
  <c r="D43" i="2"/>
  <c r="J31" i="2"/>
  <c r="D42" i="2"/>
  <c r="V34" i="2"/>
  <c r="J32" i="2"/>
  <c r="P21" i="2"/>
  <c r="J34" i="2"/>
  <c r="V33" i="2"/>
  <c r="P15" i="2"/>
  <c r="D40" i="2"/>
  <c r="J33" i="2"/>
  <c r="V32" i="2"/>
  <c r="P14" i="2"/>
  <c r="V31" i="2"/>
  <c r="P17" i="2"/>
  <c r="P16" i="2"/>
  <c r="J35" i="2"/>
  <c r="P24" i="2"/>
  <c r="V30" i="2"/>
  <c r="P13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<sst xmlns="http://schemas.openxmlformats.org/spreadsheetml/2006/main" count="215" uniqueCount="54">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</sst>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9537.1700000000019</v>
          </cell>
        </row>
        <row r="6">
          <cell r="E6" t="str">
            <v>CENTRO</v>
          </cell>
          <cell r="F6">
            <v>58150.590000000026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0</v>
          </cell>
          <cell r="K8" t="str">
            <v>CAMPINAS</v>
          </cell>
        </row>
        <row r="9">
          <cell r="E9" t="str">
            <v>INDAIATUBA</v>
          </cell>
          <cell r="F9">
            <v>18214.900000000005</v>
          </cell>
          <cell r="K9" t="str">
            <v>CENTRO</v>
          </cell>
        </row>
        <row r="10">
          <cell r="E10" t="str">
            <v>INTERLAGOS</v>
          </cell>
          <cell r="F10">
            <v>36674.630000000019</v>
          </cell>
          <cell r="K10" t="str">
            <v>INDAIATUBA</v>
          </cell>
        </row>
        <row r="11">
          <cell r="E11" t="str">
            <v>JUNDIAI</v>
          </cell>
          <cell r="F11">
            <v>13904.109999999997</v>
          </cell>
          <cell r="K11" t="str">
            <v>INTERLAGOS</v>
          </cell>
        </row>
        <row r="12">
          <cell r="E12" t="str">
            <v>KEY ABC</v>
          </cell>
          <cell r="F12">
            <v>18807.240000000002</v>
          </cell>
          <cell r="K12" t="str">
            <v>JUNDIAI</v>
          </cell>
        </row>
        <row r="13">
          <cell r="E13" t="str">
            <v>KEY CASA</v>
          </cell>
          <cell r="F13">
            <v>95236.89</v>
          </cell>
          <cell r="K13" t="str">
            <v>LESTE</v>
          </cell>
        </row>
        <row r="14">
          <cell r="E14" t="str">
            <v>KEY INTERIOR</v>
          </cell>
          <cell r="F14">
            <v>220323.9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1785.3999999999999</v>
          </cell>
          <cell r="K16" t="str">
            <v>LESTE TATUAPE</v>
          </cell>
        </row>
        <row r="17">
          <cell r="E17" t="str">
            <v>KEY SP</v>
          </cell>
          <cell r="F17">
            <v>32535.399999999998</v>
          </cell>
          <cell r="K17" t="str">
            <v>MOGI</v>
          </cell>
        </row>
        <row r="18">
          <cell r="E18" t="str">
            <v>KEY ZL</v>
          </cell>
          <cell r="F18">
            <v>49476.970000000016</v>
          </cell>
          <cell r="K18" t="str">
            <v>NORTE</v>
          </cell>
        </row>
        <row r="19">
          <cell r="E19" t="str">
            <v>LESTE</v>
          </cell>
          <cell r="F19">
            <v>16473.139999999992</v>
          </cell>
          <cell r="K19" t="str">
            <v>OSASCO</v>
          </cell>
        </row>
        <row r="20">
          <cell r="E20" t="str">
            <v>LESTE MOOCA</v>
          </cell>
          <cell r="F20">
            <v>29984.250000000011</v>
          </cell>
          <cell r="K20" t="str">
            <v>PIRITUBA</v>
          </cell>
        </row>
        <row r="21">
          <cell r="E21" t="str">
            <v>LESTE PENHA</v>
          </cell>
          <cell r="F21">
            <v>19131.78</v>
          </cell>
          <cell r="K21" t="str">
            <v>SANTO ANDRE</v>
          </cell>
        </row>
        <row r="22">
          <cell r="E22" t="str">
            <v>LESTE TATUAPE</v>
          </cell>
          <cell r="F22">
            <v>12289.229999999996</v>
          </cell>
          <cell r="K22" t="str">
            <v>SBC</v>
          </cell>
        </row>
        <row r="23">
          <cell r="E23" t="str">
            <v>MOGI</v>
          </cell>
          <cell r="F23">
            <v>6263.63</v>
          </cell>
          <cell r="K23" t="str">
            <v>SJC</v>
          </cell>
        </row>
        <row r="24">
          <cell r="E24" t="str">
            <v>NORTE</v>
          </cell>
          <cell r="F24">
            <v>44765.750000000036</v>
          </cell>
          <cell r="K24" t="str">
            <v>SJC/VALE</v>
          </cell>
        </row>
        <row r="25">
          <cell r="E25" t="str">
            <v>OSASCO</v>
          </cell>
          <cell r="F25">
            <v>58948.679999999993</v>
          </cell>
          <cell r="K25" t="str">
            <v>Total Geral</v>
          </cell>
        </row>
        <row r="26">
          <cell r="E26" t="str">
            <v>PIRITUBA</v>
          </cell>
          <cell r="F26">
            <v>20264.349999999999</v>
          </cell>
        </row>
        <row r="27">
          <cell r="E27" t="str">
            <v>SANTO ANDRE</v>
          </cell>
          <cell r="F27">
            <v>27344.32</v>
          </cell>
        </row>
        <row r="28">
          <cell r="E28" t="str">
            <v>SBC</v>
          </cell>
          <cell r="F28">
            <v>47115.100000000028</v>
          </cell>
        </row>
        <row r="29">
          <cell r="E29" t="str">
            <v>SJC</v>
          </cell>
          <cell r="F29">
            <v>10084.369999999997</v>
          </cell>
        </row>
        <row r="30">
          <cell r="E30" t="str">
            <v>SJC/VALE</v>
          </cell>
          <cell r="F30">
            <v>8864.77</v>
          </cell>
        </row>
        <row r="31">
          <cell r="E31" t="str">
            <v>VENDEDOR INTERNO 1</v>
          </cell>
          <cell r="F31">
            <v>13096.999999999998</v>
          </cell>
        </row>
        <row r="32">
          <cell r="E32" t="str">
            <v>Total Geral</v>
          </cell>
          <cell r="F32">
            <v>869917.85000000277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Row],[REFERENCIA]],'[2]BASE PYTHON'!$A$63:$A$79,#REF!)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A2" sqref="A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120660</v>
      </c>
      <c r="J4" s="4"/>
      <c r="K4" s="4"/>
      <c r="L4" s="4"/>
      <c r="M4" s="4"/>
      <c r="N4" s="4" t="s">
        <v>37</v>
      </c>
      <c r="O4" s="7">
        <f>SUM(O11:O17)</f>
        <v>42500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869917.85000000009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418165.80000000005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4914582.1500000004</v>
      </c>
      <c r="D6" s="2"/>
      <c r="E6" s="4"/>
      <c r="F6" s="4"/>
      <c r="G6" s="4"/>
      <c r="H6" s="4" t="s">
        <v>2</v>
      </c>
      <c r="I6" s="7">
        <f>I4-I5</f>
        <v>120660</v>
      </c>
      <c r="J6" s="4"/>
      <c r="K6" s="4"/>
      <c r="L6" s="4"/>
      <c r="M6" s="4"/>
      <c r="N6" s="4" t="s">
        <v>2</v>
      </c>
      <c r="O6" s="7">
        <f>O4-O5</f>
        <v>-375665.80000000005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0.15038773446278841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9.8391952941176477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9537.1700000000019</v>
      </c>
      <c r="E10" s="25">
        <f>Tabela13[[#This Row],[META A]]-Tabela13[[#This Row],[ATINGIDO]]</f>
        <v>54962.83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16700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16700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58150.590000000026</v>
      </c>
      <c r="E11" s="23">
        <f>Tabela13[[#This Row],[META A]]-Tabela13[[#This Row],[ATINGIDO]]</f>
        <v>271849.40999999997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11990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11990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18807.240000000002</v>
      </c>
      <c r="Q11" s="2">
        <f>Tabela8[[#This Row],[COMPROMISSO]]-Tabela8[[#This Row],[ATINGIDO]]</f>
        <v>23692.76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4780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4780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18214.900000000005</v>
      </c>
      <c r="E13" s="23">
        <f>Tabela13[[#This Row],[META A]]-Tabela13[[#This Row],[ATINGIDO]]</f>
        <v>71785.099999999991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7240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7240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49476.970000000016</v>
      </c>
      <c r="Q13" s="2">
        <f>Tabela8[[#This Row],[COMPROMISSO]]-Tabela8[[#This Row],[ATINGIDO]]</f>
        <v>-49476.970000000016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36674.630000000019</v>
      </c>
      <c r="E14" s="25">
        <f>Tabela13[[#This Row],[META A]]-Tabela13[[#This Row],[ATINGIDO]]</f>
        <v>236325.37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3520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3520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220323.9</v>
      </c>
      <c r="Q14" s="2">
        <f>Tabela8[[#This Row],[COMPROMISSO]]-Tabela8[[#This Row],[ATINGIDO]]</f>
        <v>-220323.9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13904.109999999997</v>
      </c>
      <c r="E15" s="23">
        <f>Tabela13[[#This Row],[META A]]-Tabela13[[#This Row],[ATINGIDO]]</f>
        <v>64095.89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15270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15270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32535.399999999998</v>
      </c>
      <c r="Q15" s="2">
        <f>Tabela8[[#This Row],[COMPROMISSO]]-Tabela8[[#This Row],[ATINGIDO]]</f>
        <v>-32535.399999999998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18807.240000000002</v>
      </c>
      <c r="E16" s="25">
        <f>Tabela13[[#This Row],[META A]]-Tabela13[[#This Row],[ATINGIDO]]</f>
        <v>331192.76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8030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8030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1785.3999999999999</v>
      </c>
      <c r="Q16" s="2">
        <f>Tabela8[[#This Row],[COMPROMISSO]]-Tabela8[[#This Row],[ATINGIDO]]</f>
        <v>-1785.3999999999999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95236.89</v>
      </c>
      <c r="E17" s="23">
        <f>Tabela13[[#This Row],[META A]]-Tabela13[[#This Row],[ATINGIDO]]</f>
        <v>324763.11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4200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4200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95236.89</v>
      </c>
      <c r="Q17" s="2">
        <f>Tabela8[[#This Row],[COMPROMISSO]]-Tabela8[[#This Row],[ATINGIDO]]</f>
        <v>-95236.89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220323.9</v>
      </c>
      <c r="E18" s="25">
        <f>Tabela13[[#This Row],[META A]]-Tabela13[[#This Row],[ATINGIDO]]</f>
        <v>759676.1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5650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5650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6150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6150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32535.399999999998</v>
      </c>
      <c r="E20" s="25">
        <f>Tabela13[[#This Row],[META A]]-Tabela13[[#This Row],[ATINGIDO]]</f>
        <v>527464.6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15540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15540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49476.970000000016</v>
      </c>
      <c r="E21" s="23">
        <f>Tabela13[[#This Row],[META A]]-Tabela13[[#This Row],[ATINGIDO]]</f>
        <v>375523.02999999997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2510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2510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418165.8</v>
      </c>
      <c r="Q21" s="7">
        <f>O21-P21</f>
        <v>266834.2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16473.139999999992</v>
      </c>
      <c r="E22" s="25">
        <f>Tabela13[[#This Row],[META A]]-Tabela13[[#This Row],[ATINGIDO]]</f>
        <v>105526.86000000002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5970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5970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29984.250000000011</v>
      </c>
      <c r="E23" s="23">
        <f>Tabela13[[#This Row],[META A]]-Tabela13[[#This Row],[ATINGIDO]]</f>
        <v>170015.75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2500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2500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19131.78</v>
      </c>
      <c r="E24" s="25">
        <f>Tabela13[[#This Row],[META A]]-Tabela13[[#This Row],[ATINGIDO]]</f>
        <v>125868.22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2460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2460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12289.229999999996</v>
      </c>
      <c r="E25" s="23">
        <f>Tabela13[[#This Row],[META A]]-Tabela13[[#This Row],[ATINGIDO]]</f>
        <v>134710.77000000002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3030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3030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6263.63</v>
      </c>
      <c r="E26" s="25">
        <f>Tabela13[[#This Row],[META A]]-Tabela13[[#This Row],[ATINGIDO]]</f>
        <v>83736.37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2510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2510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44765.750000000036</v>
      </c>
      <c r="E27" s="23">
        <f>Tabela13[[#This Row],[META A]]-Tabela13[[#This Row],[ATINGIDO]]</f>
        <v>197234.24999999997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2610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2610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58948.679999999993</v>
      </c>
      <c r="E28" s="25">
        <f>Tabela13[[#This Row],[META A]]-Tabela13[[#This Row],[ATINGIDO]]</f>
        <v>264551.32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20264.349999999999</v>
      </c>
      <c r="E30" s="25">
        <f>Tabela13[[#This Row],[META A]]-Tabela13[[#This Row],[ATINGIDO]]</f>
        <v>119235.65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167</v>
      </c>
      <c r="W30" s="6">
        <f>U30-V30</f>
        <v>19.428571428571416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27344.32</v>
      </c>
      <c r="E31" s="23">
        <f>Tabela13[[#This Row],[META A]]-Tabela13[[#This Row],[ATINGIDO]]</f>
        <v>139655.67999999999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421123.52000000142</v>
      </c>
      <c r="K31" s="7">
        <f>I31-J31</f>
        <v>270900.28952380805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47115.100000000028</v>
      </c>
      <c r="E32" s="25">
        <f>Tabela13[[#This Row],[META A]]-Tabela13[[#This Row],[ATINGIDO]]</f>
        <v>217884.89999999997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10084.369999999997</v>
      </c>
      <c r="E33" s="23">
        <f>Tabela13[[#This Row],[META A]]-Tabela13[[#This Row],[ATINGIDO]]</f>
        <v>89915.63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8864.77</v>
      </c>
      <c r="E34" s="25">
        <f>Tabela13[[#This Row],[META A]]-Tabela13[[#This Row],[ATINGIDO]]</f>
        <v>46135.229999999996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13096.999999999998</v>
      </c>
      <c r="E35" s="23">
        <f>Tabela13[[#This Row],[META A]]-Tabela13[[#This Row],[ATINGIDO]]</f>
        <v>61903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869917.85000000277</v>
      </c>
      <c r="E40" s="7">
        <f>C40-D40</f>
        <v>507344.05476190208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2026-08-06T10:25:31Z</dcterms:modified>
</cp:coreProperties>
</file>