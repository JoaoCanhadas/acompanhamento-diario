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983FAEAC-4214-44E4-83C6-A1B76EA2287B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2" l="1" a="1"/>
  <c r="C40" i="2" s="1"/>
  <c r="C41" i="2" a="1"/>
  <c r="C41" i="2" s="1"/>
  <c r="C42" i="2" a="1"/>
  <c r="C42" i="2" s="1"/>
  <c r="C43" i="2" a="1"/>
  <c r="C43" i="2" s="1"/>
  <c r="C44" i="2" a="1"/>
  <c r="C44" i="2" s="1"/>
  <c r="C36" i="2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0" i="2"/>
  <c r="V33" i="2"/>
  <c r="V34" i="2"/>
  <c r="V32" i="2"/>
  <c r="V31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D41" i="2"/>
  <c r="D43" i="2"/>
  <c r="J34" i="2"/>
  <c r="P22" i="2"/>
  <c r="D44" i="2"/>
  <c r="D40" i="2"/>
  <c r="D42" i="2"/>
  <c r="P24" i="2"/>
  <c r="P25" i="2"/>
  <c r="J32" i="2"/>
  <c r="P21" i="2"/>
  <c r="J33" i="2"/>
  <c r="J31" i="2"/>
  <c r="P23" i="2"/>
  <c r="J35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E41" i="2"/>
  <c r="E44" i="2"/>
  <c r="I35" i="2" a="1"/>
  <c r="I35" i="2" s="1"/>
  <c r="K35" i="2" s="1"/>
  <c r="I33" i="2" a="1"/>
  <c r="I33" i="2" s="1"/>
  <c r="K33" i="2" s="1"/>
  <c r="E42" i="2"/>
  <c r="I31" i="2" a="1"/>
  <c r="I31" i="2" s="1"/>
  <c r="K31" i="2" s="1"/>
  <c r="E40" i="2"/>
  <c r="I34" i="2" a="1"/>
  <c r="I34" i="2" s="1"/>
  <c r="K34" i="2" s="1"/>
  <c r="E43" i="2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7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<sst xmlns="http://schemas.openxmlformats.org/spreadsheetml/2006/main" count="215" uniqueCount="54">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</sst>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27/07/2026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47335.959999999977</v>
          </cell>
          <cell r="H5" t="str">
            <v>CAMPINAS</v>
          </cell>
          <cell r="I5">
            <v>4802.1500000000005</v>
          </cell>
        </row>
        <row r="6">
          <cell r="E6" t="str">
            <v>CENTRO</v>
          </cell>
          <cell r="F6">
            <v>298211.64999999962</v>
          </cell>
          <cell r="H6" t="str">
            <v>CENTRO</v>
          </cell>
          <cell r="I6">
            <v>19725.669999999991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5143.1400000000003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166.49</v>
          </cell>
          <cell r="H8" t="str">
            <v>INTERLAGOS</v>
          </cell>
          <cell r="I8">
            <v>13809.169999999996</v>
          </cell>
          <cell r="K8" t="str">
            <v>CAMPINAS</v>
          </cell>
          <cell r="N8">
            <v>28</v>
          </cell>
        </row>
        <row r="9">
          <cell r="E9" t="str">
            <v>INDAIATUBA</v>
          </cell>
          <cell r="F9">
            <v>58482.359999999986</v>
          </cell>
          <cell r="H9" t="str">
            <v>JUNDIAI</v>
          </cell>
          <cell r="I9">
            <v>5839.8</v>
          </cell>
          <cell r="K9" t="str">
            <v>CENTRO</v>
          </cell>
          <cell r="N9">
            <v>48</v>
          </cell>
        </row>
        <row r="10">
          <cell r="E10" t="str">
            <v>INTERLAGOS</v>
          </cell>
          <cell r="F10">
            <v>208023.95999999982</v>
          </cell>
          <cell r="H10" t="str">
            <v>KEY ABC</v>
          </cell>
          <cell r="I10">
            <v>14424</v>
          </cell>
          <cell r="K10" t="str">
            <v>INDAIATUBA</v>
          </cell>
          <cell r="N10">
            <v>38</v>
          </cell>
        </row>
        <row r="11">
          <cell r="E11" t="str">
            <v>JUNDIAI</v>
          </cell>
          <cell r="F11">
            <v>61896.400000000081</v>
          </cell>
          <cell r="H11" t="str">
            <v>KEY CASA</v>
          </cell>
          <cell r="I11">
            <v>9921.6</v>
          </cell>
          <cell r="K11" t="str">
            <v>INTERLAGOS</v>
          </cell>
          <cell r="N11">
            <v>55</v>
          </cell>
        </row>
        <row r="12">
          <cell r="E12" t="str">
            <v>KEY ABC</v>
          </cell>
          <cell r="F12">
            <v>275080.61999999994</v>
          </cell>
          <cell r="H12" t="str">
            <v>KEY INTERIOR</v>
          </cell>
          <cell r="I12">
            <v>8959.8000000000011</v>
          </cell>
          <cell r="K12" t="str">
            <v>JUNDIAI</v>
          </cell>
          <cell r="N12">
            <v>24</v>
          </cell>
        </row>
        <row r="13">
          <cell r="E13" t="str">
            <v>KEY CASA</v>
          </cell>
          <cell r="F13">
            <v>276514.88000000064</v>
          </cell>
          <cell r="H13" t="str">
            <v>KEY PIRACICABA</v>
          </cell>
          <cell r="I13">
            <v>1724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860353.20000000019</v>
          </cell>
          <cell r="H14" t="str">
            <v>KEY ZL</v>
          </cell>
          <cell r="I14">
            <v>18548</v>
          </cell>
          <cell r="K14" t="str">
            <v>LESTE MOOCA</v>
          </cell>
          <cell r="N14">
            <v>51</v>
          </cell>
        </row>
        <row r="15">
          <cell r="E15" t="str">
            <v>KEY PIRACICABA</v>
          </cell>
          <cell r="F15">
            <v>107460.07999999997</v>
          </cell>
          <cell r="H15" t="str">
            <v>LESTE</v>
          </cell>
          <cell r="I15">
            <v>7841.6500000000005</v>
          </cell>
          <cell r="K15" t="str">
            <v>LESTE PENHA</v>
          </cell>
          <cell r="N15">
            <v>29</v>
          </cell>
        </row>
        <row r="16">
          <cell r="E16" t="str">
            <v>KEY SJC</v>
          </cell>
          <cell r="F16">
            <v>127140.10000000006</v>
          </cell>
          <cell r="H16" t="str">
            <v>LESTE MOOCA</v>
          </cell>
          <cell r="I16">
            <v>9019.4799999999977</v>
          </cell>
          <cell r="K16" t="str">
            <v>LESTE TATUAPE</v>
          </cell>
          <cell r="N16">
            <v>42</v>
          </cell>
        </row>
        <row r="17">
          <cell r="E17" t="str">
            <v>KEY SP</v>
          </cell>
          <cell r="F17">
            <v>279492.74</v>
          </cell>
          <cell r="H17" t="str">
            <v>LESTE PENHA</v>
          </cell>
          <cell r="I17">
            <v>5633.5499999999993</v>
          </cell>
          <cell r="K17" t="str">
            <v>MOGI</v>
          </cell>
          <cell r="N17">
            <v>38</v>
          </cell>
        </row>
        <row r="18">
          <cell r="E18" t="str">
            <v>KEY ZL</v>
          </cell>
          <cell r="F18">
            <v>335556.29999999952</v>
          </cell>
          <cell r="H18" t="str">
            <v>LESTE TATUAPE</v>
          </cell>
          <cell r="I18">
            <v>18485.669999999998</v>
          </cell>
          <cell r="K18" t="str">
            <v>NORTE</v>
          </cell>
          <cell r="N18">
            <v>46</v>
          </cell>
        </row>
        <row r="19">
          <cell r="E19" t="str">
            <v>LESTE</v>
          </cell>
          <cell r="F19">
            <v>85627.129999999932</v>
          </cell>
          <cell r="H19" t="str">
            <v>MOGI</v>
          </cell>
          <cell r="I19">
            <v>3791.9600000000009</v>
          </cell>
          <cell r="K19" t="str">
            <v>OSASCO</v>
          </cell>
          <cell r="N19">
            <v>63</v>
          </cell>
        </row>
        <row r="20">
          <cell r="E20" t="str">
            <v>LESTE MOOCA</v>
          </cell>
          <cell r="F20">
            <v>154469.5849999995</v>
          </cell>
          <cell r="H20" t="str">
            <v>NORTE</v>
          </cell>
          <cell r="I20">
            <v>20418.780000000002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104517.12999999998</v>
          </cell>
          <cell r="H21" t="str">
            <v>OSASCO</v>
          </cell>
          <cell r="I21">
            <v>14731.86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109503.79999999971</v>
          </cell>
          <cell r="H22" t="str">
            <v>PIRITUBA</v>
          </cell>
          <cell r="I22">
            <v>2406.9500000000003</v>
          </cell>
          <cell r="K22" t="str">
            <v>SBC</v>
          </cell>
          <cell r="N22">
            <v>39</v>
          </cell>
        </row>
        <row r="23">
          <cell r="E23" t="str">
            <v>MOGI</v>
          </cell>
          <cell r="F23">
            <v>57302.970000000154</v>
          </cell>
          <cell r="H23" t="str">
            <v>SANTO ANDRE</v>
          </cell>
          <cell r="I23">
            <v>10613.95</v>
          </cell>
          <cell r="K23" t="str">
            <v>SJC</v>
          </cell>
          <cell r="N23">
            <v>22</v>
          </cell>
        </row>
        <row r="24">
          <cell r="E24" t="str">
            <v>NORTE</v>
          </cell>
          <cell r="F24">
            <v>203328.83999999944</v>
          </cell>
          <cell r="H24" t="str">
            <v>SBC</v>
          </cell>
          <cell r="I24">
            <v>16445.600000000002</v>
          </cell>
          <cell r="K24" t="str">
            <v>SJC/VALE</v>
          </cell>
          <cell r="N24">
            <v>26</v>
          </cell>
        </row>
        <row r="25">
          <cell r="E25" t="str">
            <v>OSASCO</v>
          </cell>
          <cell r="F25">
            <v>264689.76999999926</v>
          </cell>
          <cell r="H25" t="str">
            <v>SJC</v>
          </cell>
          <cell r="I25">
            <v>9081.9599999999991</v>
          </cell>
          <cell r="K25" t="str">
            <v>Total Geral</v>
          </cell>
          <cell r="N25">
            <v>635</v>
          </cell>
        </row>
        <row r="26">
          <cell r="E26" t="str">
            <v>PIRITUBA</v>
          </cell>
          <cell r="F26">
            <v>104360.69999999991</v>
          </cell>
          <cell r="H26" t="str">
            <v>SJC/VALE</v>
          </cell>
          <cell r="I26">
            <v>2062.9699999999998</v>
          </cell>
        </row>
        <row r="27">
          <cell r="E27" t="str">
            <v>SANTO ANDRE</v>
          </cell>
          <cell r="F27">
            <v>134801.46999999997</v>
          </cell>
          <cell r="H27" t="str">
            <v>VENDEDOR INTERNO 1</v>
          </cell>
          <cell r="I27">
            <v>6706.9800000000005</v>
          </cell>
        </row>
        <row r="28">
          <cell r="E28" t="str">
            <v>SBC</v>
          </cell>
          <cell r="F28">
            <v>204207.55999999982</v>
          </cell>
          <cell r="H28" t="str">
            <v>Total Geral</v>
          </cell>
          <cell r="I28">
            <v>230138.69000000003</v>
          </cell>
        </row>
        <row r="29">
          <cell r="E29" t="str">
            <v>SJC</v>
          </cell>
          <cell r="F29">
            <v>71259.790000000052</v>
          </cell>
        </row>
        <row r="30">
          <cell r="E30" t="str">
            <v>SJC/VALE</v>
          </cell>
          <cell r="F30">
            <v>35617.410000000018</v>
          </cell>
        </row>
        <row r="31">
          <cell r="E31" t="str">
            <v>VENDEDOR INTERNO 1</v>
          </cell>
          <cell r="F31">
            <v>64035.460000000014</v>
          </cell>
        </row>
        <row r="32">
          <cell r="E32" t="str">
            <v>Total Geral</v>
          </cell>
          <cell r="F32">
            <v>4530519.1849999381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topLeftCell="A22" zoomScaleNormal="100" workbookViewId="0">
      <selection activeCell="F39" sqref="F39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300000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4530519.1849999968</v>
      </c>
      <c r="D5" s="2"/>
      <c r="E5" s="4"/>
      <c r="F5" s="4"/>
      <c r="G5" s="4"/>
      <c r="H5" s="4" t="s">
        <v>1</v>
      </c>
      <c r="I5" s="7">
        <f>SUM(J10:J27)</f>
        <v>176561.28999999998</v>
      </c>
      <c r="J5" s="4"/>
      <c r="K5" s="4"/>
      <c r="L5" s="4"/>
      <c r="M5" s="4"/>
      <c r="N5" s="4" t="s">
        <v>1</v>
      </c>
      <c r="O5" s="7">
        <f>SUM(P11:P17)</f>
        <v>51853.4</v>
      </c>
      <c r="P5" s="4"/>
      <c r="Q5" s="4"/>
      <c r="R5" s="4"/>
      <c r="S5" s="4"/>
      <c r="T5" s="4" t="s">
        <v>1</v>
      </c>
      <c r="U5" s="4">
        <f>SUM(V10:V26)</f>
        <v>635</v>
      </c>
      <c r="V5" s="4"/>
      <c r="W5" s="4"/>
    </row>
    <row r="6" spans="1:23" x14ac:dyDescent="0.25">
      <c r="A6" s="4"/>
      <c r="B6" s="4" t="s">
        <v>2</v>
      </c>
      <c r="C6" s="2">
        <f>C4-C5</f>
        <v>1061980.8150000032</v>
      </c>
      <c r="D6" s="2"/>
      <c r="E6" s="4"/>
      <c r="F6" s="4"/>
      <c r="G6" s="4"/>
      <c r="H6" s="4" t="s">
        <v>2</v>
      </c>
      <c r="I6" s="7">
        <f>I4-I5</f>
        <v>123438.71000000002</v>
      </c>
      <c r="J6" s="4"/>
      <c r="K6" s="4"/>
      <c r="L6" s="4"/>
      <c r="M6" s="4"/>
      <c r="N6" s="4" t="s">
        <v>2</v>
      </c>
      <c r="O6" s="7">
        <f>O4-O5</f>
        <v>-51853.4</v>
      </c>
      <c r="P6" s="4"/>
      <c r="Q6" s="4"/>
      <c r="R6" s="4"/>
      <c r="S6" s="4"/>
      <c r="T6" s="4" t="s">
        <v>2</v>
      </c>
      <c r="U6" s="4">
        <f>U4-U5</f>
        <v>123</v>
      </c>
      <c r="V6" s="4"/>
      <c r="W6" s="4"/>
    </row>
    <row r="7" spans="1:23" x14ac:dyDescent="0.25">
      <c r="A7" s="4"/>
      <c r="B7" s="4" t="s">
        <v>3</v>
      </c>
      <c r="C7" s="3">
        <f>1-(C6/C4)</f>
        <v>0.81010624675905174</v>
      </c>
      <c r="D7" s="2"/>
      <c r="E7" s="4"/>
      <c r="F7" s="4"/>
      <c r="G7" s="4"/>
      <c r="H7" s="4" t="s">
        <v>3</v>
      </c>
      <c r="I7" s="3">
        <f>1-(I6/I4)</f>
        <v>0.5885376333333332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0.83773087071240104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47335.959999999977</v>
      </c>
      <c r="E10" s="27">
        <f>Tabela13[[#This Row],[META A]]-Tabela13[[#This Row],[ATINGIDO]]</f>
        <v>17164.040000000023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28600</v>
      </c>
      <c r="J10" s="22">
        <f>_xlfn.XLOOKUP(Tabela5[[#This Row],[VENDEDOR]],'[1]BASE PYTHON'!$H:$H,'[1]BASE PYTHON'!$I:$I,0)</f>
        <v>14731.86</v>
      </c>
      <c r="K10" s="23">
        <f>Tabela5[[#This Row],[COMPROMISSO]]-Tabela5[[#This Row],[ATINGIDO]]</f>
        <v>13868.14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28</v>
      </c>
      <c r="W10" s="19">
        <f>U10-V10</f>
        <v>8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298211.64999999962</v>
      </c>
      <c r="E11" s="24">
        <f>Tabela13[[#This Row],[META A]]-Tabela13[[#This Row],[ATINGIDO]]</f>
        <v>26788.350000000384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25380</v>
      </c>
      <c r="J11" s="22">
        <f>_xlfn.XLOOKUP(Tabela5[[#This Row],[VENDEDOR]],'[1]BASE PYTHON'!$H:$H,'[1]BASE PYTHON'!$I:$I,0)</f>
        <v>20418.780000000002</v>
      </c>
      <c r="K11" s="23">
        <f>Tabela5[[#This Row],[COMPROMISSO]]-Tabela5[[#This Row],[ATINGIDO]]</f>
        <v>4961.2199999999975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14424</v>
      </c>
      <c r="Q11" s="2">
        <f>O11-P11</f>
        <v>-14424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48</v>
      </c>
      <c r="W11" s="19">
        <f t="shared" ref="W11:W20" si="0">U11-V11</f>
        <v>4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166.49</v>
      </c>
      <c r="E12" s="27">
        <f>Tabela13[[#This Row],[META A]]-Tabela13[[#This Row],[ATINGIDO]]</f>
        <v>833.51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13570</v>
      </c>
      <c r="J12" s="22">
        <f>_xlfn.XLOOKUP(Tabela5[[#This Row],[VENDEDOR]],'[1]BASE PYTHON'!$H:$H,'[1]BASE PYTHON'!$I:$I,0)</f>
        <v>2406.9500000000003</v>
      </c>
      <c r="K12" s="23">
        <f>Tabela5[[#This Row],[COMPROMISSO]]-Tabela5[[#This Row],[ATINGIDO]]</f>
        <v>11163.05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38</v>
      </c>
      <c r="W12" s="19">
        <f t="shared" si="0"/>
        <v>3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58482.359999999986</v>
      </c>
      <c r="E13" s="24">
        <f>Tabela13[[#This Row],[META A]]-Tabela13[[#This Row],[ATINGIDO]]</f>
        <v>31517.640000000014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25160</v>
      </c>
      <c r="J13" s="22">
        <f>_xlfn.XLOOKUP(Tabela5[[#This Row],[VENDEDOR]],'[1]BASE PYTHON'!$H:$H,'[1]BASE PYTHON'!$I:$I,0)</f>
        <v>16445.600000000002</v>
      </c>
      <c r="K13" s="23">
        <f>Tabela5[[#This Row],[COMPROMISSO]]-Tabela5[[#This Row],[ATINGIDO]]</f>
        <v>8714.3999999999978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18548</v>
      </c>
      <c r="Q13" s="2">
        <f t="shared" ref="Q13:Q17" si="1">O13-P13</f>
        <v>-18548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55</v>
      </c>
      <c r="W13" s="19">
        <f t="shared" si="0"/>
        <v>4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208023.95999999982</v>
      </c>
      <c r="E14" s="27">
        <f>Tabela13[[#This Row],[META A]]-Tabela13[[#This Row],[ATINGIDO]]</f>
        <v>64976.040000000183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21160</v>
      </c>
      <c r="J14" s="22">
        <f>_xlfn.XLOOKUP(Tabela5[[#This Row],[VENDEDOR]],'[1]BASE PYTHON'!$H:$H,'[1]BASE PYTHON'!$I:$I,0)</f>
        <v>18485.669999999998</v>
      </c>
      <c r="K14" s="23">
        <f>Tabela5[[#This Row],[COMPROMISSO]]-Tabela5[[#This Row],[ATINGIDO]]</f>
        <v>2674.3300000000017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8959.8000000000011</v>
      </c>
      <c r="Q14" s="2">
        <f t="shared" si="1"/>
        <v>-8959.8000000000011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24</v>
      </c>
      <c r="W14" s="19">
        <f t="shared" si="0"/>
        <v>3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61896.400000000081</v>
      </c>
      <c r="E15" s="24">
        <f>Tabela13[[#This Row],[META A]]-Tabela13[[#This Row],[ATINGIDO]]</f>
        <v>16103.599999999919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26910</v>
      </c>
      <c r="J15" s="22">
        <f>_xlfn.XLOOKUP(Tabela5[[#This Row],[VENDEDOR]],'[1]BASE PYTHON'!$H:$H,'[1]BASE PYTHON'!$I:$I,0)</f>
        <v>19725.669999999991</v>
      </c>
      <c r="K15" s="23">
        <f>Tabela5[[#This Row],[COMPROMISSO]]-Tabela5[[#This Row],[ATINGIDO]]</f>
        <v>7184.330000000009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275080.61999999994</v>
      </c>
      <c r="E16" s="27">
        <f>Tabela13[[#This Row],[META A]]-Tabela13[[#This Row],[ATINGIDO]]</f>
        <v>49919.380000000063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16510</v>
      </c>
      <c r="J16" s="22">
        <f>_xlfn.XLOOKUP(Tabela5[[#This Row],[VENDEDOR]],'[1]BASE PYTHON'!$H:$H,'[1]BASE PYTHON'!$I:$I,0)</f>
        <v>10613.95</v>
      </c>
      <c r="K16" s="23">
        <f>Tabela5[[#This Row],[COMPROMISSO]]-Tabela5[[#This Row],[ATINGIDO]]</f>
        <v>5896.0499999999993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38</v>
      </c>
      <c r="W16" s="19">
        <f t="shared" si="0"/>
        <v>1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276514.88000000064</v>
      </c>
      <c r="E17" s="24">
        <f>Tabela13[[#This Row],[META A]]-Tabela13[[#This Row],[ATINGIDO]]</f>
        <v>-106514.88000000064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7700</v>
      </c>
      <c r="J17" s="22">
        <f>_xlfn.XLOOKUP(Tabela5[[#This Row],[VENDEDOR]],'[1]BASE PYTHON'!$H:$H,'[1]BASE PYTHON'!$I:$I,0)</f>
        <v>3791.9600000000009</v>
      </c>
      <c r="K17" s="23">
        <f>Tabela5[[#This Row],[COMPROMISSO]]-Tabela5[[#This Row],[ATINGIDO]]</f>
        <v>3908.0399999999991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9921.6</v>
      </c>
      <c r="Q17" s="2">
        <f t="shared" si="1"/>
        <v>-9921.6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51</v>
      </c>
      <c r="W17" s="19">
        <f t="shared" si="0"/>
        <v>-2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860353.20000000019</v>
      </c>
      <c r="E18" s="27">
        <f>Tabela13[[#This Row],[META A]]-Tabela13[[#This Row],[ATINGIDO]]</f>
        <v>89646.799999999814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15000</v>
      </c>
      <c r="J18" s="22">
        <f>_xlfn.XLOOKUP(Tabela5[[#This Row],[VENDEDOR]],'[1]BASE PYTHON'!$H:$H,'[1]BASE PYTHON'!$I:$I,0)</f>
        <v>7841.6500000000005</v>
      </c>
      <c r="K18" s="23">
        <f>Tabela5[[#This Row],[COMPROMISSO]]-Tabela5[[#This Row],[ATINGIDO]]</f>
        <v>7158.3499999999995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46</v>
      </c>
      <c r="W18" s="19">
        <f t="shared" si="0"/>
        <v>-1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127140.10000000006</v>
      </c>
      <c r="E19" s="24">
        <f>Tabela13[[#This Row],[META A]]-Tabela13[[#This Row],[ATINGIDO]]</f>
        <v>2859.899999999936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17000</v>
      </c>
      <c r="J19" s="22">
        <f>_xlfn.XLOOKUP(Tabela5[[#This Row],[VENDEDOR]],'[1]BASE PYTHON'!$H:$H,'[1]BASE PYTHON'!$I:$I,0)</f>
        <v>9019.4799999999977</v>
      </c>
      <c r="K19" s="23">
        <f>Tabela5[[#This Row],[COMPROMISSO]]-Tabela5[[#This Row],[ATINGIDO]]</f>
        <v>7980.5200000000023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63</v>
      </c>
      <c r="W19" s="19">
        <f t="shared" si="0"/>
        <v>-2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279492.74</v>
      </c>
      <c r="E20" s="27">
        <f>Tabela13[[#This Row],[META A]]-Tabela13[[#This Row],[ATINGIDO]]</f>
        <v>280507.26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21560</v>
      </c>
      <c r="J20" s="22">
        <f>_xlfn.XLOOKUP(Tabela5[[#This Row],[VENDEDOR]],'[1]BASE PYTHON'!$H:$H,'[1]BASE PYTHON'!$I:$I,0)</f>
        <v>13809.169999999996</v>
      </c>
      <c r="K20" s="23">
        <f>Tabela5[[#This Row],[COMPROMISSO]]-Tabela5[[#This Row],[ATINGIDO]]</f>
        <v>7750.8300000000036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29</v>
      </c>
      <c r="W20" s="19">
        <f t="shared" si="0"/>
        <v>10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335556.29999999952</v>
      </c>
      <c r="E21" s="24">
        <f>Tabela13[[#This Row],[META A]]-Tabela13[[#This Row],[ATINGIDO]]</f>
        <v>79443.700000000477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9040</v>
      </c>
      <c r="J21" s="22">
        <f>_xlfn.XLOOKUP(Tabela5[[#This Row],[VENDEDOR]],'[1]BASE PYTHON'!$H:$H,'[1]BASE PYTHON'!$I:$I,0)</f>
        <v>5839.8</v>
      </c>
      <c r="K21" s="23">
        <f>Tabela5[[#This Row],[COMPROMISSO]]-Tabela5[[#This Row],[ATINGIDO]]</f>
        <v>3200.2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275241.61999999976</v>
      </c>
      <c r="Q21" s="7">
        <f>O21-P21</f>
        <v>96349.289090909355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85627.129999999932</v>
      </c>
      <c r="E22" s="27">
        <f>Tabela13[[#This Row],[META A]]-Tabela13[[#This Row],[ATINGIDO]]</f>
        <v>36372.870000000068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16330</v>
      </c>
      <c r="J22" s="22">
        <f>_xlfn.XLOOKUP(Tabela5[[#This Row],[VENDEDOR]],'[1]BASE PYTHON'!$H:$H,'[1]BASE PYTHON'!$I:$I,0)</f>
        <v>5633.5499999999993</v>
      </c>
      <c r="K22" s="23">
        <f>Tabela5[[#This Row],[COMPROMISSO]]-Tabela5[[#This Row],[ATINGIDO]]</f>
        <v>10696.45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2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154469.5849999995</v>
      </c>
      <c r="E23" s="24">
        <f>Tabela13[[#This Row],[META A]]-Tabela13[[#This Row],[ATINGIDO]]</f>
        <v>40530.415000000503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14210</v>
      </c>
      <c r="J23" s="22">
        <f>_xlfn.XLOOKUP(Tabela5[[#This Row],[VENDEDOR]],'[1]BASE PYTHON'!$H:$H,'[1]BASE PYTHON'!$I:$I,0)</f>
        <v>5143.1400000000003</v>
      </c>
      <c r="K23" s="23">
        <f>Tabela5[[#This Row],[COMPROMISSO]]-Tabela5[[#This Row],[ATINGIDO]]</f>
        <v>9066.86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39</v>
      </c>
      <c r="W23" s="19">
        <f t="shared" si="2"/>
        <v>16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104517.12999999998</v>
      </c>
      <c r="E24" s="27">
        <f>Tabela13[[#This Row],[META A]]-Tabela13[[#This Row],[ATINGIDO]]</f>
        <v>35482.870000000024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13000</v>
      </c>
      <c r="J24" s="22">
        <f>_xlfn.XLOOKUP(Tabela5[[#This Row],[VENDEDOR]],'[1]BASE PYTHON'!$H:$H,'[1]BASE PYTHON'!$I:$I,0)</f>
        <v>6706.9800000000005</v>
      </c>
      <c r="K24" s="23">
        <f>Tabela5[[#This Row],[COMPROMISSO]]-Tabela5[[#This Row],[ATINGIDO]]</f>
        <v>6293.0199999999995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684913.8</v>
      </c>
      <c r="Q24" s="7">
        <f>O24-P24</f>
        <v>-65595.618181818165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22</v>
      </c>
      <c r="W24" s="19">
        <f t="shared" si="2"/>
        <v>15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109503.79999999971</v>
      </c>
      <c r="E25" s="24">
        <f>Tabela13[[#This Row],[META A]]-Tabela13[[#This Row],[ATINGIDO]]</f>
        <v>32996.200000000288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13630</v>
      </c>
      <c r="J25" s="22">
        <f>_xlfn.XLOOKUP(Tabela5[[#This Row],[VENDEDOR]],'[1]BASE PYTHON'!$H:$H,'[1]BASE PYTHON'!$I:$I,0)</f>
        <v>9081.9599999999991</v>
      </c>
      <c r="K25" s="23">
        <f>Tabela5[[#This Row],[COMPROMISSO]]-Tabela5[[#This Row],[ATINGIDO]]</f>
        <v>4548.0400000000009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53577.4</v>
      </c>
      <c r="Q25" s="7">
        <f>O25-P25</f>
        <v>565740.78181818186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42</v>
      </c>
      <c r="W25" s="19">
        <f t="shared" si="2"/>
        <v>9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57302.970000000154</v>
      </c>
      <c r="E26" s="27">
        <f>Tabela13[[#This Row],[META A]]-Tabela13[[#This Row],[ATINGIDO]]</f>
        <v>32697.029999999846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7010</v>
      </c>
      <c r="J26" s="22">
        <f>_xlfn.XLOOKUP(Tabela5[[#This Row],[VENDEDOR]],'[1]BASE PYTHON'!$H:$H,'[1]BASE PYTHON'!$I:$I,0)</f>
        <v>2062.9699999999998</v>
      </c>
      <c r="K26" s="23">
        <f>Tabela5[[#This Row],[COMPROMISSO]]-Tabela5[[#This Row],[ATINGIDO]]</f>
        <v>4947.0300000000007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26</v>
      </c>
      <c r="W26" s="19">
        <f t="shared" si="2"/>
        <v>9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203328.83999999944</v>
      </c>
      <c r="E27" s="24">
        <f>Tabela13[[#This Row],[META A]]-Tabela13[[#This Row],[ATINGIDO]]</f>
        <v>34171.160000000556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8230</v>
      </c>
      <c r="J27" s="22">
        <f>_xlfn.XLOOKUP(Tabela5[[#This Row],[VENDEDOR]],'[1]BASE PYTHON'!$H:$H,'[1]BASE PYTHON'!$I:$I,0)</f>
        <v>4802.1500000000005</v>
      </c>
      <c r="K27" s="23">
        <f>Tabela5[[#This Row],[COMPROMISSO]]-Tabela5[[#This Row],[ATINGIDO]]</f>
        <v>3427.8499999999995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264689.76999999926</v>
      </c>
      <c r="E28" s="27">
        <f>Tabela13[[#This Row],[META A]]-Tabela13[[#This Row],[ATINGIDO]]</f>
        <v>53810.230000000738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107460.07999999997</v>
      </c>
      <c r="E29" s="24">
        <f>Tabela13[[#This Row],[META A]]-Tabela13[[#This Row],[ATINGIDO]]</f>
        <v>67539.920000000027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104360.69999999991</v>
      </c>
      <c r="E30" s="27">
        <f>Tabela13[[#This Row],[META A]]-Tabela13[[#This Row],[ATINGIDO]]</f>
        <v>30139.30000000009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134801.46999999997</v>
      </c>
      <c r="E31" s="24">
        <f>Tabela13[[#This Row],[META A]]-Tabela13[[#This Row],[ATINGIDO]]</f>
        <v>32198.530000000028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204207.55999999982</v>
      </c>
      <c r="E32" s="27">
        <f>Tabela13[[#This Row],[META A]]-Tabela13[[#This Row],[ATINGIDO]]</f>
        <v>55792.440000000177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71259.790000000052</v>
      </c>
      <c r="E33" s="24">
        <f>Tabela13[[#This Row],[META A]]-Tabela13[[#This Row],[ATINGIDO]]</f>
        <v>28740.209999999948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699011.54000000225</v>
      </c>
      <c r="K33" s="7">
        <f t="shared" si="4"/>
        <v>-47761.540000002249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3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35617.410000000018</v>
      </c>
      <c r="E34" s="27">
        <f>Tabela13[[#This Row],[META A]]-Tabela13[[#This Row],[ATINGIDO]]</f>
        <v>19382.589999999982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581802.48500000464</v>
      </c>
      <c r="K34" s="7">
        <f t="shared" si="4"/>
        <v>69447.514999995357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57</v>
      </c>
      <c r="W34" s="6">
        <f>U34-V34</f>
        <v>115.27272727272725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64035.460000000014</v>
      </c>
      <c r="E35" s="24">
        <f>Tabela13[[#This Row],[META A]]-Tabela13[[#This Row],[ATINGIDO]]</f>
        <v>8964.5399999999863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176561.28999999975</v>
      </c>
      <c r="K35" s="7">
        <f>I35-J35</f>
        <v>474688.71000000025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216793.47272727115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1103560.189999996</v>
      </c>
      <c r="E41" s="7">
        <f t="shared" ref="E41:E43" si="5">C41-D41</f>
        <v>-86923.826363632339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1384150.9299999918</v>
      </c>
      <c r="E42" s="7">
        <f t="shared" si="5"/>
        <v>-113355.4754545372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1266985.5749999946</v>
      </c>
      <c r="E43" s="7">
        <f t="shared" si="5"/>
        <v>3809.8795454599895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230138.6899999998</v>
      </c>
      <c r="E44" s="7">
        <f t="shared" ref="E44" si="6">C44-D44</f>
        <v>1040656.7645454548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Analista Comercial 7</cp:lastModifiedBy>
  <dcterms:created xsi:type="dcterms:W3CDTF">2026-05-05T18:00:23Z</dcterms:created>
  <dcterms:modified xsi:type="dcterms:W3CDTF">2026-07-27T15:58:39Z</dcterms:modified>
</cp:coreProperties>
</file>