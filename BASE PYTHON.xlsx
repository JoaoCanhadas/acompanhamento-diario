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934FD57-6988-4266-8B7B-466900D4A361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4" i="2"/>
  <c r="V33" i="2"/>
  <c r="V32" i="2"/>
  <c r="V30" i="2"/>
  <c r="V31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1" i="2"/>
  <c r="D42" i="2"/>
  <c r="D40" i="2"/>
  <c r="P25" i="2"/>
  <c r="J35" i="2"/>
  <c r="J32" i="2"/>
  <c r="P21" i="2"/>
  <c r="P22" i="2"/>
  <c r="J33" i="2"/>
  <c r="P24" i="2"/>
  <c r="P23" i="2"/>
  <c r="D39" i="2"/>
  <c r="J34" i="2"/>
  <c r="D43" i="2"/>
  <c r="J31" i="2"/>
  <c r="K16" i="2" l="1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<sst xmlns="http://schemas.openxmlformats.org/spreadsheetml/2006/main" count="213" uniqueCount="54">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</sst>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19446.750000000004</v>
          </cell>
          <cell r="H5" t="str">
            <v>CAMPINAS</v>
          </cell>
          <cell r="I5">
            <v>1382.35</v>
          </cell>
        </row>
        <row r="6">
          <cell r="E6" t="str">
            <v>CENTRO</v>
          </cell>
          <cell r="F6">
            <v>151882.9899999999</v>
          </cell>
          <cell r="H6" t="str">
            <v>CENTRO</v>
          </cell>
          <cell r="I6">
            <v>2591.6000000000004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INTERLAGOS</v>
          </cell>
          <cell r="I7">
            <v>1440.91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49.09</v>
          </cell>
          <cell r="H8" t="str">
            <v>JUNDIAI</v>
          </cell>
          <cell r="I8">
            <v>1092</v>
          </cell>
          <cell r="K8" t="str">
            <v>CENTRO</v>
          </cell>
          <cell r="N8">
            <v>32</v>
          </cell>
        </row>
        <row r="9">
          <cell r="E9" t="str">
            <v>INDAIATUBA</v>
          </cell>
          <cell r="F9">
            <v>29329.179999999997</v>
          </cell>
          <cell r="H9" t="str">
            <v>KEY SP</v>
          </cell>
          <cell r="I9">
            <v>29751.200000000001</v>
          </cell>
          <cell r="K9" t="str">
            <v>INDAIATUBA</v>
          </cell>
          <cell r="N9">
            <v>22</v>
          </cell>
        </row>
        <row r="10">
          <cell r="E10" t="str">
            <v>INTERLAGOS</v>
          </cell>
          <cell r="F10">
            <v>88513.359999999971</v>
          </cell>
          <cell r="H10" t="str">
            <v>KEY ZL</v>
          </cell>
          <cell r="I10">
            <v>14725.18</v>
          </cell>
          <cell r="K10" t="str">
            <v>JUNDIAI</v>
          </cell>
          <cell r="N10">
            <v>12</v>
          </cell>
        </row>
        <row r="11">
          <cell r="E11" t="str">
            <v>JUNDIAI</v>
          </cell>
          <cell r="F11">
            <v>31887.770000000026</v>
          </cell>
          <cell r="H11" t="str">
            <v>LESTE</v>
          </cell>
          <cell r="I11">
            <v>259.8</v>
          </cell>
          <cell r="K11" t="str">
            <v>LESTE</v>
          </cell>
          <cell r="N11">
            <v>19</v>
          </cell>
        </row>
        <row r="12">
          <cell r="E12" t="str">
            <v>KEY ABC</v>
          </cell>
          <cell r="F12">
            <v>121733.92000000003</v>
          </cell>
          <cell r="H12" t="str">
            <v>LESTE MOOCA</v>
          </cell>
          <cell r="I12">
            <v>2653.3</v>
          </cell>
          <cell r="K12" t="str">
            <v>LESTE PENHA</v>
          </cell>
          <cell r="N12">
            <v>12</v>
          </cell>
        </row>
        <row r="13">
          <cell r="E13" t="str">
            <v>KEY CASA</v>
          </cell>
          <cell r="F13">
            <v>155213.56</v>
          </cell>
          <cell r="H13" t="str">
            <v>LESTE PENHA</v>
          </cell>
          <cell r="I13">
            <v>4077.82</v>
          </cell>
          <cell r="K13" t="str">
            <v>LESTE TATUAPE</v>
          </cell>
          <cell r="N13">
            <v>19</v>
          </cell>
        </row>
        <row r="14">
          <cell r="E14" t="str">
            <v>KEY INTERIOR</v>
          </cell>
          <cell r="F14">
            <v>403983.90000000026</v>
          </cell>
          <cell r="H14" t="str">
            <v>MOGI</v>
          </cell>
          <cell r="I14">
            <v>604.70000000000005</v>
          </cell>
          <cell r="K14" t="str">
            <v>NORTE</v>
          </cell>
          <cell r="N14">
            <v>21</v>
          </cell>
        </row>
        <row r="15">
          <cell r="E15" t="str">
            <v>KEY SJC</v>
          </cell>
          <cell r="F15">
            <v>22426.3</v>
          </cell>
          <cell r="H15" t="str">
            <v>PIRITUBA</v>
          </cell>
          <cell r="I15">
            <v>627.6</v>
          </cell>
          <cell r="K15" t="str">
            <v>OSASCO</v>
          </cell>
          <cell r="N15">
            <v>38</v>
          </cell>
        </row>
        <row r="16">
          <cell r="E16" t="str">
            <v>KEY SP</v>
          </cell>
          <cell r="F16">
            <v>127430.38</v>
          </cell>
          <cell r="H16" t="str">
            <v>SANTO ANDRE</v>
          </cell>
          <cell r="I16">
            <v>772.2</v>
          </cell>
          <cell r="K16" t="str">
            <v>PIRITUBA</v>
          </cell>
          <cell r="N16">
            <v>21</v>
          </cell>
        </row>
        <row r="17">
          <cell r="E17" t="str">
            <v>KEY ZL</v>
          </cell>
          <cell r="F17">
            <v>159429.97999999995</v>
          </cell>
          <cell r="H17" t="str">
            <v>VENDEDOR INTERNO 1</v>
          </cell>
          <cell r="I17">
            <v>839.76</v>
          </cell>
          <cell r="K17" t="str">
            <v>SANTO ANDRE</v>
          </cell>
          <cell r="N17">
            <v>17</v>
          </cell>
        </row>
        <row r="18">
          <cell r="E18" t="str">
            <v>LESTE</v>
          </cell>
          <cell r="F18">
            <v>42575.060000000012</v>
          </cell>
          <cell r="H18" t="str">
            <v>Total Geral</v>
          </cell>
          <cell r="I18">
            <v>60818.42000000002</v>
          </cell>
          <cell r="K18" t="str">
            <v>SJC</v>
          </cell>
          <cell r="N18">
            <v>15</v>
          </cell>
        </row>
        <row r="19">
          <cell r="E19" t="str">
            <v>LESTE MOOCA</v>
          </cell>
          <cell r="F19">
            <v>73698.819999999992</v>
          </cell>
          <cell r="K19" t="str">
            <v>Total Geral</v>
          </cell>
          <cell r="N19">
            <v>228</v>
          </cell>
        </row>
        <row r="20">
          <cell r="E20" t="str">
            <v>LESTE PENHA</v>
          </cell>
          <cell r="F20">
            <v>52664.26</v>
          </cell>
        </row>
        <row r="21">
          <cell r="E21" t="str">
            <v>LESTE TATUAPE</v>
          </cell>
          <cell r="F21">
            <v>44701.440000000061</v>
          </cell>
        </row>
        <row r="22">
          <cell r="E22" t="str">
            <v>MOGI</v>
          </cell>
          <cell r="F22">
            <v>22225.860000000011</v>
          </cell>
        </row>
        <row r="23">
          <cell r="E23" t="str">
            <v>NORTE</v>
          </cell>
          <cell r="F23">
            <v>97946.510000000024</v>
          </cell>
        </row>
        <row r="24">
          <cell r="E24" t="str">
            <v>OSASCO</v>
          </cell>
          <cell r="F24">
            <v>131615.06000000003</v>
          </cell>
        </row>
        <row r="25">
          <cell r="E25" t="str">
            <v>PIRACICABA</v>
          </cell>
          <cell r="F25">
            <v>53478.660000000011</v>
          </cell>
        </row>
        <row r="26">
          <cell r="E26" t="str">
            <v>PIRITUBA</v>
          </cell>
          <cell r="F26">
            <v>52551.639999999963</v>
          </cell>
        </row>
        <row r="27">
          <cell r="E27" t="str">
            <v>SANTO ANDRE</v>
          </cell>
          <cell r="F27">
            <v>59936.180000000008</v>
          </cell>
        </row>
        <row r="28">
          <cell r="E28" t="str">
            <v>SBC</v>
          </cell>
          <cell r="F28">
            <v>94488.119999999893</v>
          </cell>
        </row>
        <row r="29">
          <cell r="E29" t="str">
            <v>SJC</v>
          </cell>
          <cell r="F29">
            <v>40132.44000000001</v>
          </cell>
        </row>
        <row r="30">
          <cell r="E30" t="str">
            <v>SJC/VALE</v>
          </cell>
          <cell r="F30">
            <v>17502.359999999986</v>
          </cell>
        </row>
        <row r="31">
          <cell r="E31" t="str">
            <v>VENDEDOR INTERNO 1</v>
          </cell>
          <cell r="F31">
            <v>34782.590000000011</v>
          </cell>
        </row>
        <row r="32">
          <cell r="E32" t="str">
            <v>Total Geral</v>
          </cell>
          <cell r="F32">
            <v>2130455.1199999726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D5" sqref="D5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200027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2129626.1799999997</v>
      </c>
      <c r="D5" s="2"/>
      <c r="E5" s="4"/>
      <c r="F5" s="4"/>
      <c r="G5" s="4"/>
      <c r="H5" s="4" t="s">
        <v>1</v>
      </c>
      <c r="I5" s="7">
        <f>SUM(J10:J27)</f>
        <v>16342.04</v>
      </c>
      <c r="J5" s="4"/>
      <c r="K5" s="4"/>
      <c r="L5" s="4"/>
      <c r="M5" s="4"/>
      <c r="N5" s="4" t="s">
        <v>1</v>
      </c>
      <c r="O5" s="7">
        <f>SUM(P11:P17)</f>
        <v>44476.380000000005</v>
      </c>
      <c r="P5" s="4"/>
      <c r="Q5" s="4"/>
      <c r="R5" s="4"/>
      <c r="S5" s="4"/>
      <c r="T5" s="4" t="s">
        <v>1</v>
      </c>
      <c r="U5" s="4">
        <f>SUM(V10:V26)</f>
        <v>228</v>
      </c>
      <c r="V5" s="4"/>
      <c r="W5" s="4"/>
    </row>
    <row r="6" spans="1:23" x14ac:dyDescent="0.25">
      <c r="A6" s="4"/>
      <c r="B6" s="4" t="s">
        <v>2</v>
      </c>
      <c r="C6" s="2">
        <f>C4-C5</f>
        <v>3461873.8200000003</v>
      </c>
      <c r="D6" s="2"/>
      <c r="E6" s="4"/>
      <c r="F6" s="4"/>
      <c r="G6" s="4"/>
      <c r="H6" s="4" t="s">
        <v>2</v>
      </c>
      <c r="I6" s="7">
        <f>I4-I5</f>
        <v>183684.96</v>
      </c>
      <c r="J6" s="4"/>
      <c r="K6" s="4"/>
      <c r="L6" s="4"/>
      <c r="M6" s="4"/>
      <c r="N6" s="4" t="s">
        <v>2</v>
      </c>
      <c r="O6" s="7">
        <f>O4-O5</f>
        <v>-44476.380000000005</v>
      </c>
      <c r="P6" s="4"/>
      <c r="Q6" s="4"/>
      <c r="R6" s="4"/>
      <c r="S6" s="4"/>
      <c r="T6" s="4" t="s">
        <v>2</v>
      </c>
      <c r="U6" s="4">
        <f>U4-U5</f>
        <v>530</v>
      </c>
      <c r="V6" s="4"/>
      <c r="W6" s="4"/>
    </row>
    <row r="7" spans="1:23" x14ac:dyDescent="0.25">
      <c r="A7" s="4"/>
      <c r="B7" s="4" t="s">
        <v>3</v>
      </c>
      <c r="C7" s="3">
        <f>1-(C6/C4)</f>
        <v>0.38086849324868099</v>
      </c>
      <c r="D7" s="2"/>
      <c r="E7" s="4"/>
      <c r="F7" s="4"/>
      <c r="G7" s="4"/>
      <c r="H7" s="4" t="s">
        <v>3</v>
      </c>
      <c r="I7" s="3">
        <f>1-(I6/I4)</f>
        <v>8.1699170611967409E-2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0.30079155672823221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19446.750000000004</v>
      </c>
      <c r="E10" s="27">
        <f>Tabela13[[#This Row],[META A]]-Tabela13[[#This Row],[ATINGIDO]]</f>
        <v>45053.25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20000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20000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151882.9899999999</v>
      </c>
      <c r="E11" s="24">
        <f>Tabela13[[#This Row],[META A]]-Tabela13[[#This Row],[ATINGIDO]]</f>
        <v>173117.0100000001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13000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13000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32</v>
      </c>
      <c r="W11" s="19">
        <f t="shared" ref="W11:W20" si="0">U11-V11</f>
        <v>20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49.09</v>
      </c>
      <c r="E12" s="27">
        <f>Tabela13[[#This Row],[META A]]-Tabela13[[#This Row],[ATINGIDO]]</f>
        <v>950.91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15390</v>
      </c>
      <c r="J12" s="22">
        <f>_xlfn.XLOOKUP(Tabela5[[#This Row],[VENDEDOR]],'[1]BASE PYTHON'!$H:$H,'[1]BASE PYTHON'!$I:$I,0)</f>
        <v>627.6</v>
      </c>
      <c r="K12" s="23">
        <f>Tabela5[[#This Row],[COMPROMISSO]]-Tabela5[[#This Row],[ATINGIDO]]</f>
        <v>14762.4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22</v>
      </c>
      <c r="W12" s="19">
        <f t="shared" si="0"/>
        <v>19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29329.179999999997</v>
      </c>
      <c r="E13" s="24">
        <f>Tabela13[[#This Row],[META A]]-Tabela13[[#This Row],[ATINGIDO]]</f>
        <v>60670.820000000007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22000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14725.18</v>
      </c>
      <c r="Q13" s="2">
        <f t="shared" ref="Q13:Q17" si="1">O13-P13</f>
        <v>-14725.18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88513.359999999971</v>
      </c>
      <c r="E14" s="27">
        <f>Tabela13[[#This Row],[META A]]-Tabela13[[#This Row],[ATINGIDO]]</f>
        <v>184486.64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11529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11529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12</v>
      </c>
      <c r="W14" s="19">
        <f t="shared" si="0"/>
        <v>15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31887.770000000026</v>
      </c>
      <c r="E15" s="24">
        <f>Tabela13[[#This Row],[META A]]-Tabela13[[#This Row],[ATINGIDO]]</f>
        <v>46112.229999999974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24000</v>
      </c>
      <c r="J15" s="22">
        <f>_xlfn.XLOOKUP(Tabela5[[#This Row],[VENDEDOR]],'[1]BASE PYTHON'!$H:$H,'[1]BASE PYTHON'!$I:$I,0)</f>
        <v>2591.6000000000004</v>
      </c>
      <c r="K15" s="23">
        <f>Tabela5[[#This Row],[COMPROMISSO]]-Tabela5[[#This Row],[ATINGIDO]]</f>
        <v>21408.400000000001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29751.200000000001</v>
      </c>
      <c r="Q15" s="2">
        <f t="shared" si="1"/>
        <v>-29751.200000000001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19</v>
      </c>
      <c r="W15" s="19">
        <f>U15-V15</f>
        <v>29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121733.92000000003</v>
      </c>
      <c r="E16" s="27">
        <f>Tabela13[[#This Row],[META A]]-Tabela13[[#This Row],[ATINGIDO]]</f>
        <v>203266.07999999996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11000</v>
      </c>
      <c r="J16" s="22">
        <f>_xlfn.XLOOKUP(Tabela5[[#This Row],[VENDEDOR]],'[1]BASE PYTHON'!$H:$H,'[1]BASE PYTHON'!$I:$I,0)</f>
        <v>772.2</v>
      </c>
      <c r="K16" s="23">
        <f>Tabela5[[#This Row],[COMPROMISSO]]-Tabela5[[#This Row],[ATINGIDO]]</f>
        <v>10227.799999999999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155213.56</v>
      </c>
      <c r="E17" s="24">
        <f>Tabela13[[#This Row],[META A]]-Tabela13[[#This Row],[ATINGIDO]]</f>
        <v>14786.440000000002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6888</v>
      </c>
      <c r="J17" s="22">
        <f>_xlfn.XLOOKUP(Tabela5[[#This Row],[VENDEDOR]],'[1]BASE PYTHON'!$H:$H,'[1]BASE PYTHON'!$I:$I,0)</f>
        <v>604.70000000000005</v>
      </c>
      <c r="K17" s="23">
        <f>Tabela5[[#This Row],[COMPROMISSO]]-Tabela5[[#This Row],[ATINGIDO]]</f>
        <v>6283.3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403983.90000000026</v>
      </c>
      <c r="E18" s="27">
        <f>Tabela13[[#This Row],[META A]]-Tabela13[[#This Row],[ATINGIDO]]</f>
        <v>546016.09999999974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10191</v>
      </c>
      <c r="J18" s="22">
        <f>_xlfn.XLOOKUP(Tabela5[[#This Row],[VENDEDOR]],'[1]BASE PYTHON'!$H:$H,'[1]BASE PYTHON'!$I:$I,0)</f>
        <v>259.8</v>
      </c>
      <c r="K18" s="23">
        <f>Tabela5[[#This Row],[COMPROMISSO]]-Tabela5[[#This Row],[ATINGIDO]]</f>
        <v>9931.2000000000007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21</v>
      </c>
      <c r="W18" s="19">
        <f t="shared" si="0"/>
        <v>24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22426.3</v>
      </c>
      <c r="E19" s="24">
        <f>Tabela13[[#This Row],[META A]]-Tabela13[[#This Row],[ATINGIDO]]</f>
        <v>107573.7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11000</v>
      </c>
      <c r="J19" s="22">
        <f>_xlfn.XLOOKUP(Tabela5[[#This Row],[VENDEDOR]],'[1]BASE PYTHON'!$H:$H,'[1]BASE PYTHON'!$I:$I,0)</f>
        <v>2653.3</v>
      </c>
      <c r="K19" s="23">
        <f>Tabela5[[#This Row],[COMPROMISSO]]-Tabela5[[#This Row],[ATINGIDO]]</f>
        <v>8346.7000000000007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38</v>
      </c>
      <c r="W19" s="19">
        <f t="shared" si="0"/>
        <v>23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127430.38</v>
      </c>
      <c r="E20" s="27">
        <f>Tabela13[[#This Row],[META A]]-Tabela13[[#This Row],[ATINGIDO]]</f>
        <v>432569.62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12000</v>
      </c>
      <c r="J20" s="22">
        <f>_xlfn.XLOOKUP(Tabela5[[#This Row],[VENDEDOR]],'[1]BASE PYTHON'!$H:$H,'[1]BASE PYTHON'!$I:$I,0)</f>
        <v>1440.91</v>
      </c>
      <c r="K20" s="23">
        <f>Tabela5[[#This Row],[COMPROMISSO]]-Tabela5[[#This Row],[ATINGIDO]]</f>
        <v>10559.09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12</v>
      </c>
      <c r="W20" s="19">
        <f t="shared" si="0"/>
        <v>27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159429.97999999995</v>
      </c>
      <c r="E21" s="24">
        <f>Tabela13[[#This Row],[META A]]-Tabela13[[#This Row],[ATINGIDO]]</f>
        <v>255570.02000000005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7750</v>
      </c>
      <c r="J21" s="22">
        <f>_xlfn.XLOOKUP(Tabela5[[#This Row],[VENDEDOR]],'[1]BASE PYTHON'!$H:$H,'[1]BASE PYTHON'!$I:$I,0)</f>
        <v>1092</v>
      </c>
      <c r="K21" s="23">
        <f>Tabela5[[#This Row],[COMPROMISSO]]-Tabela5[[#This Row],[ATINGIDO]]</f>
        <v>6658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21</v>
      </c>
      <c r="W21" s="19">
        <f t="shared" ref="W21:W26" si="2">U21-V21</f>
        <v>23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42575.060000000012</v>
      </c>
      <c r="E22" s="27">
        <f>Tabela13[[#This Row],[META A]]-Tabela13[[#This Row],[ATINGIDO]]</f>
        <v>79424.939999999988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10290</v>
      </c>
      <c r="J22" s="22">
        <f>_xlfn.XLOOKUP(Tabela5[[#This Row],[VENDEDOR]],'[1]BASE PYTHON'!$H:$H,'[1]BASE PYTHON'!$I:$I,0)</f>
        <v>4077.82</v>
      </c>
      <c r="K22" s="23">
        <f>Tabela5[[#This Row],[COMPROMISSO]]-Tabela5[[#This Row],[ATINGIDO]]</f>
        <v>6212.18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564728.75000000023</v>
      </c>
      <c r="Q22" s="7">
        <f>O22-P22</f>
        <v>-69274.204545454762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17</v>
      </c>
      <c r="W22" s="19">
        <f t="shared" si="2"/>
        <v>23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73698.819999999992</v>
      </c>
      <c r="E23" s="24">
        <f>Tabela13[[#This Row],[META A]]-Tabela13[[#This Row],[ATINGIDO]]</f>
        <v>121301.18000000001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7510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7510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203726.33000000016</v>
      </c>
      <c r="Q23" s="7">
        <f>O23-P23</f>
        <v>415591.85181818169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52664.26</v>
      </c>
      <c r="E24" s="27">
        <f>Tabela13[[#This Row],[META A]]-Tabela13[[#This Row],[ATINGIDO]]</f>
        <v>87335.739999999991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3930</v>
      </c>
      <c r="J24" s="22">
        <f>_xlfn.XLOOKUP(Tabela5[[#This Row],[VENDEDOR]],'[1]BASE PYTHON'!$H:$H,'[1]BASE PYTHON'!$I:$I,0)</f>
        <v>839.76</v>
      </c>
      <c r="K24" s="23">
        <f>Tabela5[[#This Row],[COMPROMISSO]]-Tabela5[[#This Row],[ATINGIDO]]</f>
        <v>3090.24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15</v>
      </c>
      <c r="W24" s="19">
        <f t="shared" si="2"/>
        <v>22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44701.440000000061</v>
      </c>
      <c r="E25" s="24">
        <f>Tabela13[[#This Row],[META A]]-Tabela13[[#This Row],[ATINGIDO]]</f>
        <v>97798.559999999939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4760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4760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19</v>
      </c>
      <c r="W25" s="19">
        <f t="shared" si="2"/>
        <v>32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22225.860000000011</v>
      </c>
      <c r="E26" s="27">
        <f>Tabela13[[#This Row],[META A]]-Tabela13[[#This Row],[ATINGIDO]]</f>
        <v>67774.139999999985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3834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3834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97946.510000000024</v>
      </c>
      <c r="E27" s="24">
        <f>Tabela13[[#This Row],[META A]]-Tabela13[[#This Row],[ATINGIDO]]</f>
        <v>139553.49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4955</v>
      </c>
      <c r="J27" s="22">
        <f>_xlfn.XLOOKUP(Tabela5[[#This Row],[VENDEDOR]],'[1]BASE PYTHON'!$H:$H,'[1]BASE PYTHON'!$I:$I,0)</f>
        <v>1382.35</v>
      </c>
      <c r="K27" s="23">
        <f>Tabela5[[#This Row],[COMPROMISSO]]-Tabela5[[#This Row],[ATINGIDO]]</f>
        <v>3572.65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131615.06000000003</v>
      </c>
      <c r="E28" s="27">
        <f>Tabela13[[#This Row],[META A]]-Tabela13[[#This Row],[ATINGIDO]]</f>
        <v>186884.93999999997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53478.660000000011</v>
      </c>
      <c r="E29" s="24">
        <f>Tabela13[[#This Row],[META A]]-Tabela13[[#This Row],[ATINGIDO]]</f>
        <v>121521.34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52551.639999999963</v>
      </c>
      <c r="E30" s="27">
        <f>Tabela13[[#This Row],[META A]]-Tabela13[[#This Row],[ATINGIDO]]</f>
        <v>81948.360000000044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59936.180000000008</v>
      </c>
      <c r="E31" s="24">
        <f>Tabela13[[#This Row],[META A]]-Tabela13[[#This Row],[ATINGIDO]]</f>
        <v>107063.81999999999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257463.44999999984</v>
      </c>
      <c r="K31" s="7">
        <f>I31-J31</f>
        <v>133286.55000000016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94488.119999999893</v>
      </c>
      <c r="E32" s="27">
        <f>Tabela13[[#This Row],[META A]]-Tabela13[[#This Row],[ATINGIDO]]</f>
        <v>165511.88000000012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501987.34000000294</v>
      </c>
      <c r="K32" s="7">
        <f t="shared" ref="K32:K34" si="4">I32-J32</f>
        <v>19012.659999997064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58</v>
      </c>
      <c r="W32" s="6">
        <f t="shared" si="3"/>
        <v>114.27272727272725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40132.44000000001</v>
      </c>
      <c r="E33" s="24">
        <f>Tabela13[[#This Row],[META A]]-Tabela13[[#This Row],[ATINGIDO]]</f>
        <v>59867.55999999999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252730.7799999998</v>
      </c>
      <c r="K33" s="7">
        <f t="shared" si="4"/>
        <v>398519.2200000002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17502.359999999986</v>
      </c>
      <c r="E34" s="27">
        <f>Tabela13[[#This Row],[META A]]-Tabela13[[#This Row],[ATINGIDO]]</f>
        <v>37497.640000000014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34782.590000000011</v>
      </c>
      <c r="E35" s="24">
        <f>Tabela13[[#This Row],[META A]]-Tabela13[[#This Row],[ATINGIDO]]</f>
        <v>38217.409999999989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546529.75000000163</v>
      </c>
      <c r="E39" s="7">
        <f>C39-D39</f>
        <v>-155779.75000000163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1105616.189999996</v>
      </c>
      <c r="E40" s="7">
        <f t="shared" ref="E40:E42" si="5">C40-D40</f>
        <v>-584616.18999999599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478309.18000000156</v>
      </c>
      <c r="E41" s="7">
        <f t="shared" si="5"/>
        <v>172940.81999999844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2026-07-14T12:50:27Z</dcterms:modified>
</cp:coreProperties>
</file>