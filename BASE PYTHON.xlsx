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4A152F5-7082-4A98-A05F-14BA76E90D2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1" i="2"/>
  <c r="V29" i="2"/>
  <c r="V32" i="2"/>
  <c r="V31" i="2"/>
  <c r="J30" i="2"/>
  <c r="P22" i="2"/>
  <c r="J31" i="2"/>
  <c r="D41" i="2"/>
  <c r="V30" i="2"/>
  <c r="J33" i="2"/>
  <c r="D40" i="2"/>
  <c r="J32" i="2"/>
  <c r="D39" i="2"/>
  <c r="P20" i="2"/>
  <c r="D38" i="2"/>
  <c r="P23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<sst xmlns="http://schemas.openxmlformats.org/spreadsheetml/2006/main" count="209" uniqueCount="53">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</sst>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Planilha5"/>
      <sheetName val="Planilha4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CENTRO</v>
          </cell>
          <cell r="I5">
            <v>752.55</v>
          </cell>
        </row>
        <row r="6">
          <cell r="E6" t="str">
            <v>CAMPINAS</v>
          </cell>
          <cell r="F6">
            <v>48598.409999999989</v>
          </cell>
          <cell r="H6" t="str">
            <v>INDAIATUBA</v>
          </cell>
          <cell r="I6">
            <v>240</v>
          </cell>
          <cell r="K6" t="str">
            <v>Contagem Distinta de COD_CLIENTE</v>
          </cell>
        </row>
        <row r="7">
          <cell r="E7" t="str">
            <v>CENTRO</v>
          </cell>
          <cell r="F7">
            <v>282524.3799999996</v>
          </cell>
          <cell r="H7" t="str">
            <v>INTERLAGOS</v>
          </cell>
          <cell r="I7">
            <v>2645.5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1237.53</v>
          </cell>
          <cell r="H8" t="str">
            <v>JUNDIAI</v>
          </cell>
          <cell r="I8">
            <v>1548.7300000000005</v>
          </cell>
          <cell r="K8" t="str">
            <v>CAMPINAS</v>
          </cell>
          <cell r="N8">
            <v>30</v>
          </cell>
        </row>
        <row r="9">
          <cell r="E9" t="str">
            <v>INDAIATUBA</v>
          </cell>
          <cell r="F9">
            <v>73199.349999999933</v>
          </cell>
          <cell r="H9" t="str">
            <v>LESTE</v>
          </cell>
          <cell r="I9">
            <v>1183.5999999999999</v>
          </cell>
          <cell r="K9" t="str">
            <v>CENTRO</v>
          </cell>
          <cell r="N9">
            <v>40</v>
          </cell>
        </row>
        <row r="10">
          <cell r="E10" t="str">
            <v>INTERLAGOS</v>
          </cell>
          <cell r="F10">
            <v>213597.68999999962</v>
          </cell>
          <cell r="H10" t="str">
            <v>LESTE MOOCA</v>
          </cell>
          <cell r="I10">
            <v>1717.2</v>
          </cell>
          <cell r="K10" t="str">
            <v>INDAIATUBA</v>
          </cell>
          <cell r="N10">
            <v>40</v>
          </cell>
        </row>
        <row r="11">
          <cell r="E11" t="str">
            <v>JUNDIAI</v>
          </cell>
          <cell r="F11">
            <v>58712.540000000045</v>
          </cell>
          <cell r="H11" t="str">
            <v>LESTE PENHA</v>
          </cell>
          <cell r="I11">
            <v>307.35000000000002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237391.93</v>
          </cell>
          <cell r="H12" t="str">
            <v>MOGI</v>
          </cell>
          <cell r="I12">
            <v>334.09999999999997</v>
          </cell>
          <cell r="K12" t="str">
            <v>JUNDIAI</v>
          </cell>
          <cell r="N12">
            <v>29</v>
          </cell>
        </row>
        <row r="13">
          <cell r="E13" t="str">
            <v>KEY CASA</v>
          </cell>
          <cell r="F13">
            <v>165508.78999999998</v>
          </cell>
          <cell r="H13" t="str">
            <v>SJC</v>
          </cell>
          <cell r="I13">
            <v>292.39999999999998</v>
          </cell>
          <cell r="K13" t="str">
            <v>LESTE</v>
          </cell>
          <cell r="N13">
            <v>37</v>
          </cell>
        </row>
        <row r="14">
          <cell r="E14" t="str">
            <v>KEY INTERIOR</v>
          </cell>
          <cell r="F14">
            <v>769210.07999999984</v>
          </cell>
          <cell r="H14" t="str">
            <v>Total Geral</v>
          </cell>
          <cell r="I14">
            <v>9021.4300000000021</v>
          </cell>
          <cell r="K14" t="str">
            <v>LESTE MOOCA</v>
          </cell>
          <cell r="N14">
            <v>42</v>
          </cell>
        </row>
        <row r="15">
          <cell r="E15" t="str">
            <v>KEY SJC</v>
          </cell>
          <cell r="F15">
            <v>85412.150000000009</v>
          </cell>
          <cell r="K15" t="str">
            <v>LESTE PENHA</v>
          </cell>
          <cell r="N15">
            <v>37</v>
          </cell>
        </row>
        <row r="16">
          <cell r="E16" t="str">
            <v>KEY SP</v>
          </cell>
          <cell r="F16">
            <v>508154.89000000031</v>
          </cell>
          <cell r="K16" t="str">
            <v>LESTE TATUAPE</v>
          </cell>
          <cell r="N16">
            <v>44</v>
          </cell>
        </row>
        <row r="17">
          <cell r="E17" t="str">
            <v>KEY ZL</v>
          </cell>
          <cell r="F17">
            <v>382790.12000000034</v>
          </cell>
          <cell r="K17" t="str">
            <v>MOGI</v>
          </cell>
          <cell r="N17">
            <v>34</v>
          </cell>
        </row>
        <row r="18">
          <cell r="E18" t="str">
            <v>LESTE</v>
          </cell>
          <cell r="F18">
            <v>107575.9399999999</v>
          </cell>
          <cell r="K18" t="str">
            <v>NORTE</v>
          </cell>
          <cell r="N18">
            <v>44</v>
          </cell>
        </row>
        <row r="19">
          <cell r="E19" t="str">
            <v>LESTE MOOCA</v>
          </cell>
          <cell r="F19">
            <v>171145.19999999978</v>
          </cell>
          <cell r="K19" t="str">
            <v>OSASCO</v>
          </cell>
          <cell r="N19">
            <v>71</v>
          </cell>
        </row>
        <row r="20">
          <cell r="E20" t="str">
            <v>LESTE PENHA</v>
          </cell>
          <cell r="F20">
            <v>111079.34999999993</v>
          </cell>
          <cell r="K20" t="str">
            <v>PIRITUBA</v>
          </cell>
          <cell r="N20">
            <v>35</v>
          </cell>
        </row>
        <row r="21">
          <cell r="E21" t="str">
            <v>LESTE TATUAPE</v>
          </cell>
          <cell r="F21">
            <v>105123.02999999966</v>
          </cell>
          <cell r="K21" t="str">
            <v>SANTO ANDRE</v>
          </cell>
          <cell r="N21">
            <v>31</v>
          </cell>
        </row>
        <row r="22">
          <cell r="E22" t="str">
            <v>MOGI</v>
          </cell>
          <cell r="F22">
            <v>52259.480000000083</v>
          </cell>
          <cell r="K22" t="str">
            <v>SBC</v>
          </cell>
          <cell r="N22">
            <v>43</v>
          </cell>
        </row>
        <row r="23">
          <cell r="E23" t="str">
            <v>NORTE</v>
          </cell>
          <cell r="F23">
            <v>194895.83999999933</v>
          </cell>
          <cell r="K23" t="str">
            <v>SJC</v>
          </cell>
          <cell r="N23">
            <v>30</v>
          </cell>
        </row>
        <row r="24">
          <cell r="E24" t="str">
            <v>OSASCO</v>
          </cell>
          <cell r="F24">
            <v>276074.34999999998</v>
          </cell>
          <cell r="K24" t="str">
            <v>SJC/VALE</v>
          </cell>
          <cell r="N24">
            <v>34</v>
          </cell>
        </row>
        <row r="25">
          <cell r="E25" t="str">
            <v>PIRACICABA</v>
          </cell>
          <cell r="F25">
            <v>155370.25999999998</v>
          </cell>
          <cell r="K25" t="str">
            <v>Total Geral</v>
          </cell>
          <cell r="N25">
            <v>675</v>
          </cell>
        </row>
        <row r="26">
          <cell r="E26" t="str">
            <v>PIRITUBA</v>
          </cell>
          <cell r="F26">
            <v>114539.58999999982</v>
          </cell>
        </row>
        <row r="27">
          <cell r="E27" t="str">
            <v>SANTO ANDRE</v>
          </cell>
          <cell r="F27">
            <v>137860.06999999989</v>
          </cell>
        </row>
        <row r="28">
          <cell r="E28" t="str">
            <v>SBC</v>
          </cell>
          <cell r="F28">
            <v>238192.00999999966</v>
          </cell>
        </row>
        <row r="29">
          <cell r="E29" t="str">
            <v>SJC</v>
          </cell>
          <cell r="F29">
            <v>68014.250000000044</v>
          </cell>
        </row>
        <row r="30">
          <cell r="E30" t="str">
            <v>SJC/VALE</v>
          </cell>
          <cell r="F30">
            <v>42026.570000000065</v>
          </cell>
        </row>
        <row r="31">
          <cell r="E31" t="str">
            <v>VENDEDOR INTERNO 1</v>
          </cell>
          <cell r="F31">
            <v>64480.80999999999</v>
          </cell>
        </row>
        <row r="32">
          <cell r="E32" t="str">
            <v>Total Geral</v>
          </cell>
          <cell r="F32">
            <v>4664974.6099999472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49116.749999999964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topLeftCell="G1" zoomScale="85" zoomScaleNormal="85" workbookViewId="0">
      <selection activeCell="J17" sqref="J1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150020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4664974.6099999975</v>
      </c>
      <c r="D5" s="2"/>
      <c r="E5" s="4"/>
      <c r="F5" s="4"/>
      <c r="G5" s="4"/>
      <c r="H5" s="4" t="s">
        <v>1</v>
      </c>
      <c r="I5" s="7">
        <f>SUM(J10:J27)</f>
        <v>9021.43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675</v>
      </c>
      <c r="V5" s="4"/>
      <c r="W5" s="4"/>
    </row>
    <row r="6" spans="1:23" x14ac:dyDescent="0.25">
      <c r="A6" s="4"/>
      <c r="B6" s="4" t="s">
        <v>2</v>
      </c>
      <c r="C6" s="2">
        <f>C4-C5</f>
        <v>842025.39000000246</v>
      </c>
      <c r="D6" s="2"/>
      <c r="E6" s="4"/>
      <c r="F6" s="4"/>
      <c r="G6" s="4"/>
      <c r="H6" s="4" t="s">
        <v>2</v>
      </c>
      <c r="I6" s="7">
        <f>I4-I5</f>
        <v>140998.57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31</v>
      </c>
      <c r="V6" s="4"/>
      <c r="W6" s="4"/>
    </row>
    <row r="7" spans="1:23" x14ac:dyDescent="0.25">
      <c r="A7" s="4"/>
      <c r="B7" s="4" t="s">
        <v>3</v>
      </c>
      <c r="C7" s="3">
        <f>C5/C4</f>
        <v>0.8470990757218082</v>
      </c>
      <c r="D7" s="2"/>
      <c r="E7" s="4"/>
      <c r="F7" s="4"/>
      <c r="G7" s="4"/>
      <c r="H7" s="4" t="s">
        <v>3</v>
      </c>
      <c r="I7" s="3">
        <f>I5/I4</f>
        <v>6.0134848686841755E-2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0.9560906515580736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48598.409999999989</v>
      </c>
      <c r="E10" s="7">
        <f>C10-D10</f>
        <v>15901.590000000011</v>
      </c>
      <c r="F10" s="4"/>
      <c r="G10" s="4" t="s">
        <v>18</v>
      </c>
      <c r="H10" s="4" t="s">
        <v>18</v>
      </c>
      <c r="I10" s="2">
        <f>_xlfn.XLOOKUP(G10,[1]!Tabela1[VENDEDOR],[1]!Tabela1[VALOR])</f>
        <v>14620</v>
      </c>
      <c r="J10" s="2">
        <f>IFERROR(_xlfn.XLOOKUP(G10,'[1]BASE PYTHON'!$H:$H,'[1]BASE PYTHON'!$I:$I),0)</f>
        <v>0</v>
      </c>
      <c r="K10" s="7">
        <f>I10-J10</f>
        <v>14620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30</v>
      </c>
      <c r="W10" s="4">
        <f>U10-V10</f>
        <v>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282524.3799999996</v>
      </c>
      <c r="E11" s="7">
        <f t="shared" ref="E11:E35" si="0">C11-D11</f>
        <v>37475.620000000403</v>
      </c>
      <c r="F11" s="4"/>
      <c r="G11" s="4" t="s">
        <v>17</v>
      </c>
      <c r="H11" s="4" t="s">
        <v>17</v>
      </c>
      <c r="I11" s="2">
        <f>_xlfn.XLOOKUP(G11,[1]!Tabela1[VENDEDOR],[1]!Tabela1[VALOR])</f>
        <v>17000</v>
      </c>
      <c r="J11" s="2">
        <f>IFERROR(_xlfn.XLOOKUP(G11,'[1]BASE PYTHON'!$H:$H,'[1]BASE PYTHON'!$I:$I),0)</f>
        <v>0</v>
      </c>
      <c r="K11" s="7">
        <f t="shared" ref="K11:K27" si="1">I11-J11</f>
        <v>17000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40</v>
      </c>
      <c r="W11" s="4">
        <f t="shared" ref="W11:W26" si="3">U11-V11</f>
        <v>12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5790</v>
      </c>
      <c r="J12" s="2">
        <f>IFERROR(_xlfn.XLOOKUP(G12,'[1]BASE PYTHON'!$H:$H,'[1]BASE PYTHON'!$I:$I),0)</f>
        <v>0</v>
      </c>
      <c r="K12" s="7">
        <f t="shared" si="1"/>
        <v>5790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40</v>
      </c>
      <c r="W12" s="4">
        <f t="shared" si="3"/>
        <v>-3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73199.349999999933</v>
      </c>
      <c r="E13" s="7">
        <f t="shared" si="0"/>
        <v>15800.650000000067</v>
      </c>
      <c r="F13" s="4"/>
      <c r="G13" s="4" t="s">
        <v>21</v>
      </c>
      <c r="H13" s="4" t="s">
        <v>21</v>
      </c>
      <c r="I13" s="2">
        <f>_xlfn.XLOOKUP(G13,[1]!Tabela1[VENDEDOR],[1]!Tabela1[VALOR])</f>
        <v>13850</v>
      </c>
      <c r="J13" s="2">
        <f>IFERROR(_xlfn.XLOOKUP(G13,'[1]BASE PYTHON'!$H:$H,'[1]BASE PYTHON'!$I:$I),0)</f>
        <v>0</v>
      </c>
      <c r="K13" s="7">
        <f t="shared" si="1"/>
        <v>13850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54</v>
      </c>
      <c r="W13" s="4">
        <f t="shared" si="3"/>
        <v>1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213597.68999999962</v>
      </c>
      <c r="E14" s="7">
        <f t="shared" si="0"/>
        <v>56402.310000000376</v>
      </c>
      <c r="F14" s="4"/>
      <c r="G14" s="4" t="s">
        <v>15</v>
      </c>
      <c r="H14" s="4" t="s">
        <v>43</v>
      </c>
      <c r="I14" s="2">
        <f>_xlfn.XLOOKUP(G14,[1]!Tabela1[VENDEDOR],[1]!Tabela1[VALOR])</f>
        <v>7690</v>
      </c>
      <c r="J14" s="2">
        <f>IFERROR(_xlfn.XLOOKUP(G14,'[1]BASE PYTHON'!$H:$H,'[1]BASE PYTHON'!$I:$I),0)</f>
        <v>0</v>
      </c>
      <c r="K14" s="7">
        <f t="shared" si="1"/>
        <v>7690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29</v>
      </c>
      <c r="W14" s="4">
        <f>U14-V14</f>
        <v>-6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58712.540000000045</v>
      </c>
      <c r="E15" s="7">
        <f t="shared" si="0"/>
        <v>18287.459999999955</v>
      </c>
      <c r="F15" s="4"/>
      <c r="G15" s="4" t="s">
        <v>8</v>
      </c>
      <c r="H15" s="4" t="s">
        <v>8</v>
      </c>
      <c r="I15" s="2">
        <f>_xlfn.XLOOKUP(G15,[1]!Tabela1[VENDEDOR],[1]!Tabela1[VALOR])</f>
        <v>18000</v>
      </c>
      <c r="J15" s="2">
        <f>IFERROR(_xlfn.XLOOKUP(G15,'[1]BASE PYTHON'!$H:$H,'[1]BASE PYTHON'!$I:$I),0)</f>
        <v>752.55</v>
      </c>
      <c r="K15" s="7">
        <f t="shared" si="1"/>
        <v>17247.45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37</v>
      </c>
      <c r="W15" s="4">
        <f t="shared" si="3"/>
        <v>7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237391.93</v>
      </c>
      <c r="E16" s="7">
        <f t="shared" si="0"/>
        <v>87608.07</v>
      </c>
      <c r="F16" s="4"/>
      <c r="G16" s="4" t="s">
        <v>20</v>
      </c>
      <c r="H16" s="4" t="s">
        <v>20</v>
      </c>
      <c r="I16" s="2">
        <f>_xlfn.XLOOKUP(G16,[1]!Tabela1[VENDEDOR],[1]!Tabela1[VALOR])</f>
        <v>7290</v>
      </c>
      <c r="J16" s="2">
        <f>IFERROR(_xlfn.XLOOKUP(G16,'[1]BASE PYTHON'!$H:$H,'[1]BASE PYTHON'!$I:$I),0)</f>
        <v>0</v>
      </c>
      <c r="K16" s="7">
        <f t="shared" si="1"/>
        <v>7290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34</v>
      </c>
      <c r="W16" s="4">
        <f t="shared" si="3"/>
        <v>1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165508.78999999998</v>
      </c>
      <c r="E17" s="7">
        <f t="shared" si="0"/>
        <v>-5508.789999999979</v>
      </c>
      <c r="F17" s="4"/>
      <c r="G17" s="4" t="s">
        <v>16</v>
      </c>
      <c r="H17" s="4" t="s">
        <v>16</v>
      </c>
      <c r="I17" s="2">
        <f>_xlfn.XLOOKUP(G17,[1]!Tabela1[VENDEDOR],[1]!Tabela1[VALOR])</f>
        <v>5920</v>
      </c>
      <c r="J17" s="2">
        <f>IFERROR(_xlfn.XLOOKUP(G17,'[1]BASE PYTHON'!$H:$H,'[1]BASE PYTHON'!$I:$I),0)</f>
        <v>334.09999999999997</v>
      </c>
      <c r="K17" s="7">
        <f t="shared" si="1"/>
        <v>5585.9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49116.749999999964</v>
      </c>
      <c r="Q17" s="2">
        <f t="shared" si="2"/>
        <v>-49116.749999999964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42</v>
      </c>
      <c r="W17" s="4">
        <f t="shared" si="3"/>
        <v>3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769210.07999999984</v>
      </c>
      <c r="E18" s="7">
        <f t="shared" si="0"/>
        <v>180789.92000000016</v>
      </c>
      <c r="F18" s="4"/>
      <c r="G18" s="4" t="s">
        <v>12</v>
      </c>
      <c r="H18" s="4" t="s">
        <v>12</v>
      </c>
      <c r="I18" s="2">
        <f>_xlfn.XLOOKUP(G18,[1]!Tabela1[VENDEDOR],[1]!Tabela1[VALOR])</f>
        <v>6690</v>
      </c>
      <c r="J18" s="2">
        <f>IFERROR(_xlfn.XLOOKUP(G18,'[1]BASE PYTHON'!$H:$H,'[1]BASE PYTHON'!$I:$I),0)</f>
        <v>1183.5999999999999</v>
      </c>
      <c r="K18" s="7">
        <f t="shared" si="1"/>
        <v>5506.4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44</v>
      </c>
      <c r="W18" s="4">
        <f t="shared" si="3"/>
        <v>-3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85412.150000000009</v>
      </c>
      <c r="E19" s="7">
        <f t="shared" si="0"/>
        <v>39587.849999999991</v>
      </c>
      <c r="F19" s="4"/>
      <c r="G19" s="4" t="s">
        <v>13</v>
      </c>
      <c r="H19" s="4" t="s">
        <v>41</v>
      </c>
      <c r="I19" s="2">
        <f>_xlfn.XLOOKUP(G19,[1]!Tabela1[VENDEDOR],[1]!Tabela1[VALOR])</f>
        <v>11000</v>
      </c>
      <c r="J19" s="2">
        <f>IFERROR(_xlfn.XLOOKUP(G19,'[1]BASE PYTHON'!$H:$H,'[1]BASE PYTHON'!$I:$I),0)</f>
        <v>1717.2</v>
      </c>
      <c r="K19" s="7">
        <f t="shared" si="1"/>
        <v>9282.7999999999993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71</v>
      </c>
      <c r="W19" s="4">
        <f t="shared" si="3"/>
        <v>-14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508154.89000000031</v>
      </c>
      <c r="E20" s="7">
        <f t="shared" si="0"/>
        <v>31845.109999999695</v>
      </c>
      <c r="F20" s="4"/>
      <c r="G20" s="4" t="s">
        <v>10</v>
      </c>
      <c r="H20" s="4" t="s">
        <v>10</v>
      </c>
      <c r="I20" s="2">
        <f>_xlfn.XLOOKUP(G20,[1]!Tabela1[VENDEDOR],[1]!Tabela1[VALOR])</f>
        <v>14860</v>
      </c>
      <c r="J20" s="2">
        <f>IFERROR(_xlfn.XLOOKUP(G20,'[1]BASE PYTHON'!$H:$H,'[1]BASE PYTHON'!$I:$I),0)</f>
        <v>2645.5</v>
      </c>
      <c r="K20" s="7">
        <f t="shared" si="1"/>
        <v>12214.5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656771.87000000034</v>
      </c>
      <c r="Q20" s="7">
        <f>O20-P20</f>
        <v>-656771.87000000034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37</v>
      </c>
      <c r="W20" s="4">
        <f t="shared" si="3"/>
        <v>-2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382790.12000000034</v>
      </c>
      <c r="E21" s="7">
        <f t="shared" si="0"/>
        <v>27209.879999999655</v>
      </c>
      <c r="F21" s="4"/>
      <c r="G21" s="4" t="s">
        <v>11</v>
      </c>
      <c r="H21" s="4" t="s">
        <v>11</v>
      </c>
      <c r="I21" s="2">
        <f>_xlfn.XLOOKUP(G21,[1]!Tabela1[VENDEDOR],[1]!Tabela1[VALOR])</f>
        <v>3710</v>
      </c>
      <c r="J21" s="2">
        <f>IFERROR(_xlfn.XLOOKUP(G21,'[1]BASE PYTHON'!$H:$H,'[1]BASE PYTHON'!$I:$I),0)</f>
        <v>1548.7300000000005</v>
      </c>
      <c r="K21" s="7">
        <f t="shared" si="1"/>
        <v>2161.2699999999995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632364.50999999989</v>
      </c>
      <c r="Q21" s="7">
        <f>O21-P21</f>
        <v>-632364.50999999989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35</v>
      </c>
      <c r="W21" s="4">
        <f t="shared" si="3"/>
        <v>5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107575.9399999999</v>
      </c>
      <c r="E22" s="7">
        <f t="shared" si="0"/>
        <v>11924.0600000001</v>
      </c>
      <c r="F22" s="4"/>
      <c r="G22" s="4" t="s">
        <v>14</v>
      </c>
      <c r="H22" s="4" t="s">
        <v>14</v>
      </c>
      <c r="I22" s="2">
        <f>_xlfn.XLOOKUP(G22,[1]!Tabela1[VENDEDOR],[1]!Tabela1[VALOR])</f>
        <v>5520</v>
      </c>
      <c r="J22" s="2">
        <f>IFERROR(_xlfn.XLOOKUP(G22,'[1]BASE PYTHON'!$H:$H,'[1]BASE PYTHON'!$I:$I),0)</f>
        <v>307.35000000000002</v>
      </c>
      <c r="K22" s="7">
        <f t="shared" si="1"/>
        <v>5212.6499999999996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519190.63999999978</v>
      </c>
      <c r="Q22" s="7">
        <f>O22-P22</f>
        <v>-519190.63999999978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31</v>
      </c>
      <c r="W22" s="4">
        <f t="shared" si="3"/>
        <v>9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171145.19999999978</v>
      </c>
      <c r="E23" s="7">
        <f t="shared" si="0"/>
        <v>18854.800000000221</v>
      </c>
      <c r="F23" s="4"/>
      <c r="G23" s="4" t="s">
        <v>9</v>
      </c>
      <c r="H23" s="4" t="s">
        <v>9</v>
      </c>
      <c r="I23" s="2">
        <f>_xlfn.XLOOKUP(G23,[1]!Tabela1[VENDEDOR],[1]!Tabela1[VALOR])</f>
        <v>4990</v>
      </c>
      <c r="J23" s="2">
        <f>IFERROR(_xlfn.XLOOKUP(G23,'[1]BASE PYTHON'!$H:$H,'[1]BASE PYTHON'!$I:$I),0)</f>
        <v>240</v>
      </c>
      <c r="K23" s="7">
        <f t="shared" si="1"/>
        <v>4750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0</v>
      </c>
      <c r="Q23" s="7">
        <f>O23-P23</f>
        <v>0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43</v>
      </c>
      <c r="W23" s="4">
        <f t="shared" si="3"/>
        <v>12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111079.34999999993</v>
      </c>
      <c r="E24" s="7">
        <f t="shared" si="0"/>
        <v>28920.650000000067</v>
      </c>
      <c r="F24" s="4"/>
      <c r="G24" s="4" t="s">
        <v>24</v>
      </c>
      <c r="H24" s="4" t="s">
        <v>45</v>
      </c>
      <c r="I24" s="2">
        <f>_xlfn.XLOOKUP(G24,[1]!Tabela1[VENDEDOR],[1]!Tabela1[VALOR])</f>
        <v>3800</v>
      </c>
      <c r="J24" s="2">
        <f>IFERROR(_xlfn.XLOOKUP(G24,'[1]BASE PYTHON'!$H:$H,'[1]BASE PYTHON'!$I:$I),0)</f>
        <v>0</v>
      </c>
      <c r="K24" s="7">
        <f t="shared" si="1"/>
        <v>3800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30</v>
      </c>
      <c r="W24" s="4">
        <f t="shared" si="3"/>
        <v>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105123.02999999966</v>
      </c>
      <c r="E25" s="7">
        <f t="shared" si="0"/>
        <v>34876.970000000336</v>
      </c>
      <c r="F25" s="4"/>
      <c r="G25" s="4" t="s">
        <v>22</v>
      </c>
      <c r="H25" s="4" t="s">
        <v>22</v>
      </c>
      <c r="I25" s="2">
        <f>_xlfn.XLOOKUP(G25,[1]!Tabela1[VENDEDOR],[1]!Tabela1[VALOR])</f>
        <v>2900</v>
      </c>
      <c r="J25" s="2">
        <f>IFERROR(_xlfn.XLOOKUP(G25,'[1]BASE PYTHON'!$H:$H,'[1]BASE PYTHON'!$I:$I),0)</f>
        <v>292.39999999999998</v>
      </c>
      <c r="K25" s="7">
        <f t="shared" si="1"/>
        <v>2607.6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44</v>
      </c>
      <c r="W25" s="4">
        <f t="shared" si="3"/>
        <v>3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52259.480000000083</v>
      </c>
      <c r="E26" s="7">
        <f t="shared" si="0"/>
        <v>37740.519999999917</v>
      </c>
      <c r="F26" s="4"/>
      <c r="G26" s="4" t="s">
        <v>23</v>
      </c>
      <c r="H26" s="4" t="s">
        <v>44</v>
      </c>
      <c r="I26" s="2">
        <f>_xlfn.XLOOKUP(G26,[1]!Tabela1[VENDEDOR],[1]!Tabela1[VALOR])</f>
        <v>3530</v>
      </c>
      <c r="J26" s="2">
        <f>IFERROR(_xlfn.XLOOKUP(G26,'[1]BASE PYTHON'!$H:$H,'[1]BASE PYTHON'!$I:$I),0)</f>
        <v>0</v>
      </c>
      <c r="K26" s="7">
        <f t="shared" si="1"/>
        <v>3530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34</v>
      </c>
      <c r="W26" s="4">
        <f t="shared" si="3"/>
        <v>-3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194895.83999999933</v>
      </c>
      <c r="E27" s="7">
        <f t="shared" si="0"/>
        <v>40104.160000000673</v>
      </c>
      <c r="F27" s="4"/>
      <c r="G27" s="4" t="s">
        <v>7</v>
      </c>
      <c r="H27" s="4" t="s">
        <v>7</v>
      </c>
      <c r="I27" s="2">
        <f>_xlfn.XLOOKUP(G27,[1]!Tabela1[VENDEDOR],[1]!Tabela1[VALOR])</f>
        <v>2860</v>
      </c>
      <c r="J27" s="2">
        <f>IFERROR(_xlfn.XLOOKUP(G27,'[1]BASE PYTHON'!$H:$H,'[1]BASE PYTHON'!$I:$I),0)</f>
        <v>0</v>
      </c>
      <c r="K27" s="7">
        <f t="shared" si="1"/>
        <v>2860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276074.34999999998</v>
      </c>
      <c r="E28" s="7">
        <f t="shared" si="0"/>
        <v>38925.650000000023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155370.25999999998</v>
      </c>
      <c r="E29" s="7">
        <f t="shared" si="0"/>
        <v>11629.74000000002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287</v>
      </c>
      <c r="W29" s="6">
        <f>U29-V29</f>
        <v>-102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114539.58999999982</v>
      </c>
      <c r="E30" s="7">
        <f t="shared" si="0"/>
        <v>17460.410000000178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664009.24500000395</v>
      </c>
      <c r="K30" s="7">
        <f>I30-J30</f>
        <v>35990.754999996047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137860.06999999989</v>
      </c>
      <c r="E31" s="7">
        <f t="shared" si="0"/>
        <v>29139.930000000109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657515.23500000301</v>
      </c>
      <c r="K31" s="7">
        <f t="shared" ref="K31:K33" si="4">I31-J31</f>
        <v>42484.764999996987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191</v>
      </c>
      <c r="W31" s="6">
        <f>U31-V31</f>
        <v>-6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238192.00999999966</v>
      </c>
      <c r="E32" s="7">
        <f t="shared" si="0"/>
        <v>16807.99000000034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469732.35000000277</v>
      </c>
      <c r="K32" s="7">
        <f t="shared" si="4"/>
        <v>230267.64999999723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0</v>
      </c>
      <c r="W32" s="6">
        <f t="shared" ref="W32" si="5">U32-V32</f>
        <v>185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68014.250000000044</v>
      </c>
      <c r="E33" s="7">
        <f t="shared" si="0"/>
        <v>31985.749999999956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0</v>
      </c>
      <c r="K33" s="7">
        <f t="shared" si="4"/>
        <v>700000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42026.570000000065</v>
      </c>
      <c r="E34" s="7">
        <f t="shared" si="0"/>
        <v>12973.429999999935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64480.80999999999</v>
      </c>
      <c r="E35" s="7">
        <f t="shared" si="0"/>
        <v>5519.1900000000096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1321237.5949999935</v>
      </c>
      <c r="E38" s="7">
        <f>C38-D38</f>
        <v>56262.405000006547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1290113.2949999932</v>
      </c>
      <c r="E39" s="7">
        <f t="shared" ref="E39:E41" si="6">C39-D39</f>
        <v>87386.705000006827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989320.25000000081</v>
      </c>
      <c r="E40" s="7">
        <f t="shared" si="6"/>
        <v>388179.74999999919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0</v>
      </c>
      <c r="E41" s="7">
        <f t="shared" si="6"/>
        <v>1377500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2026-06-25T11:36:33Z</dcterms:modified>
</cp:coreProperties>
</file>