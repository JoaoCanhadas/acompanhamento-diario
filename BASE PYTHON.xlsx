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EED3CD9-44A0-4DD8-87F3-A4DF3F5AA24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2" l="1"/>
  <c r="C34" i="2"/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15" i="2"/>
  <c r="P22" i="2"/>
  <c r="P13" i="2"/>
  <c r="P24" i="2"/>
  <c r="V32" i="2"/>
  <c r="P23" i="2"/>
  <c r="V31" i="2"/>
  <c r="P25" i="2"/>
  <c r="P17" i="2"/>
  <c r="P21" i="2"/>
  <c r="V34" i="2"/>
  <c r="P16" i="2"/>
  <c r="P14" i="2"/>
  <c r="V30" i="2"/>
  <c r="P12" i="2"/>
  <c r="V33" i="2"/>
  <c r="P11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5" i="2"/>
  <c r="J32" i="2"/>
  <c r="D42" i="2"/>
  <c r="J33" i="2"/>
  <c r="D41" i="2"/>
  <c r="D43" i="2"/>
  <c r="J34" i="2"/>
  <c r="J35" i="2"/>
  <c r="D44" i="2"/>
  <c r="J31" i="2"/>
  <c r="D40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<sst xmlns="http://schemas.openxmlformats.org/spreadsheetml/2006/main" count="215" uniqueCount="54">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</sst>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55839.149999999972</v>
          </cell>
        </row>
        <row r="6">
          <cell r="E6" t="str">
            <v>CENTRO</v>
          </cell>
          <cell r="F6">
            <v>330928.31000000017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</row>
        <row r="8">
          <cell r="E8" t="str">
            <v>IATAGAM JUNIOR</v>
          </cell>
          <cell r="F8">
            <v>217.49</v>
          </cell>
          <cell r="K8" t="str">
            <v>CAMPINAS</v>
          </cell>
        </row>
        <row r="9">
          <cell r="E9" t="str">
            <v>INDAIATUBA</v>
          </cell>
          <cell r="F9">
            <v>73632.500000000015</v>
          </cell>
          <cell r="K9" t="str">
            <v>CENTRO</v>
          </cell>
        </row>
        <row r="10">
          <cell r="E10" t="str">
            <v>INTERLAGOS</v>
          </cell>
          <cell r="F10">
            <v>225968.95999999985</v>
          </cell>
          <cell r="K10" t="str">
            <v>INDAIATUBA</v>
          </cell>
        </row>
        <row r="11">
          <cell r="E11" t="str">
            <v>JUNDIAI</v>
          </cell>
          <cell r="F11">
            <v>70056.52</v>
          </cell>
          <cell r="K11" t="str">
            <v>INTERLAGOS</v>
          </cell>
        </row>
        <row r="12">
          <cell r="E12" t="str">
            <v>KEY ABC</v>
          </cell>
          <cell r="F12">
            <v>299175.37</v>
          </cell>
          <cell r="K12" t="str">
            <v>JUNDIAI</v>
          </cell>
        </row>
        <row r="13">
          <cell r="E13" t="str">
            <v>KEY CASA</v>
          </cell>
          <cell r="F13">
            <v>301418.32</v>
          </cell>
          <cell r="K13" t="str">
            <v>LESTE</v>
          </cell>
        </row>
        <row r="14">
          <cell r="E14" t="str">
            <v>KEY INTERIOR</v>
          </cell>
          <cell r="F14">
            <v>1027556.8</v>
          </cell>
          <cell r="K14" t="str">
            <v>LESTE MOOCA</v>
          </cell>
        </row>
        <row r="15">
          <cell r="E15" t="str">
            <v>KEY PIRACICABA</v>
          </cell>
          <cell r="F15">
            <v>109098.67999999996</v>
          </cell>
          <cell r="K15" t="str">
            <v>LESTE PENHA</v>
          </cell>
        </row>
        <row r="16">
          <cell r="E16" t="str">
            <v>KEY SJC</v>
          </cell>
          <cell r="F16">
            <v>129806.10000000006</v>
          </cell>
          <cell r="K16" t="str">
            <v>LESTE TATUAPE</v>
          </cell>
        </row>
        <row r="17">
          <cell r="E17" t="str">
            <v>KEY SP</v>
          </cell>
          <cell r="F17">
            <v>384349.33</v>
          </cell>
          <cell r="K17" t="str">
            <v>MOGI</v>
          </cell>
        </row>
        <row r="18">
          <cell r="E18" t="str">
            <v>KEY ZL</v>
          </cell>
          <cell r="F18">
            <v>374414.24999999988</v>
          </cell>
          <cell r="K18" t="str">
            <v>NORTE</v>
          </cell>
        </row>
        <row r="19">
          <cell r="E19" t="str">
            <v>LESTE</v>
          </cell>
          <cell r="F19">
            <v>92818.459999999919</v>
          </cell>
          <cell r="K19" t="str">
            <v>OSASCO</v>
          </cell>
        </row>
        <row r="20">
          <cell r="E20" t="str">
            <v>LESTE MOOCA</v>
          </cell>
          <cell r="F20">
            <v>175604.2149999993</v>
          </cell>
          <cell r="K20" t="str">
            <v>PIRITUBA</v>
          </cell>
        </row>
        <row r="21">
          <cell r="E21" t="str">
            <v>LESTE PENHA</v>
          </cell>
          <cell r="F21">
            <v>124011.38999999997</v>
          </cell>
          <cell r="K21" t="str">
            <v>SANTO ANDRE</v>
          </cell>
        </row>
        <row r="22">
          <cell r="E22" t="str">
            <v>LESTE TATUAPE</v>
          </cell>
          <cell r="F22">
            <v>129968.94999999966</v>
          </cell>
          <cell r="K22" t="str">
            <v>SBC</v>
          </cell>
        </row>
        <row r="23">
          <cell r="E23" t="str">
            <v>MOGI</v>
          </cell>
          <cell r="F23">
            <v>66512.950000000186</v>
          </cell>
          <cell r="K23" t="str">
            <v>SJC</v>
          </cell>
        </row>
        <row r="24">
          <cell r="E24" t="str">
            <v>NORTE</v>
          </cell>
          <cell r="F24">
            <v>219827.98999999929</v>
          </cell>
          <cell r="K24" t="str">
            <v>SJC/VALE</v>
          </cell>
        </row>
        <row r="25">
          <cell r="E25" t="str">
            <v>OSASCO</v>
          </cell>
          <cell r="F25">
            <v>304439.95499999961</v>
          </cell>
          <cell r="K25" t="str">
            <v>Total Geral</v>
          </cell>
        </row>
        <row r="26">
          <cell r="E26" t="str">
            <v>PIRITUBA</v>
          </cell>
          <cell r="F26">
            <v>120233.9599999998</v>
          </cell>
        </row>
        <row r="27">
          <cell r="E27" t="str">
            <v>SANTO ANDRE</v>
          </cell>
          <cell r="F27">
            <v>150262.05999999997</v>
          </cell>
        </row>
        <row r="28">
          <cell r="E28" t="str">
            <v>SBC</v>
          </cell>
          <cell r="F28">
            <v>238941.18999999983</v>
          </cell>
        </row>
        <row r="29">
          <cell r="E29" t="str">
            <v>SJC</v>
          </cell>
          <cell r="F29">
            <v>77098.040000000081</v>
          </cell>
        </row>
        <row r="30">
          <cell r="E30" t="str">
            <v>SJC/VALE</v>
          </cell>
          <cell r="F30">
            <v>42977.810000000041</v>
          </cell>
        </row>
        <row r="31">
          <cell r="E31" t="str">
            <v>VENDEDOR INTERNO 1</v>
          </cell>
          <cell r="F31">
            <v>68398.600000000006</v>
          </cell>
        </row>
        <row r="32">
          <cell r="E32" t="str">
            <v>Total Geral</v>
          </cell>
          <cell r="F32">
            <v>5194640.1799999233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35000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4">
          <cell r="E94">
            <v>623800</v>
          </cell>
          <cell r="F94">
            <v>643500</v>
          </cell>
        </row>
        <row r="99">
          <cell r="E99" t="str">
            <v>CANAL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VAREJO</v>
          </cell>
        </row>
        <row r="118">
          <cell r="E118" t="str">
            <v>ECOMMERCE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  <row r="125">
          <cell r="E125" t="str">
            <v>KEY ACCOUNT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="60" zoomScaleNormal="60" workbookViewId="0">
      <selection activeCell="S10" sqref="S10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120000</v>
      </c>
      <c r="J4" s="4"/>
      <c r="K4" s="4"/>
      <c r="L4" s="4"/>
      <c r="M4" s="4"/>
      <c r="N4" s="4" t="s">
        <v>37</v>
      </c>
      <c r="O4" s="7">
        <f>SUM(O11:O17)</f>
        <v>643500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5194640.179999996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417798.32999999996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397859.82000000402</v>
      </c>
      <c r="D6" s="2"/>
      <c r="E6" s="4"/>
      <c r="F6" s="4"/>
      <c r="G6" s="4"/>
      <c r="H6" s="4" t="s">
        <v>2</v>
      </c>
      <c r="I6" s="7">
        <f>I4-I5</f>
        <v>120000</v>
      </c>
      <c r="J6" s="4"/>
      <c r="K6" s="4"/>
      <c r="L6" s="4"/>
      <c r="M6" s="4"/>
      <c r="N6" s="4" t="s">
        <v>2</v>
      </c>
      <c r="O6" s="7">
        <f>O4-O5</f>
        <v>225701.67000000004</v>
      </c>
      <c r="P6" s="4"/>
      <c r="Q6" s="4"/>
      <c r="R6" s="4"/>
      <c r="S6" s="4"/>
      <c r="T6" s="4" t="s">
        <v>2</v>
      </c>
      <c r="U6" s="4">
        <f>U4-U5</f>
        <v>758</v>
      </c>
      <c r="V6" s="4"/>
      <c r="W6" s="4"/>
    </row>
    <row r="7" spans="1:23" x14ac:dyDescent="0.25">
      <c r="A7" s="4"/>
      <c r="B7" s="4" t="s">
        <v>3</v>
      </c>
      <c r="C7" s="3">
        <f>1-(C6/C4)</f>
        <v>0.92885832454179629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0.649259254079254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55839.149999999972</v>
      </c>
      <c r="E10" s="27">
        <f>Tabela13[[#This Row],[META A]]-Tabela13[[#This Row],[ATINGIDO]]</f>
        <v>8660.8500000000276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12300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12300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330928.31000000017</v>
      </c>
      <c r="E11" s="24">
        <f>Tabela13[[#This Row],[META A]]-Tabela13[[#This Row],[ATINGIDO]]</f>
        <v>-5928.3100000001723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10230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10230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35000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38518.75</v>
      </c>
      <c r="Q11" s="2">
        <f>Tabela8[[#This Row],[COMPROMISSO]]-Tabela8[[#This Row],[ATINGIDO]]</f>
        <v>-3518.75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0</v>
      </c>
      <c r="W11" s="19">
        <f t="shared" ref="W11:W20" si="0">U11-V11</f>
        <v>52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4470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4470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0</v>
      </c>
      <c r="W12" s="19">
        <f t="shared" si="0"/>
        <v>41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73632.500000000015</v>
      </c>
      <c r="E13" s="24">
        <f>Tabela13[[#This Row],[META A]]-Tabela13[[#This Row],[ATINGIDO]]</f>
        <v>16367.499999999985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12520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12520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57405.950000000004</v>
      </c>
      <c r="Q13" s="2">
        <f>Tabela8[[#This Row],[COMPROMISSO]]-Tabela8[[#This Row],[ATINGIDO]]</f>
        <v>81094.049999999988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225968.95999999985</v>
      </c>
      <c r="E14" s="27">
        <f>Tabela13[[#This Row],[META A]]-Tabela13[[#This Row],[ATINGIDO]]</f>
        <v>47031.040000000154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3410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3410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176163.4</v>
      </c>
      <c r="Q14" s="2">
        <f>Tabela8[[#This Row],[COMPROMISSO]]-Tabela8[[#This Row],[ATINGIDO]]</f>
        <v>8836.6000000000058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0</v>
      </c>
      <c r="W14" s="19">
        <f t="shared" si="0"/>
        <v>27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70056.52</v>
      </c>
      <c r="E15" s="24">
        <f>Tabela13[[#This Row],[META A]]-Tabela13[[#This Row],[ATINGIDO]]</f>
        <v>7943.4799999999959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14230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14230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104856.58999999998</v>
      </c>
      <c r="Q15" s="2">
        <f>Tabela8[[#This Row],[COMPROMISSO]]-Tabela8[[#This Row],[ATINGIDO]]</f>
        <v>45143.410000000018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0</v>
      </c>
      <c r="W15" s="19">
        <f>U15-V15</f>
        <v>48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299175.37</v>
      </c>
      <c r="E16" s="27">
        <f>Tabela13[[#This Row],[META A]]-Tabela13[[#This Row],[ATINGIDO]]</f>
        <v>25824.630000000005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8120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8120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2666</v>
      </c>
      <c r="Q16" s="2">
        <f>Tabela8[[#This Row],[COMPROMISSO]]-Tabela8[[#This Row],[ATINGIDO]]</f>
        <v>63334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301418.32</v>
      </c>
      <c r="E17" s="24">
        <f>Tabela13[[#This Row],[META A]]-Tabela13[[#This Row],[ATINGIDO]]</f>
        <v>-131418.32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5520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5520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34825.039999999972</v>
      </c>
      <c r="Q17" s="2">
        <f>Tabela8[[#This Row],[COMPROMISSO]]-Tabela8[[#This Row],[ATINGIDO]]</f>
        <v>-34825.039999999972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1027556.8</v>
      </c>
      <c r="E18" s="27">
        <f>Tabela13[[#This Row],[META A]]-Tabela13[[#This Row],[ATINGIDO]]</f>
        <v>-77556.800000000047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5810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5810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0</v>
      </c>
      <c r="W18" s="19">
        <f t="shared" si="0"/>
        <v>45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129806.10000000006</v>
      </c>
      <c r="E19" s="24">
        <f>Tabela13[[#This Row],[META A]]-Tabela13[[#This Row],[ATINGIDO]]</f>
        <v>193.89999999993597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5740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5740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0</v>
      </c>
      <c r="W19" s="19">
        <f t="shared" si="0"/>
        <v>61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384349.33</v>
      </c>
      <c r="E20" s="27">
        <f>Tabela13[[#This Row],[META A]]-Tabela13[[#This Row],[ATINGIDO]]</f>
        <v>175650.66999999998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14820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14820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0</v>
      </c>
      <c r="W20" s="19">
        <f t="shared" si="0"/>
        <v>39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374414.24999999988</v>
      </c>
      <c r="E21" s="24">
        <f>Tabela13[[#This Row],[META A]]-Tabela13[[#This Row],[ATINGIDO]]</f>
        <v>40585.750000000116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4490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4490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0</v>
      </c>
      <c r="W21" s="19">
        <f t="shared" ref="W21:W26" si="1">U21-V21</f>
        <v>44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92818.459999999919</v>
      </c>
      <c r="E22" s="27">
        <f>Tabela13[[#This Row],[META A]]-Tabela13[[#This Row],[ATINGIDO]]</f>
        <v>29181.540000000081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2780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2780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563167.95000000019</v>
      </c>
      <c r="Q22" s="7">
        <f>O22-P22</f>
        <v>-67713.404545454716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0</v>
      </c>
      <c r="W22" s="19">
        <f t="shared" si="1"/>
        <v>40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175604.2149999993</v>
      </c>
      <c r="E23" s="24">
        <f>Tabela13[[#This Row],[META A]]-Tabela13[[#This Row],[ATINGIDO]]</f>
        <v>19395.785000000702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3770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3770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1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124011.38999999997</v>
      </c>
      <c r="E24" s="27">
        <f>Tabela13[[#This Row],[META A]]-Tabela13[[#This Row],[ATINGIDO]]</f>
        <v>15988.61000000003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3670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3670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0</v>
      </c>
      <c r="W24" s="19">
        <f t="shared" si="1"/>
        <v>37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129968.94999999966</v>
      </c>
      <c r="E25" s="24">
        <f>Tabela13[[#This Row],[META A]]-Tabela13[[#This Row],[ATINGIDO]]</f>
        <v>12531.050000000338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3660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417798.32999999955</v>
      </c>
      <c r="Q25" s="7">
        <f>O25-P25</f>
        <v>201519.85181818233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0</v>
      </c>
      <c r="W25" s="19">
        <f t="shared" si="1"/>
        <v>51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66512.950000000186</v>
      </c>
      <c r="E26" s="27">
        <f>Tabela13[[#This Row],[META A]]-Tabela13[[#This Row],[ATINGIDO]]</f>
        <v>23487.049999999814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2920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2920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1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219827.98999999929</v>
      </c>
      <c r="E27" s="24">
        <f>Tabela13[[#This Row],[META A]]-Tabela13[[#This Row],[ATINGIDO]]</f>
        <v>17672.010000000708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1540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1540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304439.95499999961</v>
      </c>
      <c r="E28" s="27">
        <f>Tabela13[[#This Row],[META A]]-Tabela13[[#This Row],[ATINGIDO]]</f>
        <v>14060.045000000391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109098.67999999996</v>
      </c>
      <c r="E29" s="24">
        <f>Tabela13[[#This Row],[META A]]-Tabela13[[#This Row],[ATINGIDO]]</f>
        <v>65901.320000000036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120233.9599999998</v>
      </c>
      <c r="E30" s="27">
        <f>Tabela13[[#This Row],[META A]]-Tabela13[[#This Row],[ATINGIDO]]</f>
        <v>14266.040000000197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150262.05999999997</v>
      </c>
      <c r="E31" s="24">
        <f>Tabela13[[#This Row],[META A]]-Tabela13[[#This Row],[ATINGIDO]]</f>
        <v>16737.940000000031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238941.18999999983</v>
      </c>
      <c r="E32" s="27">
        <f>Tabela13[[#This Row],[META A]]-Tabela13[[#This Row],[ATINGIDO]]</f>
        <v>21058.810000000172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77098.040000000081</v>
      </c>
      <c r="E33" s="24">
        <f>Tabela13[[#This Row],[META A]]-Tabela13[[#This Row],[ATINGIDO]]</f>
        <v>22901.959999999919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698882.54000000225</v>
      </c>
      <c r="K33" s="7">
        <f t="shared" si="3"/>
        <v>-47632.540000002249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42977.810000000041</v>
      </c>
      <c r="E34" s="27">
        <f>Tabela13[[#This Row],[META A]]-Tabela13[[#This Row],[ATINGIDO]]</f>
        <v>12022.189999999959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581379.53500000481</v>
      </c>
      <c r="K34" s="7">
        <f t="shared" si="3"/>
        <v>69870.464999995194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205</v>
      </c>
      <c r="W34" s="6">
        <f>U34-V34</f>
        <v>-32.727272727272748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68398.600000000006</v>
      </c>
      <c r="E35" s="24">
        <f>Tabela13[[#This Row],[META A]]-Tabela13[[#This Row],[ATINGIDO]]</f>
        <v>4601.3999999999942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476962.30500000209</v>
      </c>
      <c r="K35" s="7">
        <f>I35-J35</f>
        <v>174287.69499999791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545683.80000000168</v>
      </c>
      <c r="E40" s="7">
        <f>C40-D40</f>
        <v>216793.47272727103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4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1384021.9299999918</v>
      </c>
      <c r="E42" s="7">
        <f t="shared" si="4"/>
        <v>-113226.4754545372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1266562.6249999946</v>
      </c>
      <c r="E43" s="7">
        <f t="shared" si="4"/>
        <v>4232.8295454599429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894811.63499999978</v>
      </c>
      <c r="E44" s="7">
        <f t="shared" ref="E44" si="5">C44-D44</f>
        <v>375983.81954545481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2026-07-30T11:04:25Z</dcterms:modified>
</cp:coreProperties>
</file>