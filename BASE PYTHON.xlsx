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27F4460-41A3-4906-A5C4-F1A616BC9DD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3" i="2"/>
  <c r="V31" i="2"/>
  <c r="V30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0" i="2"/>
  <c r="D43" i="2"/>
  <c r="P21" i="2"/>
  <c r="P25" i="2"/>
  <c r="P22" i="2"/>
  <c r="D41" i="2"/>
  <c r="D42" i="2"/>
  <c r="J31" i="2"/>
  <c r="P24" i="2"/>
  <c r="J33" i="2"/>
  <c r="J32" i="2"/>
  <c r="D44" i="2"/>
  <c r="P23" i="2"/>
  <c r="J35" i="2"/>
  <c r="J34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3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<sst xmlns="http://schemas.openxmlformats.org/spreadsheetml/2006/main" count="215" uniqueCount="54">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</sst>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23/07/2026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39704.279999999977</v>
          </cell>
          <cell r="H5" t="str">
            <v>CAMPINAS</v>
          </cell>
          <cell r="I5">
            <v>457.9</v>
          </cell>
        </row>
        <row r="6">
          <cell r="E6" t="str">
            <v>CENTRO</v>
          </cell>
          <cell r="F6">
            <v>265155.72999999957</v>
          </cell>
          <cell r="H6" t="str">
            <v>CENTRO</v>
          </cell>
          <cell r="I6">
            <v>4439.45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602.70000000000005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4897.0999999999995</v>
          </cell>
          <cell r="K8" t="str">
            <v>CAMPINAS</v>
          </cell>
          <cell r="N8">
            <v>24</v>
          </cell>
        </row>
        <row r="9">
          <cell r="E9" t="str">
            <v>INDAIATUBA</v>
          </cell>
          <cell r="F9">
            <v>51800.909999999996</v>
          </cell>
          <cell r="H9" t="str">
            <v>JUNDIAI</v>
          </cell>
          <cell r="I9">
            <v>509.6</v>
          </cell>
          <cell r="K9" t="str">
            <v>CENTRO</v>
          </cell>
          <cell r="N9">
            <v>44</v>
          </cell>
        </row>
        <row r="10">
          <cell r="E10" t="str">
            <v>INTERLAGOS</v>
          </cell>
          <cell r="F10">
            <v>179685.48999999987</v>
          </cell>
          <cell r="H10" t="str">
            <v>KEY ABC</v>
          </cell>
          <cell r="I10">
            <v>15911.699999999997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52269.480000000069</v>
          </cell>
          <cell r="H11" t="str">
            <v>KEY PIRACICABA</v>
          </cell>
          <cell r="I11">
            <v>16526.2</v>
          </cell>
          <cell r="K11" t="str">
            <v>INTERLAGOS</v>
          </cell>
          <cell r="N11">
            <v>50</v>
          </cell>
        </row>
        <row r="12">
          <cell r="E12" t="str">
            <v>KEY ABC</v>
          </cell>
          <cell r="F12">
            <v>227541.71999999991</v>
          </cell>
          <cell r="H12" t="str">
            <v>KEY SP</v>
          </cell>
          <cell r="I12">
            <v>4583.4400000000005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263985.40000000084</v>
          </cell>
          <cell r="H13" t="str">
            <v>KEY ZL</v>
          </cell>
          <cell r="I13">
            <v>3534.2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851393.40000000026</v>
          </cell>
          <cell r="H14" t="str">
            <v>LESTE</v>
          </cell>
          <cell r="I14">
            <v>1019.85</v>
          </cell>
          <cell r="K14" t="str">
            <v>LESTE MOOCA</v>
          </cell>
          <cell r="N14">
            <v>49</v>
          </cell>
        </row>
        <row r="15">
          <cell r="E15" t="str">
            <v>KEY PIRACICABA</v>
          </cell>
          <cell r="F15">
            <v>104009.45999999996</v>
          </cell>
          <cell r="H15" t="str">
            <v>LESTE MOOCA</v>
          </cell>
          <cell r="I15">
            <v>553.65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LESTE PENHA</v>
          </cell>
          <cell r="I16">
            <v>607.15</v>
          </cell>
          <cell r="K16" t="str">
            <v>LESTE TATUAPE</v>
          </cell>
          <cell r="N16">
            <v>36</v>
          </cell>
        </row>
        <row r="17">
          <cell r="E17" t="str">
            <v>KEY SP</v>
          </cell>
          <cell r="F17">
            <v>271496.78999999992</v>
          </cell>
          <cell r="H17" t="str">
            <v>LESTE TATUAPE</v>
          </cell>
          <cell r="I17">
            <v>313.10000000000002</v>
          </cell>
          <cell r="K17" t="str">
            <v>MOGI</v>
          </cell>
          <cell r="N17">
            <v>36</v>
          </cell>
        </row>
        <row r="18">
          <cell r="E18" t="str">
            <v>KEY ZL</v>
          </cell>
          <cell r="F18">
            <v>281906.1999999999</v>
          </cell>
          <cell r="H18" t="str">
            <v>MOGI</v>
          </cell>
          <cell r="I18">
            <v>1194.25</v>
          </cell>
          <cell r="K18" t="str">
            <v>NORTE</v>
          </cell>
          <cell r="N18">
            <v>42</v>
          </cell>
        </row>
        <row r="19">
          <cell r="E19" t="str">
            <v>LESTE</v>
          </cell>
          <cell r="F19">
            <v>73484.229999999981</v>
          </cell>
          <cell r="H19" t="str">
            <v>NORTE</v>
          </cell>
          <cell r="I19">
            <v>8708.3000000000011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134407.41499999966</v>
          </cell>
          <cell r="H20" t="str">
            <v>OSASCO</v>
          </cell>
          <cell r="I20">
            <v>4072.88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96686.940000000075</v>
          </cell>
          <cell r="H21" t="str">
            <v>PIRITUBA</v>
          </cell>
          <cell r="I21">
            <v>1483.2</v>
          </cell>
          <cell r="K21" t="str">
            <v>SANTO ANDRE</v>
          </cell>
          <cell r="N21">
            <v>27</v>
          </cell>
        </row>
        <row r="22">
          <cell r="E22" t="str">
            <v>LESTE TATUAPE</v>
          </cell>
          <cell r="F22">
            <v>84866.179999999833</v>
          </cell>
          <cell r="H22" t="str">
            <v>SJC</v>
          </cell>
          <cell r="I22">
            <v>1028.2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50130.750000000102</v>
          </cell>
          <cell r="H23" t="str">
            <v>SJC/VALE</v>
          </cell>
          <cell r="I23">
            <v>1072.3</v>
          </cell>
          <cell r="K23" t="str">
            <v>SJC</v>
          </cell>
          <cell r="N23">
            <v>21</v>
          </cell>
        </row>
        <row r="24">
          <cell r="E24" t="str">
            <v>NORTE</v>
          </cell>
          <cell r="F24">
            <v>171873.47999999969</v>
          </cell>
          <cell r="H24" t="str">
            <v>VENDEDOR INTERNO 1</v>
          </cell>
          <cell r="I24">
            <v>521.16000000000008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240265.84999999945</v>
          </cell>
          <cell r="H25" t="str">
            <v>Total Geral</v>
          </cell>
          <cell r="I25">
            <v>72036.330000000031</v>
          </cell>
          <cell r="K25" t="str">
            <v>Total Geral</v>
          </cell>
          <cell r="N25">
            <v>584</v>
          </cell>
        </row>
        <row r="26">
          <cell r="E26" t="str">
            <v>PIRITUBA</v>
          </cell>
          <cell r="F26">
            <v>94191.629999999932</v>
          </cell>
        </row>
        <row r="27">
          <cell r="E27" t="str">
            <v>SANTO ANDRE</v>
          </cell>
          <cell r="F27">
            <v>116320.90999999995</v>
          </cell>
        </row>
        <row r="28">
          <cell r="E28" t="str">
            <v>SBC</v>
          </cell>
          <cell r="F28">
            <v>179510.92999999982</v>
          </cell>
        </row>
        <row r="29">
          <cell r="E29" t="str">
            <v>SJC</v>
          </cell>
          <cell r="F29">
            <v>59369.590000000084</v>
          </cell>
        </row>
        <row r="30">
          <cell r="E30" t="str">
            <v>SJC/VALE</v>
          </cell>
          <cell r="F30">
            <v>30740.140000000014</v>
          </cell>
        </row>
        <row r="31">
          <cell r="E31" t="str">
            <v>VENDEDOR INTERNO 1</v>
          </cell>
          <cell r="F31">
            <v>53366.009999999995</v>
          </cell>
        </row>
        <row r="32">
          <cell r="E32" t="str">
            <v>Total Geral</v>
          </cell>
          <cell r="F32">
            <v>4089617.73499995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4089617.734999998</v>
      </c>
      <c r="D5" s="2"/>
      <c r="E5" s="4"/>
      <c r="F5" s="4"/>
      <c r="G5" s="4"/>
      <c r="H5" s="4" t="s">
        <v>1</v>
      </c>
      <c r="I5" s="7">
        <f>SUM(J10:J27)</f>
        <v>31480.79</v>
      </c>
      <c r="J5" s="4"/>
      <c r="K5" s="4"/>
      <c r="L5" s="4"/>
      <c r="M5" s="4"/>
      <c r="N5" s="4" t="s">
        <v>1</v>
      </c>
      <c r="O5" s="7">
        <f>SUM(P11:P17)</f>
        <v>24029.339999999997</v>
      </c>
      <c r="P5" s="4"/>
      <c r="Q5" s="4"/>
      <c r="R5" s="4"/>
      <c r="S5" s="4"/>
      <c r="T5" s="4" t="s">
        <v>1</v>
      </c>
      <c r="U5" s="4">
        <f>SUM(V10:V26)</f>
        <v>584</v>
      </c>
      <c r="V5" s="4"/>
      <c r="W5" s="4"/>
    </row>
    <row r="6" spans="1:23" x14ac:dyDescent="0.25">
      <c r="A6" s="4"/>
      <c r="B6" s="4" t="s">
        <v>2</v>
      </c>
      <c r="C6" s="2">
        <f>C4-C5</f>
        <v>1502882.265000002</v>
      </c>
      <c r="D6" s="2"/>
      <c r="E6" s="4"/>
      <c r="F6" s="4"/>
      <c r="G6" s="4"/>
      <c r="H6" s="4" t="s">
        <v>2</v>
      </c>
      <c r="I6" s="7">
        <f>I4-I5</f>
        <v>98519.209999999992</v>
      </c>
      <c r="J6" s="4"/>
      <c r="K6" s="4"/>
      <c r="L6" s="4"/>
      <c r="M6" s="4"/>
      <c r="N6" s="4" t="s">
        <v>2</v>
      </c>
      <c r="O6" s="7">
        <f>O4-O5</f>
        <v>-24029.339999999997</v>
      </c>
      <c r="P6" s="4"/>
      <c r="Q6" s="4"/>
      <c r="R6" s="4"/>
      <c r="S6" s="4"/>
      <c r="T6" s="4" t="s">
        <v>2</v>
      </c>
      <c r="U6" s="4">
        <f>U4-U5</f>
        <v>174</v>
      </c>
      <c r="V6" s="4"/>
      <c r="W6" s="4"/>
    </row>
    <row r="7" spans="1:23" x14ac:dyDescent="0.25">
      <c r="A7" s="4"/>
      <c r="B7" s="4" t="s">
        <v>3</v>
      </c>
      <c r="C7" s="3">
        <f>1-(C6/C4)</f>
        <v>0.7312682583817609</v>
      </c>
      <c r="D7" s="2"/>
      <c r="E7" s="4"/>
      <c r="F7" s="4"/>
      <c r="G7" s="4"/>
      <c r="H7" s="4" t="s">
        <v>3</v>
      </c>
      <c r="I7" s="3">
        <f>1-(I6/I4)</f>
        <v>0.24215992307692313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0.77044854881266489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39704.279999999977</v>
      </c>
      <c r="E10" s="27">
        <f>Tabela13[[#This Row],[META A]]-Tabela13[[#This Row],[ATINGIDO]]</f>
        <v>24795.720000000023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4072.88</v>
      </c>
      <c r="K10" s="23">
        <f>Tabela5[[#This Row],[COMPROMISSO]]-Tabela5[[#This Row],[ATINGIDO]]</f>
        <v>8017.12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24</v>
      </c>
      <c r="W10" s="19">
        <f>U10-V10</f>
        <v>12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265155.72999999957</v>
      </c>
      <c r="E11" s="24">
        <f>Tabela13[[#This Row],[META A]]-Tabela13[[#This Row],[ATINGIDO]]</f>
        <v>59844.270000000426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8708.3000000000011</v>
      </c>
      <c r="K11" s="23">
        <f>Tabela5[[#This Row],[COMPROMISSO]]-Tabela5[[#This Row],[ATINGIDO]]</f>
        <v>2291.6999999999989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15911.699999999997</v>
      </c>
      <c r="Q11" s="2">
        <f>O11-P11</f>
        <v>-15911.699999999997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44</v>
      </c>
      <c r="W11" s="19">
        <f t="shared" ref="W11:W20" si="0">U11-V11</f>
        <v>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1483.2</v>
      </c>
      <c r="K12" s="23">
        <f>Tabela5[[#This Row],[COMPROMISSO]]-Tabela5[[#This Row],[ATINGIDO]]</f>
        <v>3916.8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34</v>
      </c>
      <c r="W12" s="19">
        <f t="shared" si="0"/>
        <v>7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51800.909999999996</v>
      </c>
      <c r="E13" s="24">
        <f>Tabela13[[#This Row],[META A]]-Tabela13[[#This Row],[ATINGIDO]]</f>
        <v>38199.090000000004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3534.2</v>
      </c>
      <c r="Q13" s="2">
        <f t="shared" ref="Q13:Q17" si="1">O13-P13</f>
        <v>-3534.2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50</v>
      </c>
      <c r="W13" s="19">
        <f t="shared" si="0"/>
        <v>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179685.48999999987</v>
      </c>
      <c r="E14" s="27">
        <f>Tabela13[[#This Row],[META A]]-Tabela13[[#This Row],[ATINGIDO]]</f>
        <v>93314.510000000126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313.10000000000002</v>
      </c>
      <c r="K14" s="23">
        <f>Tabela5[[#This Row],[COMPROMISSO]]-Tabela5[[#This Row],[ATINGIDO]]</f>
        <v>3526.9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52269.480000000069</v>
      </c>
      <c r="E15" s="24">
        <f>Tabela13[[#This Row],[META A]]-Tabela13[[#This Row],[ATINGIDO]]</f>
        <v>25730.519999999931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4439.45</v>
      </c>
      <c r="K15" s="23">
        <f>Tabela5[[#This Row],[COMPROMISSO]]-Tabela5[[#This Row],[ATINGIDO]]</f>
        <v>10560.55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4583.4400000000005</v>
      </c>
      <c r="Q15" s="2">
        <f t="shared" si="1"/>
        <v>-4583.4400000000005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227541.71999999991</v>
      </c>
      <c r="E16" s="27">
        <f>Tabela13[[#This Row],[META A]]-Tabela13[[#This Row],[ATINGIDO]]</f>
        <v>97458.280000000086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9840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36</v>
      </c>
      <c r="W16" s="19">
        <f t="shared" si="0"/>
        <v>3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1194.25</v>
      </c>
      <c r="K17" s="23">
        <f>Tabela5[[#This Row],[COMPROMISSO]]-Tabela5[[#This Row],[ATINGIDO]]</f>
        <v>3655.75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49</v>
      </c>
      <c r="W17" s="19">
        <f t="shared" si="0"/>
        <v>0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1019.85</v>
      </c>
      <c r="K18" s="23">
        <f>Tabela5[[#This Row],[COMPROMISSO]]-Tabela5[[#This Row],[ATINGIDO]]</f>
        <v>5820.15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42</v>
      </c>
      <c r="W18" s="19">
        <f t="shared" si="0"/>
        <v>3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553.65</v>
      </c>
      <c r="K19" s="23">
        <f>Tabela5[[#This Row],[COMPROMISSO]]-Tabela5[[#This Row],[ATINGIDO]]</f>
        <v>6566.35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271496.78999999992</v>
      </c>
      <c r="E20" s="27">
        <f>Tabela13[[#This Row],[META A]]-Tabela13[[#This Row],[ATINGIDO]]</f>
        <v>288503.21000000008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4897.0999999999995</v>
      </c>
      <c r="K20" s="23">
        <f>Tabela5[[#This Row],[COMPROMISSO]]-Tabela5[[#This Row],[ATINGIDO]]</f>
        <v>10102.900000000001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281906.1999999999</v>
      </c>
      <c r="E21" s="24">
        <f>Tabela13[[#This Row],[META A]]-Tabela13[[#This Row],[ATINGIDO]]</f>
        <v>133093.8000000001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509.6</v>
      </c>
      <c r="K21" s="23">
        <f>Tabela5[[#This Row],[COMPROMISSO]]-Tabela5[[#This Row],[ATINGIDO]]</f>
        <v>4590.3999999999996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73484.229999999981</v>
      </c>
      <c r="E22" s="27">
        <f>Tabela13[[#This Row],[META A]]-Tabela13[[#This Row],[ATINGIDO]]</f>
        <v>48515.770000000019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607.15</v>
      </c>
      <c r="K22" s="23">
        <f>Tabela5[[#This Row],[COMPROMISSO]]-Tabela5[[#This Row],[ATINGIDO]]</f>
        <v>2712.85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27</v>
      </c>
      <c r="W22" s="19">
        <f t="shared" si="2"/>
        <v>13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134407.41499999966</v>
      </c>
      <c r="E23" s="24">
        <f>Tabela13[[#This Row],[META A]]-Tabela13[[#This Row],[ATINGIDO]]</f>
        <v>60592.585000000341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602.70000000000005</v>
      </c>
      <c r="K23" s="23">
        <f>Tabela5[[#This Row],[COMPROMISSO]]-Tabela5[[#This Row],[ATINGIDO]]</f>
        <v>3407.3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685907.54999999935</v>
      </c>
      <c r="Q23" s="7">
        <f>O23-P23</f>
        <v>-66589.368181817466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35</v>
      </c>
      <c r="W23" s="19">
        <f t="shared" si="2"/>
        <v>20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96686.940000000075</v>
      </c>
      <c r="E24" s="27">
        <f>Tabela13[[#This Row],[META A]]-Tabela13[[#This Row],[ATINGIDO]]</f>
        <v>43313.059999999925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521.16000000000008</v>
      </c>
      <c r="K24" s="23">
        <f>Tabela5[[#This Row],[COMPROMISSO]]-Tabela5[[#This Row],[ATINGIDO]]</f>
        <v>4178.84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590236.74999999977</v>
      </c>
      <c r="Q24" s="7">
        <f>O24-P24</f>
        <v>29081.431818182115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84866.179999999833</v>
      </c>
      <c r="E25" s="24">
        <f>Tabela13[[#This Row],[META A]]-Tabela13[[#This Row],[ATINGIDO]]</f>
        <v>57633.820000000167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1028.2</v>
      </c>
      <c r="K25" s="23">
        <f>Tabela5[[#This Row],[COMPROMISSO]]-Tabela5[[#This Row],[ATINGIDO]]</f>
        <v>1661.8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36</v>
      </c>
      <c r="W25" s="19">
        <f t="shared" si="2"/>
        <v>15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50130.750000000102</v>
      </c>
      <c r="E26" s="27">
        <f>Tabela13[[#This Row],[META A]]-Tabela13[[#This Row],[ATINGIDO]]</f>
        <v>39869.249999999898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1072.3</v>
      </c>
      <c r="K26" s="23">
        <f>Tabela5[[#This Row],[COMPROMISSO]]-Tabela5[[#This Row],[ATINGIDO]]</f>
        <v>2457.6999999999998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23</v>
      </c>
      <c r="W26" s="19">
        <f t="shared" si="2"/>
        <v>12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171873.47999999969</v>
      </c>
      <c r="E27" s="24">
        <f>Tabela13[[#This Row],[META A]]-Tabela13[[#This Row],[ATINGIDO]]</f>
        <v>65626.52000000031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457.9</v>
      </c>
      <c r="K27" s="23">
        <f>Tabela5[[#This Row],[COMPROMISSO]]-Tabela5[[#This Row],[ATINGIDO]]</f>
        <v>2212.1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240265.84999999945</v>
      </c>
      <c r="E28" s="27">
        <f>Tabela13[[#This Row],[META A]]-Tabela13[[#This Row],[ATINGIDO]]</f>
        <v>78234.150000000547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104009.45999999996</v>
      </c>
      <c r="E29" s="24">
        <f>Tabela13[[#This Row],[META A]]-Tabela13[[#This Row],[ATINGIDO]]</f>
        <v>70990.540000000037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94191.629999999932</v>
      </c>
      <c r="E30" s="27">
        <f>Tabela13[[#This Row],[META A]]-Tabela13[[#This Row],[ATINGIDO]]</f>
        <v>40308.370000000068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116320.90999999995</v>
      </c>
      <c r="E31" s="24">
        <f>Tabela13[[#This Row],[META A]]-Tabela13[[#This Row],[ATINGIDO]]</f>
        <v>50679.090000000055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179510.92999999982</v>
      </c>
      <c r="E32" s="27">
        <f>Tabela13[[#This Row],[META A]]-Tabela13[[#This Row],[ATINGIDO]]</f>
        <v>80489.070000000182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59369.590000000084</v>
      </c>
      <c r="E33" s="24">
        <f>Tabela13[[#This Row],[META A]]-Tabela13[[#This Row],[ATINGIDO]]</f>
        <v>40630.409999999916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699181.49000000209</v>
      </c>
      <c r="K33" s="7">
        <f t="shared" si="4"/>
        <v>-47931.490000002086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202</v>
      </c>
      <c r="W33" s="6">
        <f t="shared" si="3"/>
        <v>-29.727272727272748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30740.140000000014</v>
      </c>
      <c r="E34" s="27">
        <f>Tabela13[[#This Row],[META A]]-Tabela13[[#This Row],[ATINGIDO]]</f>
        <v>24259.859999999986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464351.82500000199</v>
      </c>
      <c r="K34" s="7">
        <f t="shared" si="4"/>
        <v>186898.17499999801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53366.009999999995</v>
      </c>
      <c r="E35" s="24">
        <f>Tabela13[[#This Row],[META A]]-Tabela13[[#This Row],[ATINGIDO]]</f>
        <v>19633.990000000005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1385531.2799999914</v>
      </c>
      <c r="E42" s="7">
        <f t="shared" si="5"/>
        <v>-734281.27999999141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1054842.4650000024</v>
      </c>
      <c r="E43" s="7">
        <f t="shared" si="5"/>
        <v>-403592.46500000241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2026-07-23T13:42:49Z</dcterms:modified>
</cp:coreProperties>
</file>