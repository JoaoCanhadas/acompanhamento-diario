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A3AA7503-AEC8-416E-B77C-B4F6B1BF2F4B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2" i="2"/>
  <c r="V33" i="2"/>
  <c r="V30" i="2"/>
  <c r="V31" i="2"/>
  <c r="V34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D40" i="2"/>
  <c r="J31" i="2"/>
  <c r="D41" i="2"/>
  <c r="D44" i="2"/>
  <c r="P22" i="2"/>
  <c r="P24" i="2"/>
  <c r="P23" i="2"/>
  <c r="D43" i="2"/>
  <c r="J33" i="2"/>
  <c r="D42" i="2"/>
  <c r="P21" i="2"/>
  <c r="J35" i="2"/>
  <c r="P25" i="2"/>
  <c r="J32" i="2"/>
  <c r="J34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C41" i="2" a="1"/>
  <c r="C41" i="2" s="1"/>
  <c r="E41" i="2" s="1"/>
  <c r="C44" i="2" a="1"/>
  <c r="C44" i="2" s="1"/>
  <c r="E44" i="2" s="1"/>
  <c r="I35" i="2" a="1"/>
  <c r="I35" i="2" s="1"/>
  <c r="K35" i="2" s="1"/>
  <c r="I33" i="2" a="1"/>
  <c r="I33" i="2" s="1"/>
  <c r="K33" i="2" s="1"/>
  <c r="C42" i="2" a="1"/>
  <c r="C42" i="2" s="1"/>
  <c r="E42" i="2" s="1"/>
  <c r="I31" i="2" a="1"/>
  <c r="I31" i="2" s="1"/>
  <c r="K31" i="2" s="1"/>
  <c r="C40" i="2" a="1"/>
  <c r="C40" i="2" s="1"/>
  <c r="E40" i="2" s="1"/>
  <c r="I34" i="2" a="1"/>
  <c r="I34" i="2" s="1"/>
  <c r="K34" i="2" s="1"/>
  <c r="C43" i="2" a="1"/>
  <c r="C43" i="2" s="1"/>
  <c r="E43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3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<sst xmlns="http://schemas.openxmlformats.org/spreadsheetml/2006/main" count="215" uniqueCount="54">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</sst>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23/07/2026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41352.389999999978</v>
          </cell>
          <cell r="H5" t="str">
            <v>CAMPINAS</v>
          </cell>
          <cell r="I5">
            <v>2106.0099999999998</v>
          </cell>
        </row>
        <row r="6">
          <cell r="E6" t="str">
            <v>CENTRO</v>
          </cell>
          <cell r="F6">
            <v>272788.47999999952</v>
          </cell>
          <cell r="H6" t="str">
            <v>CENTRO</v>
          </cell>
          <cell r="I6">
            <v>12072.2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1257.3499999999999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11655.55</v>
          </cell>
          <cell r="K8" t="str">
            <v>CAMPINAS</v>
          </cell>
          <cell r="N8">
            <v>25</v>
          </cell>
        </row>
        <row r="9">
          <cell r="E9" t="str">
            <v>INDAIATUBA</v>
          </cell>
          <cell r="F9">
            <v>52564.160000000003</v>
          </cell>
          <cell r="H9" t="str">
            <v>JUNDIAI</v>
          </cell>
          <cell r="I9">
            <v>1261.6000000000001</v>
          </cell>
          <cell r="K9" t="str">
            <v>CENTRO</v>
          </cell>
          <cell r="N9">
            <v>45</v>
          </cell>
        </row>
        <row r="10">
          <cell r="E10" t="str">
            <v>INTERLAGOS</v>
          </cell>
          <cell r="F10">
            <v>186453.93999999983</v>
          </cell>
          <cell r="H10" t="str">
            <v>KEY ABC</v>
          </cell>
          <cell r="I10">
            <v>47946.1</v>
          </cell>
          <cell r="K10" t="str">
            <v>INDAIATUBA</v>
          </cell>
          <cell r="N10">
            <v>35</v>
          </cell>
        </row>
        <row r="11">
          <cell r="E11" t="str">
            <v>JUNDIAI</v>
          </cell>
          <cell r="F11">
            <v>53021.480000000069</v>
          </cell>
          <cell r="H11" t="str">
            <v>KEY CASA</v>
          </cell>
          <cell r="I11">
            <v>4507.2</v>
          </cell>
          <cell r="K11" t="str">
            <v>INTERLAGOS</v>
          </cell>
          <cell r="N11">
            <v>52</v>
          </cell>
        </row>
        <row r="12">
          <cell r="E12" t="str">
            <v>KEY ABC</v>
          </cell>
          <cell r="F12">
            <v>259576.11999999994</v>
          </cell>
          <cell r="H12" t="str">
            <v>KEY PIRACICABA</v>
          </cell>
          <cell r="I12">
            <v>18252.82</v>
          </cell>
          <cell r="K12" t="str">
            <v>JUNDIAI</v>
          </cell>
          <cell r="N12">
            <v>21</v>
          </cell>
        </row>
        <row r="13">
          <cell r="E13" t="str">
            <v>KEY CASA</v>
          </cell>
          <cell r="F13">
            <v>267282.20000000024</v>
          </cell>
          <cell r="H13" t="str">
            <v>KEY SP</v>
          </cell>
          <cell r="I13">
            <v>16606.490000000002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851393.40000000026</v>
          </cell>
          <cell r="H14" t="str">
            <v>KEY ZL</v>
          </cell>
          <cell r="I14">
            <v>9288.7000000000007</v>
          </cell>
          <cell r="K14" t="str">
            <v>LESTE MOOCA</v>
          </cell>
          <cell r="N14">
            <v>50</v>
          </cell>
        </row>
        <row r="15">
          <cell r="E15" t="str">
            <v>KEY PIRACICABA</v>
          </cell>
          <cell r="F15">
            <v>105736.07999999996</v>
          </cell>
          <cell r="H15" t="str">
            <v>LESTE</v>
          </cell>
          <cell r="I15">
            <v>1714.3500000000001</v>
          </cell>
          <cell r="K15" t="str">
            <v>LESTE PENHA</v>
          </cell>
          <cell r="N15">
            <v>25</v>
          </cell>
        </row>
        <row r="16">
          <cell r="E16" t="str">
            <v>KEY SJC</v>
          </cell>
          <cell r="F16">
            <v>114220.90000000004</v>
          </cell>
          <cell r="H16" t="str">
            <v>LESTE MOOCA</v>
          </cell>
          <cell r="I16">
            <v>4774.07</v>
          </cell>
          <cell r="K16" t="str">
            <v>LESTE TATUAPE</v>
          </cell>
          <cell r="N16">
            <v>38</v>
          </cell>
        </row>
        <row r="17">
          <cell r="E17" t="str">
            <v>KEY SP</v>
          </cell>
          <cell r="F17">
            <v>283519.83999999997</v>
          </cell>
          <cell r="H17" t="str">
            <v>LESTE PENHA</v>
          </cell>
          <cell r="I17">
            <v>1483.75</v>
          </cell>
          <cell r="K17" t="str">
            <v>MOGI</v>
          </cell>
          <cell r="N17">
            <v>36</v>
          </cell>
        </row>
        <row r="18">
          <cell r="E18" t="str">
            <v>KEY ZL</v>
          </cell>
          <cell r="F18">
            <v>287660.6999999999</v>
          </cell>
          <cell r="H18" t="str">
            <v>LESTE TATUAPE</v>
          </cell>
          <cell r="I18">
            <v>1758.1500000000003</v>
          </cell>
          <cell r="K18" t="str">
            <v>NORTE</v>
          </cell>
          <cell r="N18">
            <v>43</v>
          </cell>
        </row>
        <row r="19">
          <cell r="E19" t="str">
            <v>LESTE</v>
          </cell>
          <cell r="F19">
            <v>74178.729999999981</v>
          </cell>
          <cell r="H19" t="str">
            <v>MOGI</v>
          </cell>
          <cell r="I19">
            <v>2791.9200000000005</v>
          </cell>
          <cell r="K19" t="str">
            <v>OSASCO</v>
          </cell>
          <cell r="N19">
            <v>60</v>
          </cell>
        </row>
        <row r="20">
          <cell r="E20" t="str">
            <v>LESTE MOOCA</v>
          </cell>
          <cell r="F20">
            <v>138653.63499999963</v>
          </cell>
          <cell r="H20" t="str">
            <v>NORTE</v>
          </cell>
          <cell r="I20">
            <v>14091.089999999997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97563.540000000081</v>
          </cell>
          <cell r="H21" t="str">
            <v>OSASCO</v>
          </cell>
          <cell r="I21">
            <v>8678.7999999999975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86311.229999999792</v>
          </cell>
          <cell r="H22" t="str">
            <v>PIRITUBA</v>
          </cell>
          <cell r="I22">
            <v>5626.22</v>
          </cell>
          <cell r="K22" t="str">
            <v>SBC</v>
          </cell>
          <cell r="N22">
            <v>36</v>
          </cell>
        </row>
        <row r="23">
          <cell r="E23" t="str">
            <v>MOGI</v>
          </cell>
          <cell r="F23">
            <v>51628.47000000011</v>
          </cell>
          <cell r="H23" t="str">
            <v>SANTO ANDRE</v>
          </cell>
          <cell r="I23">
            <v>6971.079999999999</v>
          </cell>
          <cell r="K23" t="str">
            <v>SJC</v>
          </cell>
          <cell r="N23">
            <v>22</v>
          </cell>
        </row>
        <row r="24">
          <cell r="E24" t="str">
            <v>NORTE</v>
          </cell>
          <cell r="F24">
            <v>177256.26999999961</v>
          </cell>
          <cell r="H24" t="str">
            <v>SBC</v>
          </cell>
          <cell r="I24">
            <v>5803.97</v>
          </cell>
          <cell r="K24" t="str">
            <v>SJC/VALE</v>
          </cell>
          <cell r="N24">
            <v>25</v>
          </cell>
        </row>
        <row r="25">
          <cell r="E25" t="str">
            <v>OSASCO</v>
          </cell>
          <cell r="F25">
            <v>244872.42999999938</v>
          </cell>
          <cell r="H25" t="str">
            <v>SJC</v>
          </cell>
          <cell r="I25">
            <v>2448.94</v>
          </cell>
          <cell r="K25" t="str">
            <v>Total Geral</v>
          </cell>
          <cell r="N25">
            <v>599</v>
          </cell>
        </row>
        <row r="26">
          <cell r="E26" t="str">
            <v>PIRITUBA</v>
          </cell>
          <cell r="F26">
            <v>98334.649999999921</v>
          </cell>
          <cell r="H26" t="str">
            <v>SJC/VALE</v>
          </cell>
          <cell r="I26">
            <v>1620.8200000000004</v>
          </cell>
        </row>
        <row r="27">
          <cell r="E27" t="str">
            <v>SANTO ANDRE</v>
          </cell>
          <cell r="F27">
            <v>123291.98999999996</v>
          </cell>
          <cell r="H27" t="str">
            <v>VENDEDOR INTERNO 1</v>
          </cell>
          <cell r="I27">
            <v>839.7600000000001</v>
          </cell>
        </row>
        <row r="28">
          <cell r="E28" t="str">
            <v>SBC</v>
          </cell>
          <cell r="F28">
            <v>185314.89999999973</v>
          </cell>
          <cell r="H28" t="str">
            <v>Total Geral</v>
          </cell>
          <cell r="I28">
            <v>183556.93999999994</v>
          </cell>
        </row>
        <row r="29">
          <cell r="E29" t="str">
            <v>SJC</v>
          </cell>
          <cell r="F29">
            <v>60790.330000000104</v>
          </cell>
        </row>
        <row r="30">
          <cell r="E30" t="str">
            <v>SJC/VALE</v>
          </cell>
          <cell r="F30">
            <v>31288.660000000022</v>
          </cell>
        </row>
        <row r="31">
          <cell r="E31" t="str">
            <v>VENDEDOR INTERNO 1</v>
          </cell>
          <cell r="F31">
            <v>53684.61</v>
          </cell>
        </row>
        <row r="32">
          <cell r="E32" t="str">
            <v>Total Geral</v>
          </cell>
          <cell r="F32">
            <v>4199973.0549999438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4199973.0549999978</v>
      </c>
      <c r="D5" s="2"/>
      <c r="E5" s="4"/>
      <c r="F5" s="4"/>
      <c r="G5" s="4"/>
      <c r="H5" s="4" t="s">
        <v>1</v>
      </c>
      <c r="I5" s="7">
        <f>SUM(J10:J27)</f>
        <v>86955.63</v>
      </c>
      <c r="J5" s="4"/>
      <c r="K5" s="4"/>
      <c r="L5" s="4"/>
      <c r="M5" s="4"/>
      <c r="N5" s="4" t="s">
        <v>1</v>
      </c>
      <c r="O5" s="7">
        <f>SUM(P11:P17)</f>
        <v>78348.490000000005</v>
      </c>
      <c r="P5" s="4"/>
      <c r="Q5" s="4"/>
      <c r="R5" s="4"/>
      <c r="S5" s="4"/>
      <c r="T5" s="4" t="s">
        <v>1</v>
      </c>
      <c r="U5" s="4">
        <f>SUM(V10:V26)</f>
        <v>599</v>
      </c>
      <c r="V5" s="4"/>
      <c r="W5" s="4"/>
    </row>
    <row r="6" spans="1:23" x14ac:dyDescent="0.25">
      <c r="A6" s="4"/>
      <c r="B6" s="4" t="s">
        <v>2</v>
      </c>
      <c r="C6" s="2">
        <f>C4-C5</f>
        <v>1392526.9450000022</v>
      </c>
      <c r="D6" s="2"/>
      <c r="E6" s="4"/>
      <c r="F6" s="4"/>
      <c r="G6" s="4"/>
      <c r="H6" s="4" t="s">
        <v>2</v>
      </c>
      <c r="I6" s="7">
        <f>I4-I5</f>
        <v>43044.369999999995</v>
      </c>
      <c r="J6" s="4"/>
      <c r="K6" s="4"/>
      <c r="L6" s="4"/>
      <c r="M6" s="4"/>
      <c r="N6" s="4" t="s">
        <v>2</v>
      </c>
      <c r="O6" s="7">
        <f>O4-O5</f>
        <v>-78348.490000000005</v>
      </c>
      <c r="P6" s="4"/>
      <c r="Q6" s="4"/>
      <c r="R6" s="4"/>
      <c r="S6" s="4"/>
      <c r="T6" s="4" t="s">
        <v>2</v>
      </c>
      <c r="U6" s="4">
        <f>U4-U5</f>
        <v>159</v>
      </c>
      <c r="V6" s="4"/>
      <c r="W6" s="4"/>
    </row>
    <row r="7" spans="1:23" x14ac:dyDescent="0.25">
      <c r="A7" s="4"/>
      <c r="B7" s="4" t="s">
        <v>3</v>
      </c>
      <c r="C7" s="3">
        <f>1-(C6/C4)</f>
        <v>0.75100099329459058</v>
      </c>
      <c r="D7" s="2"/>
      <c r="E7" s="4"/>
      <c r="F7" s="4"/>
      <c r="G7" s="4"/>
      <c r="H7" s="4" t="s">
        <v>3</v>
      </c>
      <c r="I7" s="3">
        <f>1-(I6/I4)</f>
        <v>0.66888946153846152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0.79023746701846964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41352.389999999978</v>
      </c>
      <c r="E10" s="27">
        <f>Tabela13[[#This Row],[META A]]-Tabela13[[#This Row],[ATINGIDO]]</f>
        <v>23147.610000000022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12090</v>
      </c>
      <c r="J10" s="22">
        <f>_xlfn.XLOOKUP(Tabela5[[#This Row],[VENDEDOR]],'[1]BASE PYTHON'!$H:$H,'[1]BASE PYTHON'!$I:$I,0)</f>
        <v>8678.7999999999975</v>
      </c>
      <c r="K10" s="23">
        <f>Tabela5[[#This Row],[COMPROMISSO]]-Tabela5[[#This Row],[ATINGIDO]]</f>
        <v>3411.2000000000025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25</v>
      </c>
      <c r="W10" s="19">
        <f>U10-V10</f>
        <v>11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272788.47999999952</v>
      </c>
      <c r="E11" s="24">
        <f>Tabela13[[#This Row],[META A]]-Tabela13[[#This Row],[ATINGIDO]]</f>
        <v>52211.520000000484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11000</v>
      </c>
      <c r="J11" s="22">
        <f>_xlfn.XLOOKUP(Tabela5[[#This Row],[VENDEDOR]],'[1]BASE PYTHON'!$H:$H,'[1]BASE PYTHON'!$I:$I,0)</f>
        <v>14091.089999999997</v>
      </c>
      <c r="K11" s="23">
        <f>Tabela5[[#This Row],[COMPROMISSO]]-Tabela5[[#This Row],[ATINGIDO]]</f>
        <v>-3091.0899999999965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47946.1</v>
      </c>
      <c r="Q11" s="2">
        <f>O11-P11</f>
        <v>-47946.1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45</v>
      </c>
      <c r="W11" s="19">
        <f t="shared" ref="W11:W20" si="0">U11-V11</f>
        <v>7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5400</v>
      </c>
      <c r="J12" s="22">
        <f>_xlfn.XLOOKUP(Tabela5[[#This Row],[VENDEDOR]],'[1]BASE PYTHON'!$H:$H,'[1]BASE PYTHON'!$I:$I,0)</f>
        <v>5626.22</v>
      </c>
      <c r="K12" s="23">
        <f>Tabela5[[#This Row],[COMPROMISSO]]-Tabela5[[#This Row],[ATINGIDO]]</f>
        <v>-226.22000000000025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35</v>
      </c>
      <c r="W12" s="19">
        <f t="shared" si="0"/>
        <v>6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52564.160000000003</v>
      </c>
      <c r="E13" s="24">
        <f>Tabela13[[#This Row],[META A]]-Tabela13[[#This Row],[ATINGIDO]]</f>
        <v>37435.839999999997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13000</v>
      </c>
      <c r="J13" s="22">
        <f>_xlfn.XLOOKUP(Tabela5[[#This Row],[VENDEDOR]],'[1]BASE PYTHON'!$H:$H,'[1]BASE PYTHON'!$I:$I,0)</f>
        <v>5803.97</v>
      </c>
      <c r="K13" s="23">
        <f>Tabela5[[#This Row],[COMPROMISSO]]-Tabela5[[#This Row],[ATINGIDO]]</f>
        <v>7196.03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9288.7000000000007</v>
      </c>
      <c r="Q13" s="2">
        <f t="shared" ref="Q13:Q17" si="1">O13-P13</f>
        <v>-9288.7000000000007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52</v>
      </c>
      <c r="W13" s="19">
        <f t="shared" si="0"/>
        <v>7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186453.93999999983</v>
      </c>
      <c r="E14" s="27">
        <f>Tabela13[[#This Row],[META A]]-Tabela13[[#This Row],[ATINGIDO]]</f>
        <v>86546.060000000172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3840</v>
      </c>
      <c r="J14" s="22">
        <f>_xlfn.XLOOKUP(Tabela5[[#This Row],[VENDEDOR]],'[1]BASE PYTHON'!$H:$H,'[1]BASE PYTHON'!$I:$I,0)</f>
        <v>1758.1500000000003</v>
      </c>
      <c r="K14" s="23">
        <f>Tabela5[[#This Row],[COMPROMISSO]]-Tabela5[[#This Row],[ATINGIDO]]</f>
        <v>2081.8499999999995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21</v>
      </c>
      <c r="W14" s="19">
        <f t="shared" si="0"/>
        <v>6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53021.480000000069</v>
      </c>
      <c r="E15" s="24">
        <f>Tabela13[[#This Row],[META A]]-Tabela13[[#This Row],[ATINGIDO]]</f>
        <v>24978.519999999931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12072.2</v>
      </c>
      <c r="K15" s="23">
        <f>Tabela5[[#This Row],[COMPROMISSO]]-Tabela5[[#This Row],[ATINGIDO]]</f>
        <v>2927.7999999999993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16606.490000000002</v>
      </c>
      <c r="Q15" s="2">
        <f t="shared" si="1"/>
        <v>-16606.490000000002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259576.11999999994</v>
      </c>
      <c r="E16" s="27">
        <f>Tabela13[[#This Row],[META A]]-Tabela13[[#This Row],[ATINGIDO]]</f>
        <v>65423.880000000063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9840</v>
      </c>
      <c r="J16" s="22">
        <f>_xlfn.XLOOKUP(Tabela5[[#This Row],[VENDEDOR]],'[1]BASE PYTHON'!$H:$H,'[1]BASE PYTHON'!$I:$I,0)</f>
        <v>6971.079999999999</v>
      </c>
      <c r="K16" s="23">
        <f>Tabela5[[#This Row],[COMPROMISSO]]-Tabela5[[#This Row],[ATINGIDO]]</f>
        <v>2868.920000000001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36</v>
      </c>
      <c r="W16" s="19">
        <f t="shared" si="0"/>
        <v>3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267282.20000000024</v>
      </c>
      <c r="E17" s="24">
        <f>Tabela13[[#This Row],[META A]]-Tabela13[[#This Row],[ATINGIDO]]</f>
        <v>-97282.200000000244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4850</v>
      </c>
      <c r="J17" s="22">
        <f>_xlfn.XLOOKUP(Tabela5[[#This Row],[VENDEDOR]],'[1]BASE PYTHON'!$H:$H,'[1]BASE PYTHON'!$I:$I,0)</f>
        <v>2791.9200000000005</v>
      </c>
      <c r="K17" s="23">
        <f>Tabela5[[#This Row],[COMPROMISSO]]-Tabela5[[#This Row],[ATINGIDO]]</f>
        <v>2058.0799999999995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4507.2</v>
      </c>
      <c r="Q17" s="2">
        <f t="shared" si="1"/>
        <v>-4507.2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50</v>
      </c>
      <c r="W17" s="19">
        <f t="shared" si="0"/>
        <v>-1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1714.3500000000001</v>
      </c>
      <c r="K18" s="23">
        <f>Tabela5[[#This Row],[COMPROMISSO]]-Tabela5[[#This Row],[ATINGIDO]]</f>
        <v>5125.6499999999996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43</v>
      </c>
      <c r="W18" s="19">
        <f t="shared" si="0"/>
        <v>2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114220.90000000004</v>
      </c>
      <c r="E19" s="24">
        <f>Tabela13[[#This Row],[META A]]-Tabela13[[#This Row],[ATINGIDO]]</f>
        <v>15779.099999999962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7120</v>
      </c>
      <c r="J19" s="22">
        <f>_xlfn.XLOOKUP(Tabela5[[#This Row],[VENDEDOR]],'[1]BASE PYTHON'!$H:$H,'[1]BASE PYTHON'!$I:$I,0)</f>
        <v>4774.07</v>
      </c>
      <c r="K19" s="23">
        <f>Tabela5[[#This Row],[COMPROMISSO]]-Tabela5[[#This Row],[ATINGIDO]]</f>
        <v>2345.9300000000003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60</v>
      </c>
      <c r="W19" s="19">
        <f t="shared" si="0"/>
        <v>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283519.83999999997</v>
      </c>
      <c r="E20" s="27">
        <f>Tabela13[[#This Row],[META A]]-Tabela13[[#This Row],[ATINGIDO]]</f>
        <v>276480.16000000003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15000</v>
      </c>
      <c r="J20" s="22">
        <f>_xlfn.XLOOKUP(Tabela5[[#This Row],[VENDEDOR]],'[1]BASE PYTHON'!$H:$H,'[1]BASE PYTHON'!$I:$I,0)</f>
        <v>11655.55</v>
      </c>
      <c r="K20" s="23">
        <f>Tabela5[[#This Row],[COMPROMISSO]]-Tabela5[[#This Row],[ATINGIDO]]</f>
        <v>3344.4500000000007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25</v>
      </c>
      <c r="W20" s="19">
        <f t="shared" si="0"/>
        <v>14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287660.6999999999</v>
      </c>
      <c r="E21" s="24">
        <f>Tabela13[[#This Row],[META A]]-Tabela13[[#This Row],[ATINGIDO]]</f>
        <v>127339.3000000001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5100</v>
      </c>
      <c r="J21" s="22">
        <f>_xlfn.XLOOKUP(Tabela5[[#This Row],[VENDEDOR]],'[1]BASE PYTHON'!$H:$H,'[1]BASE PYTHON'!$I:$I,0)</f>
        <v>1261.6000000000001</v>
      </c>
      <c r="K21" s="23">
        <f>Tabela5[[#This Row],[COMPROMISSO]]-Tabela5[[#This Row],[ATINGIDO]]</f>
        <v>3838.3999999999996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74178.729999999981</v>
      </c>
      <c r="E22" s="27">
        <f>Tabela13[[#This Row],[META A]]-Tabela13[[#This Row],[ATINGIDO]]</f>
        <v>47821.270000000019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3320</v>
      </c>
      <c r="J22" s="22">
        <f>_xlfn.XLOOKUP(Tabela5[[#This Row],[VENDEDOR]],'[1]BASE PYTHON'!$H:$H,'[1]BASE PYTHON'!$I:$I,0)</f>
        <v>1483.75</v>
      </c>
      <c r="K22" s="23">
        <f>Tabela5[[#This Row],[COMPROMISSO]]-Tabela5[[#This Row],[ATINGIDO]]</f>
        <v>1836.25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2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138653.63499999963</v>
      </c>
      <c r="E23" s="24">
        <f>Tabela13[[#This Row],[META A]]-Tabela13[[#This Row],[ATINGIDO]]</f>
        <v>56346.365000000369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4010</v>
      </c>
      <c r="J23" s="22">
        <f>_xlfn.XLOOKUP(Tabela5[[#This Row],[VENDEDOR]],'[1]BASE PYTHON'!$H:$H,'[1]BASE PYTHON'!$I:$I,0)</f>
        <v>1257.3499999999999</v>
      </c>
      <c r="K23" s="23">
        <f>Tabela5[[#This Row],[COMPROMISSO]]-Tabela5[[#This Row],[ATINGIDO]]</f>
        <v>2752.65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36</v>
      </c>
      <c r="W23" s="19">
        <f t="shared" si="2"/>
        <v>19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97563.540000000081</v>
      </c>
      <c r="E24" s="27">
        <f>Tabela13[[#This Row],[META A]]-Tabela13[[#This Row],[ATINGIDO]]</f>
        <v>42436.459999999919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4700</v>
      </c>
      <c r="J24" s="22">
        <f>_xlfn.XLOOKUP(Tabela5[[#This Row],[VENDEDOR]],'[1]BASE PYTHON'!$H:$H,'[1]BASE PYTHON'!$I:$I,0)</f>
        <v>839.7600000000001</v>
      </c>
      <c r="K24" s="23">
        <f>Tabela5[[#This Row],[COMPROMISSO]]-Tabela5[[#This Row],[ATINGIDO]]</f>
        <v>3860.24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646282.51999999967</v>
      </c>
      <c r="Q24" s="7">
        <f>O24-P24</f>
        <v>-26964.338181817788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22</v>
      </c>
      <c r="W24" s="19">
        <f t="shared" si="2"/>
        <v>15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86311.229999999792</v>
      </c>
      <c r="E25" s="24">
        <f>Tabela13[[#This Row],[META A]]-Tabela13[[#This Row],[ATINGIDO]]</f>
        <v>56188.770000000208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2690</v>
      </c>
      <c r="J25" s="22">
        <f>_xlfn.XLOOKUP(Tabela5[[#This Row],[VENDEDOR]],'[1]BASE PYTHON'!$H:$H,'[1]BASE PYTHON'!$I:$I,0)</f>
        <v>2448.94</v>
      </c>
      <c r="K25" s="23">
        <f>Tabela5[[#This Row],[COMPROMISSO]]-Tabela5[[#This Row],[ATINGIDO]]</f>
        <v>241.05999999999995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38</v>
      </c>
      <c r="W25" s="19">
        <f t="shared" si="2"/>
        <v>13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51628.47000000011</v>
      </c>
      <c r="E26" s="27">
        <f>Tabela13[[#This Row],[META A]]-Tabela13[[#This Row],[ATINGIDO]]</f>
        <v>38371.52999999989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3530</v>
      </c>
      <c r="J26" s="22">
        <f>_xlfn.XLOOKUP(Tabela5[[#This Row],[VENDEDOR]],'[1]BASE PYTHON'!$H:$H,'[1]BASE PYTHON'!$I:$I,0)</f>
        <v>1620.8200000000004</v>
      </c>
      <c r="K26" s="23">
        <f>Tabela5[[#This Row],[COMPROMISSO]]-Tabela5[[#This Row],[ATINGIDO]]</f>
        <v>1909.1799999999996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25</v>
      </c>
      <c r="W26" s="19">
        <f t="shared" si="2"/>
        <v>10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177256.26999999961</v>
      </c>
      <c r="E27" s="24">
        <f>Tabela13[[#This Row],[META A]]-Tabela13[[#This Row],[ATINGIDO]]</f>
        <v>60243.730000000389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2670</v>
      </c>
      <c r="J27" s="22">
        <f>_xlfn.XLOOKUP(Tabela5[[#This Row],[VENDEDOR]],'[1]BASE PYTHON'!$H:$H,'[1]BASE PYTHON'!$I:$I,0)</f>
        <v>2106.0099999999998</v>
      </c>
      <c r="K27" s="23">
        <f>Tabela5[[#This Row],[COMPROMISSO]]-Tabela5[[#This Row],[ATINGIDO]]</f>
        <v>563.99000000000024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244872.42999999938</v>
      </c>
      <c r="E28" s="27">
        <f>Tabela13[[#This Row],[META A]]-Tabela13[[#This Row],[ATINGIDO]]</f>
        <v>73627.570000000618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105736.07999999996</v>
      </c>
      <c r="E29" s="24">
        <f>Tabela13[[#This Row],[META A]]-Tabela13[[#This Row],[ATINGIDO]]</f>
        <v>69263.920000000042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98334.649999999921</v>
      </c>
      <c r="E30" s="27">
        <f>Tabela13[[#This Row],[META A]]-Tabela13[[#This Row],[ATINGIDO]]</f>
        <v>36165.350000000079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123291.98999999996</v>
      </c>
      <c r="E31" s="24">
        <f>Tabela13[[#This Row],[META A]]-Tabela13[[#This Row],[ATINGIDO]]</f>
        <v>43708.010000000038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185314.89999999973</v>
      </c>
      <c r="E32" s="27">
        <f>Tabela13[[#This Row],[META A]]-Tabela13[[#This Row],[ATINGIDO]]</f>
        <v>74685.100000000268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60790.330000000104</v>
      </c>
      <c r="E33" s="24">
        <f>Tabela13[[#This Row],[META A]]-Tabela13[[#This Row],[ATINGIDO]]</f>
        <v>39209.669999999896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699081.54000000213</v>
      </c>
      <c r="K33" s="7">
        <f t="shared" si="4"/>
        <v>-47831.540000002133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233</v>
      </c>
      <c r="W33" s="6">
        <f t="shared" si="3"/>
        <v>-60.727272727272748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31288.660000000022</v>
      </c>
      <c r="E34" s="27">
        <f>Tabela13[[#This Row],[META A]]-Tabela13[[#This Row],[ATINGIDO]]</f>
        <v>23711.339999999978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519971.72500000335</v>
      </c>
      <c r="K34" s="7">
        <f t="shared" si="4"/>
        <v>131278.27499999665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53684.61</v>
      </c>
      <c r="E35" s="24">
        <f>Tabela13[[#This Row],[META A]]-Tabela13[[#This Row],[ATINGIDO]]</f>
        <v>19315.39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1103560.1899999958</v>
      </c>
      <c r="E41" s="7">
        <f t="shared" ref="E41:E43" si="5">C41-D41</f>
        <v>-582560.18999999575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1384220.9299999916</v>
      </c>
      <c r="E42" s="7">
        <f t="shared" si="5"/>
        <v>-732970.92999999155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1166508.1350000007</v>
      </c>
      <c r="E43" s="7">
        <f t="shared" si="5"/>
        <v>-515258.13500000071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2026-07-23T17:01:55Z</dcterms:modified>
</cp:coreProperties>
</file>