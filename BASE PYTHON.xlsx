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1B5B1C6-12CA-46FC-95CE-D7765EDD1DE3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2" i="2"/>
  <c r="V30" i="2"/>
  <c r="V31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5" i="2"/>
  <c r="J33" i="2"/>
  <c r="P23" i="2"/>
  <c r="D44" i="2"/>
  <c r="D43" i="2"/>
  <c r="J35" i="2"/>
  <c r="P21" i="2"/>
  <c r="D41" i="2"/>
  <c r="P24" i="2"/>
  <c r="J31" i="2"/>
  <c r="P22" i="2"/>
  <c r="J32" i="2"/>
  <c r="D40" i="2"/>
  <c r="J34" i="2"/>
  <c r="D4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<sst xmlns="http://schemas.openxmlformats.org/spreadsheetml/2006/main" count="215" uniqueCount="54">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</sst>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36967.219999999994</v>
          </cell>
          <cell r="H5" t="str">
            <v>CAMPINAS</v>
          </cell>
          <cell r="I5">
            <v>1796.4999999999998</v>
          </cell>
        </row>
        <row r="6">
          <cell r="E6" t="str">
            <v>CENTRO</v>
          </cell>
          <cell r="F6">
            <v>251896.55999999962</v>
          </cell>
          <cell r="H6" t="str">
            <v>CENTRO</v>
          </cell>
          <cell r="I6">
            <v>1774.7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INTERLAGOS</v>
          </cell>
          <cell r="I7">
            <v>169.9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LESTE</v>
          </cell>
          <cell r="I8">
            <v>430.15</v>
          </cell>
          <cell r="K8" t="str">
            <v>CENTRO</v>
          </cell>
          <cell r="N8">
            <v>40</v>
          </cell>
        </row>
        <row r="9">
          <cell r="E9" t="str">
            <v>INDAIATUBA</v>
          </cell>
          <cell r="F9">
            <v>49046.209999999992</v>
          </cell>
          <cell r="H9" t="str">
            <v>LESTE MOOCA</v>
          </cell>
          <cell r="I9">
            <v>2834.6</v>
          </cell>
          <cell r="K9" t="str">
            <v>INDAIATUBA</v>
          </cell>
          <cell r="N9">
            <v>31</v>
          </cell>
        </row>
        <row r="10">
          <cell r="E10" t="str">
            <v>INTERLAGOS</v>
          </cell>
          <cell r="F10">
            <v>170669.08999999985</v>
          </cell>
          <cell r="H10" t="str">
            <v>LESTE PENHA</v>
          </cell>
          <cell r="I10">
            <v>625.89</v>
          </cell>
          <cell r="K10" t="str">
            <v>JUNDIAI</v>
          </cell>
          <cell r="N10">
            <v>18</v>
          </cell>
        </row>
        <row r="11">
          <cell r="E11" t="str">
            <v>JUNDIAI</v>
          </cell>
          <cell r="F11">
            <v>48386.230000000061</v>
          </cell>
          <cell r="H11" t="str">
            <v>MOGI</v>
          </cell>
          <cell r="I11">
            <v>608.20000000000005</v>
          </cell>
          <cell r="K11" t="str">
            <v>LESTE</v>
          </cell>
          <cell r="N11">
            <v>27</v>
          </cell>
        </row>
        <row r="12">
          <cell r="E12" t="str">
            <v>KEY ABC</v>
          </cell>
          <cell r="F12">
            <v>209220.31999999995</v>
          </cell>
          <cell r="H12" t="str">
            <v>PIRITUBA</v>
          </cell>
          <cell r="I12">
            <v>664.59999999999991</v>
          </cell>
          <cell r="K12" t="str">
            <v>LESTE PENHA</v>
          </cell>
          <cell r="N12">
            <v>23</v>
          </cell>
        </row>
        <row r="13">
          <cell r="E13" t="str">
            <v>KEY CASA</v>
          </cell>
          <cell r="F13">
            <v>263985.40000000084</v>
          </cell>
          <cell r="H13" t="str">
            <v>SJC</v>
          </cell>
          <cell r="I13">
            <v>809</v>
          </cell>
          <cell r="K13" t="str">
            <v>LESTE TATUAPE</v>
          </cell>
          <cell r="N13">
            <v>33</v>
          </cell>
        </row>
        <row r="14">
          <cell r="E14" t="str">
            <v>KEY INTERIOR</v>
          </cell>
          <cell r="F14">
            <v>516869.3000000001</v>
          </cell>
          <cell r="H14" t="str">
            <v>VENDEDOR INTERNO 1</v>
          </cell>
          <cell r="I14">
            <v>75</v>
          </cell>
          <cell r="K14" t="str">
            <v>NORTE</v>
          </cell>
          <cell r="N14">
            <v>38</v>
          </cell>
        </row>
        <row r="15">
          <cell r="E15" t="str">
            <v>KEY PIRACICABA</v>
          </cell>
          <cell r="F15">
            <v>87483.259999999951</v>
          </cell>
          <cell r="H15" t="str">
            <v>Total Geral</v>
          </cell>
          <cell r="I15">
            <v>9788.5399999999972</v>
          </cell>
          <cell r="K15" t="str">
            <v>OSASCO</v>
          </cell>
          <cell r="N15">
            <v>58</v>
          </cell>
        </row>
        <row r="16">
          <cell r="E16" t="str">
            <v>KEY SJC</v>
          </cell>
          <cell r="F16">
            <v>90046.200000000041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263197.75</v>
          </cell>
          <cell r="K17" t="str">
            <v>SANTO ANDRE</v>
          </cell>
          <cell r="N17">
            <v>24</v>
          </cell>
        </row>
        <row r="18">
          <cell r="E18" t="str">
            <v>KEY ZL</v>
          </cell>
          <cell r="F18">
            <v>258438.59999999986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69350.580000000045</v>
          </cell>
          <cell r="K19" t="str">
            <v>Total Geral</v>
          </cell>
          <cell r="N19">
            <v>340</v>
          </cell>
        </row>
        <row r="20">
          <cell r="E20" t="str">
            <v>LESTE MOOCA</v>
          </cell>
          <cell r="F20">
            <v>127218.56499999974</v>
          </cell>
        </row>
        <row r="21">
          <cell r="E21" t="str">
            <v>LESTE PENHA</v>
          </cell>
          <cell r="F21">
            <v>90656.390000000029</v>
          </cell>
        </row>
        <row r="22">
          <cell r="E22" t="str">
            <v>LESTE TATUAPE</v>
          </cell>
          <cell r="F22">
            <v>81708.579999999885</v>
          </cell>
        </row>
        <row r="23">
          <cell r="E23" t="str">
            <v>MOGI</v>
          </cell>
          <cell r="F23">
            <v>46198.100000000079</v>
          </cell>
        </row>
        <row r="24">
          <cell r="E24" t="str">
            <v>NORTE</v>
          </cell>
          <cell r="F24">
            <v>155921.10999999984</v>
          </cell>
        </row>
        <row r="25">
          <cell r="E25" t="str">
            <v>OSASCO</v>
          </cell>
          <cell r="F25">
            <v>228769.10999999967</v>
          </cell>
        </row>
        <row r="26">
          <cell r="E26" t="str">
            <v>PIRITUBA</v>
          </cell>
          <cell r="F26">
            <v>89465.709999999919</v>
          </cell>
        </row>
        <row r="27">
          <cell r="E27" t="str">
            <v>SANTO ANDRE</v>
          </cell>
          <cell r="F27">
            <v>104847.86999999995</v>
          </cell>
        </row>
        <row r="28">
          <cell r="E28" t="str">
            <v>SBC</v>
          </cell>
          <cell r="F28">
            <v>169078.53999999989</v>
          </cell>
        </row>
        <row r="29">
          <cell r="E29" t="str">
            <v>SJC</v>
          </cell>
          <cell r="F29">
            <v>56833.890000000094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51586.549999999988</v>
          </cell>
        </row>
        <row r="32">
          <cell r="E32" t="str">
            <v>Total Geral</v>
          </cell>
          <cell r="F32">
            <v>3548734.2749999715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A7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3548734.2750000004</v>
      </c>
      <c r="D5" s="2"/>
      <c r="E5" s="4"/>
      <c r="F5" s="4"/>
      <c r="G5" s="4"/>
      <c r="H5" s="4" t="s">
        <v>1</v>
      </c>
      <c r="I5" s="7">
        <f>SUM(J10:J27)</f>
        <v>9788.5399999999991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340</v>
      </c>
      <c r="V5" s="4"/>
      <c r="W5" s="4"/>
    </row>
    <row r="6" spans="1:23" x14ac:dyDescent="0.25">
      <c r="A6" s="4"/>
      <c r="B6" s="4" t="s">
        <v>2</v>
      </c>
      <c r="C6" s="2">
        <f>C4-C5</f>
        <v>2043765.7249999996</v>
      </c>
      <c r="D6" s="2"/>
      <c r="E6" s="4"/>
      <c r="F6" s="4"/>
      <c r="G6" s="4"/>
      <c r="H6" s="4" t="s">
        <v>2</v>
      </c>
      <c r="I6" s="7">
        <f>I4-I5</f>
        <v>140211.46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418</v>
      </c>
      <c r="V6" s="4"/>
      <c r="W6" s="4"/>
    </row>
    <row r="7" spans="1:23" x14ac:dyDescent="0.25">
      <c r="A7" s="4"/>
      <c r="B7" s="4" t="s">
        <v>3</v>
      </c>
      <c r="C7" s="3">
        <f>1-(C6/C4)</f>
        <v>0.6345523960661601</v>
      </c>
      <c r="D7" s="2"/>
      <c r="E7" s="4"/>
      <c r="F7" s="4"/>
      <c r="G7" s="4"/>
      <c r="H7" s="4" t="s">
        <v>3</v>
      </c>
      <c r="I7" s="3">
        <f>1-(I6/I4)</f>
        <v>6.5256933333333378E-2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0.44854881266490765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36967.219999999994</v>
      </c>
      <c r="E10" s="27">
        <f>Tabela13[[#This Row],[META A]]-Tabela13[[#This Row],[ATINGIDO]]</f>
        <v>27532.780000000006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17000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251896.55999999962</v>
      </c>
      <c r="E11" s="24">
        <f>Tabela13[[#This Row],[META A]]-Tabela13[[#This Row],[ATINGIDO]]</f>
        <v>73103.440000000381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11960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40</v>
      </c>
      <c r="W11" s="19">
        <f t="shared" ref="W11:W20" si="0">U11-V11</f>
        <v>12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664.59999999999991</v>
      </c>
      <c r="K12" s="23">
        <f>Tabela5[[#This Row],[COMPROMISSO]]-Tabela5[[#This Row],[ATINGIDO]]</f>
        <v>8445.4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31</v>
      </c>
      <c r="W12" s="19">
        <f t="shared" si="0"/>
        <v>10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49046.209999999992</v>
      </c>
      <c r="E13" s="24">
        <f>Tabela13[[#This Row],[META A]]-Tabela13[[#This Row],[ATINGIDO]]</f>
        <v>40953.790000000008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170669.08999999985</v>
      </c>
      <c r="E14" s="27">
        <f>Tabela13[[#This Row],[META A]]-Tabela13[[#This Row],[ATINGIDO]]</f>
        <v>102330.91000000015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4280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18</v>
      </c>
      <c r="W14" s="19">
        <f t="shared" si="0"/>
        <v>9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48386.230000000061</v>
      </c>
      <c r="E15" s="24">
        <f>Tabela13[[#This Row],[META A]]-Tabela13[[#This Row],[ATINGIDO]]</f>
        <v>29613.769999999939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1774.7</v>
      </c>
      <c r="K15" s="23">
        <f>Tabela5[[#This Row],[COMPROMISSO]]-Tabela5[[#This Row],[ATINGIDO]]</f>
        <v>13225.3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27</v>
      </c>
      <c r="W15" s="19">
        <f>U15-V15</f>
        <v>21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13470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608.20000000000005</v>
      </c>
      <c r="K17" s="23">
        <f>Tabela5[[#This Row],[COMPROMISSO]]-Tabela5[[#This Row],[ATINGIDO]]</f>
        <v>1921.8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516869.3000000001</v>
      </c>
      <c r="E18" s="27">
        <f>Tabela13[[#This Row],[META A]]-Tabela13[[#This Row],[ATINGIDO]]</f>
        <v>433130.6999999999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430.15</v>
      </c>
      <c r="K18" s="23">
        <f>Tabela5[[#This Row],[COMPROMISSO]]-Tabela5[[#This Row],[ATINGIDO]]</f>
        <v>6409.85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38</v>
      </c>
      <c r="W18" s="19">
        <f t="shared" si="0"/>
        <v>7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2834.6</v>
      </c>
      <c r="K19" s="23">
        <f>Tabela5[[#This Row],[COMPROMISSO]]-Tabela5[[#This Row],[ATINGIDO]]</f>
        <v>8075.4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58</v>
      </c>
      <c r="W19" s="19">
        <f t="shared" si="0"/>
        <v>3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263197.75</v>
      </c>
      <c r="E20" s="27">
        <f>Tabela13[[#This Row],[META A]]-Tabela13[[#This Row],[ATINGIDO]]</f>
        <v>296802.25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169.9</v>
      </c>
      <c r="K20" s="23">
        <f>Tabela5[[#This Row],[COMPROMISSO]]-Tabela5[[#This Row],[ATINGIDO]]</f>
        <v>12830.1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23</v>
      </c>
      <c r="W20" s="19">
        <f t="shared" si="0"/>
        <v>16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258438.59999999986</v>
      </c>
      <c r="E21" s="24">
        <f>Tabela13[[#This Row],[META A]]-Tabela13[[#This Row],[ATINGIDO]]</f>
        <v>156561.40000000014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5490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69350.580000000045</v>
      </c>
      <c r="E22" s="27">
        <f>Tabela13[[#This Row],[META A]]-Tabela13[[#This Row],[ATINGIDO]]</f>
        <v>52649.419999999955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625.89</v>
      </c>
      <c r="K22" s="23">
        <f>Tabela5[[#This Row],[COMPROMISSO]]-Tabela5[[#This Row],[ATINGIDO]]</f>
        <v>6724.11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563167.95000000019</v>
      </c>
      <c r="Q22" s="7">
        <f>O22-P22</f>
        <v>-67713.404545454716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24</v>
      </c>
      <c r="W22" s="19">
        <f t="shared" si="2"/>
        <v>16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127218.56499999974</v>
      </c>
      <c r="E23" s="24">
        <f>Tabela13[[#This Row],[META A]]-Tabela13[[#This Row],[ATINGIDO]]</f>
        <v>67781.43500000026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5290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90656.390000000029</v>
      </c>
      <c r="E24" s="27">
        <f>Tabela13[[#This Row],[META A]]-Tabela13[[#This Row],[ATINGIDO]]</f>
        <v>49343.609999999971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75</v>
      </c>
      <c r="K24" s="23">
        <f>Tabela5[[#This Row],[COMPROMISSO]]-Tabela5[[#This Row],[ATINGIDO]]</f>
        <v>3465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159031.71</v>
      </c>
      <c r="Q24" s="7">
        <f>O24-P24</f>
        <v>460286.47181818192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81708.579999999885</v>
      </c>
      <c r="E25" s="24">
        <f>Tabela13[[#This Row],[META A]]-Tabela13[[#This Row],[ATINGIDO]]</f>
        <v>60791.420000000115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809</v>
      </c>
      <c r="K25" s="23">
        <f>Tabela5[[#This Row],[COMPROMISSO]]-Tabela5[[#This Row],[ATINGIDO]]</f>
        <v>3091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33</v>
      </c>
      <c r="W25" s="19">
        <f t="shared" si="2"/>
        <v>18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46198.100000000079</v>
      </c>
      <c r="E26" s="27">
        <f>Tabela13[[#This Row],[META A]]-Tabela13[[#This Row],[ATINGIDO]]</f>
        <v>43801.899999999921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155921.10999999984</v>
      </c>
      <c r="E27" s="24">
        <f>Tabela13[[#This Row],[META A]]-Tabela13[[#This Row],[ATINGIDO]]</f>
        <v>81578.890000000159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1796.4999999999998</v>
      </c>
      <c r="K27" s="23">
        <f>Tabela5[[#This Row],[COMPROMISSO]]-Tabela5[[#This Row],[ATINGIDO]]</f>
        <v>753.50000000000023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228769.10999999967</v>
      </c>
      <c r="E28" s="27">
        <f>Tabela13[[#This Row],[META A]]-Tabela13[[#This Row],[ATINGIDO]]</f>
        <v>89730.890000000334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89465.709999999919</v>
      </c>
      <c r="E30" s="27">
        <f>Tabela13[[#This Row],[META A]]-Tabela13[[#This Row],[ATINGIDO]]</f>
        <v>45034.290000000081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104847.86999999995</v>
      </c>
      <c r="E31" s="24">
        <f>Tabela13[[#This Row],[META A]]-Tabela13[[#This Row],[ATINGIDO]]</f>
        <v>62152.130000000048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169078.53999999989</v>
      </c>
      <c r="E32" s="27">
        <f>Tabela13[[#This Row],[META A]]-Tabela13[[#This Row],[ATINGIDO]]</f>
        <v>90921.460000000108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56833.890000000094</v>
      </c>
      <c r="E33" s="24">
        <f>Tabela13[[#This Row],[META A]]-Tabela13[[#This Row],[ATINGIDO]]</f>
        <v>43166.109999999906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82</v>
      </c>
      <c r="W33" s="6">
        <f t="shared" si="3"/>
        <v>90.272727272727252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347699.70500000124</v>
      </c>
      <c r="K34" s="7">
        <f t="shared" si="4"/>
        <v>303550.29499999876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51586.549999999988</v>
      </c>
      <c r="E35" s="24">
        <f>Tabela13[[#This Row],[META A]]-Tabela13[[#This Row],[ATINGIDO]]</f>
        <v>21413.450000000012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506985.30500000098</v>
      </c>
      <c r="E43" s="7">
        <f t="shared" si="5"/>
        <v>144264.69499999902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2026-07-22T11:48:48Z</dcterms:modified>
</cp:coreProperties>
</file>