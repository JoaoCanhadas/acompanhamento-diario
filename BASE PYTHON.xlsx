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326A62A-8140-4DFE-AE5C-97E9A8A8A752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1" i="2"/>
  <c r="V32" i="2"/>
  <c r="V30" i="2"/>
  <c r="V34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3" i="2"/>
  <c r="P23" i="2"/>
  <c r="D41" i="2"/>
  <c r="D42" i="2"/>
  <c r="P25" i="2"/>
  <c r="J34" i="2"/>
  <c r="P21" i="2"/>
  <c r="P24" i="2"/>
  <c r="J31" i="2"/>
  <c r="J33" i="2"/>
  <c r="J32" i="2"/>
  <c r="P22" i="2"/>
  <c r="D40" i="2"/>
  <c r="D44" i="2"/>
  <c r="J35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<sst xmlns="http://schemas.openxmlformats.org/spreadsheetml/2006/main" count="215" uniqueCount="54">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</sst>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42795.389999999978</v>
          </cell>
          <cell r="H5" t="str">
            <v>CAMPINAS</v>
          </cell>
          <cell r="I5">
            <v>776</v>
          </cell>
        </row>
        <row r="6">
          <cell r="E6" t="str">
            <v>CENTRO</v>
          </cell>
          <cell r="F6">
            <v>278485.97999999946</v>
          </cell>
          <cell r="H6" t="str">
            <v>CENTRO</v>
          </cell>
          <cell r="I6">
            <v>4404.8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775.06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4557.4000000000005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53339.22</v>
          </cell>
          <cell r="H9" t="str">
            <v>JUNDIAI</v>
          </cell>
          <cell r="I9">
            <v>2712.5400000000004</v>
          </cell>
          <cell r="K9" t="str">
            <v>CENTRO</v>
          </cell>
          <cell r="N9">
            <v>46</v>
          </cell>
        </row>
        <row r="10">
          <cell r="E10" t="str">
            <v>INTERLAGOS</v>
          </cell>
          <cell r="F10">
            <v>192497.13999999984</v>
          </cell>
          <cell r="H10" t="str">
            <v>KEY SJC</v>
          </cell>
          <cell r="I10">
            <v>12919.2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55734.020000000084</v>
          </cell>
          <cell r="H11" t="str">
            <v>KEY ZL</v>
          </cell>
          <cell r="I11">
            <v>29347.600000000002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258976.11999999991</v>
          </cell>
          <cell r="H12" t="str">
            <v>LESTE</v>
          </cell>
          <cell r="I12">
            <v>3256.8</v>
          </cell>
          <cell r="K12" t="str">
            <v>JUNDIAI</v>
          </cell>
          <cell r="N12">
            <v>22</v>
          </cell>
        </row>
        <row r="13">
          <cell r="E13" t="str">
            <v>KEY CASA</v>
          </cell>
          <cell r="F13">
            <v>266593.28000000014</v>
          </cell>
          <cell r="H13" t="str">
            <v>LESTE MOOCA</v>
          </cell>
          <cell r="I13">
            <v>4939.8499999999985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LESTE PENHA</v>
          </cell>
          <cell r="I14">
            <v>664.04</v>
          </cell>
          <cell r="K14" t="str">
            <v>LESTE MOOCA</v>
          </cell>
          <cell r="N14">
            <v>51</v>
          </cell>
        </row>
        <row r="15">
          <cell r="E15" t="str">
            <v>KEY PIRACICABA</v>
          </cell>
          <cell r="F15">
            <v>105736.07999999997</v>
          </cell>
          <cell r="H15" t="str">
            <v>LESTE TATUAPE</v>
          </cell>
          <cell r="I15">
            <v>4577</v>
          </cell>
          <cell r="K15" t="str">
            <v>LESTE PENHA</v>
          </cell>
          <cell r="N15">
            <v>27</v>
          </cell>
        </row>
        <row r="16">
          <cell r="E16" t="str">
            <v>KEY SJC</v>
          </cell>
          <cell r="F16">
            <v>127140.10000000006</v>
          </cell>
          <cell r="H16" t="str">
            <v>MOGI</v>
          </cell>
          <cell r="I16">
            <v>1672.7400000000002</v>
          </cell>
          <cell r="K16" t="str">
            <v>LESTE TATUAPE</v>
          </cell>
          <cell r="N16">
            <v>41</v>
          </cell>
        </row>
        <row r="17">
          <cell r="E17" t="str">
            <v>KEY SP</v>
          </cell>
          <cell r="F17">
            <v>286852.53999999992</v>
          </cell>
          <cell r="H17" t="str">
            <v>NORTE</v>
          </cell>
          <cell r="I17">
            <v>3317.6900000000005</v>
          </cell>
          <cell r="K17" t="str">
            <v>MOGI</v>
          </cell>
          <cell r="N17">
            <v>38</v>
          </cell>
        </row>
        <row r="18">
          <cell r="E18" t="str">
            <v>KEY ZL</v>
          </cell>
          <cell r="F18">
            <v>317008.29999999987</v>
          </cell>
          <cell r="H18" t="str">
            <v>OSASCO</v>
          </cell>
          <cell r="I18">
            <v>4069.9600000000005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77435.52999999997</v>
          </cell>
          <cell r="H19" t="str">
            <v>PIRITUBA</v>
          </cell>
          <cell r="I19">
            <v>858.4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144533.96499999956</v>
          </cell>
          <cell r="H20" t="str">
            <v>SANTO ANDRE</v>
          </cell>
          <cell r="I20">
            <v>895.53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98227.580000000075</v>
          </cell>
          <cell r="H21" t="str">
            <v>SBC</v>
          </cell>
          <cell r="I21">
            <v>2447.06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90888.229999999763</v>
          </cell>
          <cell r="H22" t="str">
            <v>SJC</v>
          </cell>
          <cell r="I22">
            <v>442.8</v>
          </cell>
          <cell r="K22" t="str">
            <v>SBC</v>
          </cell>
          <cell r="N22">
            <v>37</v>
          </cell>
        </row>
        <row r="23">
          <cell r="E23" t="str">
            <v>MOGI</v>
          </cell>
          <cell r="F23">
            <v>53231.210000000116</v>
          </cell>
          <cell r="H23" t="str">
            <v>SJC/VALE</v>
          </cell>
          <cell r="I23">
            <v>1493.38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180573.95999999958</v>
          </cell>
          <cell r="H24" t="str">
            <v>VENDEDOR INTERNO 1</v>
          </cell>
          <cell r="I24">
            <v>3475.8700000000003</v>
          </cell>
          <cell r="K24" t="str">
            <v>SJC/VALE</v>
          </cell>
          <cell r="N24">
            <v>26</v>
          </cell>
        </row>
        <row r="25">
          <cell r="E25" t="str">
            <v>OSASCO</v>
          </cell>
          <cell r="F25">
            <v>248942.38999999934</v>
          </cell>
          <cell r="H25" t="str">
            <v>Total Geral</v>
          </cell>
          <cell r="I25">
            <v>87603.720000000016</v>
          </cell>
          <cell r="K25" t="str">
            <v>Total Geral</v>
          </cell>
          <cell r="N25">
            <v>619</v>
          </cell>
        </row>
        <row r="26">
          <cell r="E26" t="str">
            <v>PIRITUBA</v>
          </cell>
          <cell r="F26">
            <v>99193.049999999916</v>
          </cell>
        </row>
        <row r="27">
          <cell r="E27" t="str">
            <v>SANTO ANDRE</v>
          </cell>
          <cell r="F27">
            <v>124187.51999999995</v>
          </cell>
        </row>
        <row r="28">
          <cell r="E28" t="str">
            <v>SBC</v>
          </cell>
          <cell r="F28">
            <v>187761.95999999973</v>
          </cell>
        </row>
        <row r="29">
          <cell r="E29" t="str">
            <v>SJC</v>
          </cell>
          <cell r="F29">
            <v>62177.830000000089</v>
          </cell>
        </row>
        <row r="30">
          <cell r="E30" t="str">
            <v>SJC/VALE</v>
          </cell>
          <cell r="F30">
            <v>33369.440000000017</v>
          </cell>
        </row>
        <row r="31">
          <cell r="E31" t="str">
            <v>VENDEDOR INTERNO 1</v>
          </cell>
          <cell r="F31">
            <v>57328.48000000001</v>
          </cell>
        </row>
        <row r="32">
          <cell r="E32" t="str">
            <v>Total Geral</v>
          </cell>
          <cell r="F32">
            <v>4295636.6349999402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>
      <selection activeCell="D5" sqref="D5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4295636.6349999979</v>
      </c>
      <c r="D5" s="2"/>
      <c r="E5" s="4"/>
      <c r="F5" s="4"/>
      <c r="G5" s="4"/>
      <c r="H5" s="4" t="s">
        <v>1</v>
      </c>
      <c r="I5" s="7">
        <f>SUM(J10:J27)</f>
        <v>45336.92</v>
      </c>
      <c r="J5" s="4"/>
      <c r="K5" s="4"/>
      <c r="L5" s="4"/>
      <c r="M5" s="4"/>
      <c r="N5" s="4" t="s">
        <v>1</v>
      </c>
      <c r="O5" s="7">
        <f>SUM(P11:P17)</f>
        <v>42266.8</v>
      </c>
      <c r="P5" s="4"/>
      <c r="Q5" s="4"/>
      <c r="R5" s="4"/>
      <c r="S5" s="4"/>
      <c r="T5" s="4" t="s">
        <v>1</v>
      </c>
      <c r="U5" s="4">
        <f>SUM(V10:V26)</f>
        <v>619</v>
      </c>
      <c r="V5" s="4"/>
      <c r="W5" s="4"/>
    </row>
    <row r="6" spans="1:23" x14ac:dyDescent="0.25">
      <c r="A6" s="4"/>
      <c r="B6" s="4" t="s">
        <v>2</v>
      </c>
      <c r="C6" s="2">
        <f>C4-C5</f>
        <v>1296863.3650000021</v>
      </c>
      <c r="D6" s="2"/>
      <c r="E6" s="4"/>
      <c r="F6" s="4"/>
      <c r="G6" s="4"/>
      <c r="H6" s="4" t="s">
        <v>2</v>
      </c>
      <c r="I6" s="7">
        <f>I4-I5</f>
        <v>84663.08</v>
      </c>
      <c r="J6" s="4"/>
      <c r="K6" s="4"/>
      <c r="L6" s="4"/>
      <c r="M6" s="4"/>
      <c r="N6" s="4" t="s">
        <v>2</v>
      </c>
      <c r="O6" s="7">
        <f>O4-O5</f>
        <v>-42266.8</v>
      </c>
      <c r="P6" s="4"/>
      <c r="Q6" s="4"/>
      <c r="R6" s="4"/>
      <c r="S6" s="4"/>
      <c r="T6" s="4" t="s">
        <v>2</v>
      </c>
      <c r="U6" s="4">
        <f>U4-U5</f>
        <v>139</v>
      </c>
      <c r="V6" s="4"/>
      <c r="W6" s="4"/>
    </row>
    <row r="7" spans="1:23" x14ac:dyDescent="0.25">
      <c r="A7" s="4"/>
      <c r="B7" s="4" t="s">
        <v>3</v>
      </c>
      <c r="C7" s="3">
        <f>1-(C6/C4)</f>
        <v>0.76810668484577516</v>
      </c>
      <c r="D7" s="2"/>
      <c r="E7" s="4"/>
      <c r="F7" s="4"/>
      <c r="G7" s="4"/>
      <c r="H7" s="4" t="s">
        <v>3</v>
      </c>
      <c r="I7" s="3">
        <f>1-(I6/I4)</f>
        <v>0.34874553846153844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0.81662269129287601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42795.389999999978</v>
      </c>
      <c r="E10" s="27">
        <f>Tabela13[[#This Row],[META A]]-Tabela13[[#This Row],[ATINGIDO]]</f>
        <v>21704.610000000022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4069.9600000000005</v>
      </c>
      <c r="K10" s="23">
        <f>Tabela5[[#This Row],[COMPROMISSO]]-Tabela5[[#This Row],[ATINGIDO]]</f>
        <v>8020.0399999999991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278485.97999999946</v>
      </c>
      <c r="E11" s="24">
        <f>Tabela13[[#This Row],[META A]]-Tabela13[[#This Row],[ATINGIDO]]</f>
        <v>46514.020000000542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3317.6900000000005</v>
      </c>
      <c r="K11" s="23">
        <f>Tabela5[[#This Row],[COMPROMISSO]]-Tabela5[[#This Row],[ATINGIDO]]</f>
        <v>7682.3099999999995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46</v>
      </c>
      <c r="W11" s="19">
        <f t="shared" ref="W11:W20" si="0">U11-V11</f>
        <v>6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858.4</v>
      </c>
      <c r="K12" s="23">
        <f>Tabela5[[#This Row],[COMPROMISSO]]-Tabela5[[#This Row],[ATINGIDO]]</f>
        <v>4541.6000000000004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53339.22</v>
      </c>
      <c r="E13" s="24">
        <f>Tabela13[[#This Row],[META A]]-Tabela13[[#This Row],[ATINGIDO]]</f>
        <v>36660.78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2447.06</v>
      </c>
      <c r="K13" s="23">
        <f>Tabela5[[#This Row],[COMPROMISSO]]-Tabela5[[#This Row],[ATINGIDO]]</f>
        <v>10552.94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29347.600000000002</v>
      </c>
      <c r="Q13" s="2">
        <f t="shared" ref="Q13:Q17" si="1">O13-P13</f>
        <v>-29347.600000000002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54</v>
      </c>
      <c r="W13" s="19">
        <f t="shared" si="0"/>
        <v>5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192497.13999999984</v>
      </c>
      <c r="E14" s="27">
        <f>Tabela13[[#This Row],[META A]]-Tabela13[[#This Row],[ATINGIDO]]</f>
        <v>80502.860000000161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4577</v>
      </c>
      <c r="K14" s="23">
        <f>Tabela5[[#This Row],[COMPROMISSO]]-Tabela5[[#This Row],[ATINGIDO]]</f>
        <v>-737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22</v>
      </c>
      <c r="W14" s="19">
        <f t="shared" si="0"/>
        <v>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55734.020000000084</v>
      </c>
      <c r="E15" s="24">
        <f>Tabela13[[#This Row],[META A]]-Tabela13[[#This Row],[ATINGIDO]]</f>
        <v>22265.979999999916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4404.8</v>
      </c>
      <c r="K15" s="23">
        <f>Tabela5[[#This Row],[COMPROMISSO]]-Tabela5[[#This Row],[ATINGIDO]]</f>
        <v>10595.2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258976.11999999991</v>
      </c>
      <c r="E16" s="27">
        <f>Tabela13[[#This Row],[META A]]-Tabela13[[#This Row],[ATINGIDO]]</f>
        <v>66023.880000000092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895.53</v>
      </c>
      <c r="K16" s="23">
        <f>Tabela5[[#This Row],[COMPROMISSO]]-Tabela5[[#This Row],[ATINGIDO]]</f>
        <v>8944.4699999999993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12919.2</v>
      </c>
      <c r="Q16" s="2">
        <f t="shared" si="1"/>
        <v>-12919.2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38</v>
      </c>
      <c r="W16" s="19">
        <f t="shared" si="0"/>
        <v>1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1672.7400000000002</v>
      </c>
      <c r="K17" s="23">
        <f>Tabela5[[#This Row],[COMPROMISSO]]-Tabela5[[#This Row],[ATINGIDO]]</f>
        <v>3177.2599999999998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51</v>
      </c>
      <c r="W17" s="19">
        <f t="shared" si="0"/>
        <v>-2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3256.8</v>
      </c>
      <c r="K18" s="23">
        <f>Tabela5[[#This Row],[COMPROMISSO]]-Tabela5[[#This Row],[ATINGIDO]]</f>
        <v>3583.2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4939.8499999999985</v>
      </c>
      <c r="K19" s="23">
        <f>Tabela5[[#This Row],[COMPROMISSO]]-Tabela5[[#This Row],[ATINGIDO]]</f>
        <v>2180.1500000000015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286852.53999999992</v>
      </c>
      <c r="E20" s="27">
        <f>Tabela13[[#This Row],[META A]]-Tabela13[[#This Row],[ATINGIDO]]</f>
        <v>273147.46000000008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4557.4000000000005</v>
      </c>
      <c r="K20" s="23">
        <f>Tabela5[[#This Row],[COMPROMISSO]]-Tabela5[[#This Row],[ATINGIDO]]</f>
        <v>10442.599999999999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27</v>
      </c>
      <c r="W20" s="19">
        <f t="shared" si="0"/>
        <v>12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317008.29999999987</v>
      </c>
      <c r="E21" s="24">
        <f>Tabela13[[#This Row],[META A]]-Tabela13[[#This Row],[ATINGIDO]]</f>
        <v>97991.700000000128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2712.5400000000004</v>
      </c>
      <c r="K21" s="23">
        <f>Tabela5[[#This Row],[COMPROMISSO]]-Tabela5[[#This Row],[ATINGIDO]]</f>
        <v>2387.4599999999996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77435.52999999997</v>
      </c>
      <c r="E22" s="27">
        <f>Tabela13[[#This Row],[META A]]-Tabela13[[#This Row],[ATINGIDO]]</f>
        <v>44564.47000000003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664.04</v>
      </c>
      <c r="K22" s="23">
        <f>Tabela5[[#This Row],[COMPROMISSO]]-Tabela5[[#This Row],[ATINGIDO]]</f>
        <v>2655.96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144533.96499999956</v>
      </c>
      <c r="E23" s="24">
        <f>Tabela13[[#This Row],[META A]]-Tabela13[[#This Row],[ATINGIDO]]</f>
        <v>50466.03500000044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775.06</v>
      </c>
      <c r="K23" s="23">
        <f>Tabela5[[#This Row],[COMPROMISSO]]-Tabela5[[#This Row],[ATINGIDO]]</f>
        <v>3234.94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37</v>
      </c>
      <c r="W23" s="19">
        <f t="shared" si="2"/>
        <v>18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98227.580000000075</v>
      </c>
      <c r="E24" s="27">
        <f>Tabela13[[#This Row],[META A]]-Tabela13[[#This Row],[ATINGIDO]]</f>
        <v>41772.419999999925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3475.8700000000003</v>
      </c>
      <c r="K24" s="23">
        <f>Tabela5[[#This Row],[COMPROMISSO]]-Tabela5[[#This Row],[ATINGIDO]]</f>
        <v>1224.1299999999997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690593.09999999986</v>
      </c>
      <c r="Q24" s="7">
        <f>O24-P24</f>
        <v>-71274.918181817979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90888.229999999763</v>
      </c>
      <c r="E25" s="24">
        <f>Tabela13[[#This Row],[META A]]-Tabela13[[#This Row],[ATINGIDO]]</f>
        <v>51611.770000000237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442.8</v>
      </c>
      <c r="K25" s="23">
        <f>Tabela5[[#This Row],[COMPROMISSO]]-Tabela5[[#This Row],[ATINGIDO]]</f>
        <v>2247.1999999999998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41</v>
      </c>
      <c r="W25" s="19">
        <f t="shared" si="2"/>
        <v>10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53231.210000000116</v>
      </c>
      <c r="E26" s="27">
        <f>Tabela13[[#This Row],[META A]]-Tabela13[[#This Row],[ATINGIDO]]</f>
        <v>36768.789999999884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1493.38</v>
      </c>
      <c r="K26" s="23">
        <f>Tabela5[[#This Row],[COMPROMISSO]]-Tabela5[[#This Row],[ATINGIDO]]</f>
        <v>2036.62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26</v>
      </c>
      <c r="W26" s="19">
        <f t="shared" si="2"/>
        <v>9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180573.95999999958</v>
      </c>
      <c r="E27" s="24">
        <f>Tabela13[[#This Row],[META A]]-Tabela13[[#This Row],[ATINGIDO]]</f>
        <v>56926.040000000416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776</v>
      </c>
      <c r="K27" s="23">
        <f>Tabela5[[#This Row],[COMPROMISSO]]-Tabela5[[#This Row],[ATINGIDO]]</f>
        <v>1894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248942.38999999934</v>
      </c>
      <c r="E28" s="27">
        <f>Tabela13[[#This Row],[META A]]-Tabela13[[#This Row],[ATINGIDO]]</f>
        <v>69557.610000000655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105736.07999999997</v>
      </c>
      <c r="E29" s="24">
        <f>Tabela13[[#This Row],[META A]]-Tabela13[[#This Row],[ATINGIDO]]</f>
        <v>69263.920000000027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99193.049999999916</v>
      </c>
      <c r="E30" s="27">
        <f>Tabela13[[#This Row],[META A]]-Tabela13[[#This Row],[ATINGIDO]]</f>
        <v>35306.950000000084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124187.51999999995</v>
      </c>
      <c r="E31" s="24">
        <f>Tabela13[[#This Row],[META A]]-Tabela13[[#This Row],[ATINGIDO]]</f>
        <v>42812.480000000054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187761.95999999973</v>
      </c>
      <c r="E32" s="27">
        <f>Tabela13[[#This Row],[META A]]-Tabela13[[#This Row],[ATINGIDO]]</f>
        <v>72238.04000000027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62177.830000000089</v>
      </c>
      <c r="E33" s="24">
        <f>Tabela13[[#This Row],[META A]]-Tabela13[[#This Row],[ATINGIDO]]</f>
        <v>37822.169999999911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4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264</v>
      </c>
      <c r="W33" s="6">
        <f t="shared" si="3"/>
        <v>-91.727272727272748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33369.440000000017</v>
      </c>
      <c r="E34" s="27">
        <f>Tabela13[[#This Row],[META A]]-Tabela13[[#This Row],[ATINGIDO]]</f>
        <v>21630.559999999983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571394.72500000475</v>
      </c>
      <c r="K34" s="7">
        <f t="shared" si="4"/>
        <v>79855.27499999525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57328.48000000001</v>
      </c>
      <c r="E35" s="24">
        <f>Tabela13[[#This Row],[META A]]-Tabela13[[#This Row],[ATINGIDO]]</f>
        <v>15671.51999999999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1384150.9299999916</v>
      </c>
      <c r="E42" s="7">
        <f t="shared" si="5"/>
        <v>-113355.47545453697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1262241.7149999943</v>
      </c>
      <c r="E43" s="7">
        <f t="shared" si="5"/>
        <v>8553.7395454603247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1270795.4545454546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2026-07-24T16:15:23Z</dcterms:modified>
</cp:coreProperties>
</file>