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69D845B-4157-4AA3-BDEE-222BF4897E1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3" i="2"/>
  <c r="V34" i="2"/>
  <c r="V31" i="2"/>
  <c r="V32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4" i="2"/>
  <c r="P25" i="2"/>
  <c r="J32" i="2"/>
  <c r="P21" i="2"/>
  <c r="J33" i="2"/>
  <c r="J31" i="2"/>
  <c r="P23" i="2"/>
  <c r="J35" i="2"/>
  <c r="D41" i="2"/>
  <c r="D43" i="2"/>
  <c r="J34" i="2"/>
  <c r="P22" i="2"/>
  <c r="D44" i="2"/>
  <c r="D40" i="2"/>
  <c r="D4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<sst xmlns="http://schemas.openxmlformats.org/spreadsheetml/2006/main" count="215" uniqueCount="54">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</sst>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50975.619999999966</v>
          </cell>
        </row>
        <row r="6">
          <cell r="E6" t="str">
            <v>CENTRO</v>
          </cell>
          <cell r="F6">
            <v>303519.97999999963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</row>
        <row r="8">
          <cell r="E8" t="str">
            <v>IATAGAM JUNIOR</v>
          </cell>
          <cell r="F8">
            <v>166.49</v>
          </cell>
          <cell r="K8" t="str">
            <v>CAMPINAS</v>
          </cell>
        </row>
        <row r="9">
          <cell r="E9" t="str">
            <v>INDAIATUBA</v>
          </cell>
          <cell r="F9">
            <v>65738.679999999964</v>
          </cell>
          <cell r="K9" t="str">
            <v>CENTRO</v>
          </cell>
        </row>
        <row r="10">
          <cell r="E10" t="str">
            <v>INTERLAGOS</v>
          </cell>
          <cell r="F10">
            <v>215723.47999999986</v>
          </cell>
          <cell r="K10" t="str">
            <v>INDAIATUBA</v>
          </cell>
        </row>
        <row r="11">
          <cell r="E11" t="str">
            <v>JUNDIAI</v>
          </cell>
          <cell r="F11">
            <v>64685.800000000076</v>
          </cell>
          <cell r="K11" t="str">
            <v>INTERLAGOS</v>
          </cell>
        </row>
        <row r="12">
          <cell r="E12" t="str">
            <v>KEY ABC</v>
          </cell>
          <cell r="F12">
            <v>286330.96999999997</v>
          </cell>
          <cell r="K12" t="str">
            <v>JUNDIAI</v>
          </cell>
        </row>
        <row r="13">
          <cell r="E13" t="str">
            <v>KEY CASA</v>
          </cell>
          <cell r="F13">
            <v>299567.98000000004</v>
          </cell>
          <cell r="K13" t="str">
            <v>LESTE</v>
          </cell>
        </row>
        <row r="14">
          <cell r="E14" t="str">
            <v>KEY INTERIOR</v>
          </cell>
          <cell r="F14">
            <v>942641.79999999993</v>
          </cell>
          <cell r="K14" t="str">
            <v>LESTE MOOCA</v>
          </cell>
        </row>
        <row r="15">
          <cell r="E15" t="str">
            <v>KEY PIRACICABA</v>
          </cell>
          <cell r="F15">
            <v>111181.15999999996</v>
          </cell>
          <cell r="K15" t="str">
            <v>LESTE PENHA</v>
          </cell>
        </row>
        <row r="16">
          <cell r="E16" t="str">
            <v>KEY SJC</v>
          </cell>
          <cell r="F16">
            <v>128060.50000000006</v>
          </cell>
          <cell r="K16" t="str">
            <v>LESTE TATUAPE</v>
          </cell>
        </row>
        <row r="17">
          <cell r="E17" t="str">
            <v>KEY SP</v>
          </cell>
          <cell r="F17">
            <v>303899.81999999989</v>
          </cell>
          <cell r="K17" t="str">
            <v>MOGI</v>
          </cell>
        </row>
        <row r="18">
          <cell r="E18" t="str">
            <v>KEY ZL</v>
          </cell>
          <cell r="F18">
            <v>345946.71999999945</v>
          </cell>
          <cell r="K18" t="str">
            <v>NORTE</v>
          </cell>
        </row>
        <row r="19">
          <cell r="E19" t="str">
            <v>LESTE</v>
          </cell>
          <cell r="F19">
            <v>88372.179999999906</v>
          </cell>
          <cell r="K19" t="str">
            <v>OSASCO</v>
          </cell>
        </row>
        <row r="20">
          <cell r="E20" t="str">
            <v>LESTE MOOCA</v>
          </cell>
          <cell r="F20">
            <v>160892.14499999944</v>
          </cell>
          <cell r="K20" t="str">
            <v>PIRITUBA</v>
          </cell>
        </row>
        <row r="21">
          <cell r="E21" t="str">
            <v>LESTE PENHA</v>
          </cell>
          <cell r="F21">
            <v>113938.06999999995</v>
          </cell>
          <cell r="K21" t="str">
            <v>SANTO ANDRE</v>
          </cell>
        </row>
        <row r="22">
          <cell r="E22" t="str">
            <v>LESTE TATUAPE</v>
          </cell>
          <cell r="F22">
            <v>121872.83999999969</v>
          </cell>
          <cell r="K22" t="str">
            <v>SBC</v>
          </cell>
        </row>
        <row r="23">
          <cell r="E23" t="str">
            <v>MOGI</v>
          </cell>
          <cell r="F23">
            <v>63869.980000000163</v>
          </cell>
          <cell r="K23" t="str">
            <v>SJC</v>
          </cell>
        </row>
        <row r="24">
          <cell r="E24" t="str">
            <v>NORTE</v>
          </cell>
          <cell r="F24">
            <v>208291.4799999994</v>
          </cell>
          <cell r="K24" t="str">
            <v>SJC/VALE</v>
          </cell>
        </row>
        <row r="25">
          <cell r="E25" t="str">
            <v>OSASCO</v>
          </cell>
          <cell r="F25">
            <v>279114.26499999984</v>
          </cell>
          <cell r="K25" t="str">
            <v>Total Geral</v>
          </cell>
        </row>
        <row r="26">
          <cell r="E26" t="str">
            <v>PIRITUBA</v>
          </cell>
          <cell r="F26">
            <v>112058.65999999987</v>
          </cell>
        </row>
        <row r="27">
          <cell r="E27" t="str">
            <v>SANTO ANDRE</v>
          </cell>
          <cell r="F27">
            <v>138720.66999999998</v>
          </cell>
        </row>
        <row r="28">
          <cell r="E28" t="str">
            <v>SBC</v>
          </cell>
          <cell r="F28">
            <v>212834.85999999981</v>
          </cell>
        </row>
        <row r="29">
          <cell r="E29" t="str">
            <v>SJC</v>
          </cell>
          <cell r="F29">
            <v>78088.110000000059</v>
          </cell>
        </row>
        <row r="30">
          <cell r="E30" t="str">
            <v>SJC/VALE</v>
          </cell>
          <cell r="F30">
            <v>37098.390000000021</v>
          </cell>
        </row>
        <row r="31">
          <cell r="E31" t="str">
            <v>VENDEDOR INTERNO 1</v>
          </cell>
          <cell r="F31">
            <v>66312.540000000008</v>
          </cell>
        </row>
        <row r="32">
          <cell r="E32" t="str">
            <v>Total Geral</v>
          </cell>
          <cell r="F32">
            <v>4800986.0200000368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>
      <selection activeCell="F39" sqref="F39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4800986.0199999958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0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791513.98000000417</v>
      </c>
      <c r="D6" s="2"/>
      <c r="E6" s="4"/>
      <c r="F6" s="4"/>
      <c r="G6" s="4"/>
      <c r="H6" s="4" t="s">
        <v>2</v>
      </c>
      <c r="I6" s="7">
        <f>I4-I5</f>
        <v>200000</v>
      </c>
      <c r="J6" s="4"/>
      <c r="K6" s="4"/>
      <c r="L6" s="4"/>
      <c r="M6" s="4"/>
      <c r="N6" s="4" t="s">
        <v>2</v>
      </c>
      <c r="O6" s="7">
        <f>O4-O5</f>
        <v>0</v>
      </c>
      <c r="P6" s="4"/>
      <c r="Q6" s="4"/>
      <c r="R6" s="4"/>
      <c r="S6" s="4"/>
      <c r="T6" s="4" t="s">
        <v>2</v>
      </c>
      <c r="U6" s="4">
        <f>U4-U5</f>
        <v>758</v>
      </c>
      <c r="V6" s="4"/>
      <c r="W6" s="4"/>
    </row>
    <row r="7" spans="1:23" x14ac:dyDescent="0.25">
      <c r="A7" s="4"/>
      <c r="B7" s="4" t="s">
        <v>3</v>
      </c>
      <c r="C7" s="3">
        <f>1-(C6/C4)</f>
        <v>0.85846866696468416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50975.619999999966</v>
      </c>
      <c r="E10" s="27">
        <f>Tabela13[[#This Row],[META A]]-Tabela13[[#This Row],[ATINGIDO]]</f>
        <v>13524.380000000034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19700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303519.97999999963</v>
      </c>
      <c r="E11" s="24">
        <f>Tabela13[[#This Row],[META A]]-Tabela13[[#This Row],[ATINGIDO]]</f>
        <v>21480.020000000368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14940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0</v>
      </c>
      <c r="W11" s="19">
        <f t="shared" ref="W11:W20" si="0">U11-V11</f>
        <v>52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166.49</v>
      </c>
      <c r="E12" s="27">
        <f>Tabela13[[#This Row],[META A]]-Tabela13[[#This Row],[ATINGIDO]]</f>
        <v>833.51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14750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0</v>
      </c>
      <c r="W12" s="19">
        <f t="shared" si="0"/>
        <v>41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65738.679999999964</v>
      </c>
      <c r="E13" s="24">
        <f>Tabela13[[#This Row],[META A]]-Tabela13[[#This Row],[ATINGIDO]]</f>
        <v>24261.320000000036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22120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215723.47999999986</v>
      </c>
      <c r="E14" s="27">
        <f>Tabela13[[#This Row],[META A]]-Tabela13[[#This Row],[ATINGIDO]]</f>
        <v>57276.520000000135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10330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0</v>
      </c>
      <c r="W14" s="19">
        <f t="shared" si="0"/>
        <v>27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64685.800000000076</v>
      </c>
      <c r="E15" s="24">
        <f>Tabela13[[#This Row],[META A]]-Tabela13[[#This Row],[ATINGIDO]]</f>
        <v>13314.199999999924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25680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0</v>
      </c>
      <c r="W15" s="19">
        <f>U15-V15</f>
        <v>48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286330.96999999997</v>
      </c>
      <c r="E16" s="27">
        <f>Tabela13[[#This Row],[META A]]-Tabela13[[#This Row],[ATINGIDO]]</f>
        <v>38669.030000000028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9690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299567.98000000004</v>
      </c>
      <c r="E17" s="24">
        <f>Tabela13[[#This Row],[META A]]-Tabela13[[#This Row],[ATINGIDO]]</f>
        <v>-129567.98000000004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7260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942641.79999999993</v>
      </c>
      <c r="E18" s="27">
        <f>Tabela13[[#This Row],[META A]]-Tabela13[[#This Row],[ATINGIDO]]</f>
        <v>7358.2000000000698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10040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0</v>
      </c>
      <c r="W18" s="19">
        <f t="shared" si="0"/>
        <v>45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128060.50000000006</v>
      </c>
      <c r="E19" s="24">
        <f>Tabela13[[#This Row],[META A]]-Tabela13[[#This Row],[ATINGIDO]]</f>
        <v>1939.4999999999418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10180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0</v>
      </c>
      <c r="W19" s="19">
        <f t="shared" si="0"/>
        <v>61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303899.81999999989</v>
      </c>
      <c r="E20" s="27">
        <f>Tabela13[[#This Row],[META A]]-Tabela13[[#This Row],[ATINGIDO]]</f>
        <v>256100.18000000011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13240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0</v>
      </c>
      <c r="W20" s="19">
        <f t="shared" si="0"/>
        <v>39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345946.71999999945</v>
      </c>
      <c r="E21" s="24">
        <f>Tabela13[[#This Row],[META A]]-Tabela13[[#This Row],[ATINGIDO]]</f>
        <v>69053.280000000552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7840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281585.81999999977</v>
      </c>
      <c r="Q21" s="7">
        <f>O21-P21</f>
        <v>90005.089090909343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0</v>
      </c>
      <c r="W21" s="19">
        <f t="shared" ref="W21:W26" si="2">U21-V21</f>
        <v>44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88372.179999999906</v>
      </c>
      <c r="E22" s="27">
        <f>Tabela13[[#This Row],[META A]]-Tabela13[[#This Row],[ATINGIDO]]</f>
        <v>33627.820000000094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9750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574798.8000000004</v>
      </c>
      <c r="Q22" s="7">
        <f>O22-P22</f>
        <v>-79344.254545454925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0</v>
      </c>
      <c r="W22" s="19">
        <f t="shared" si="2"/>
        <v>40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160892.14499999944</v>
      </c>
      <c r="E23" s="24">
        <f>Tabela13[[#This Row],[META A]]-Tabela13[[#This Row],[ATINGIDO]]</f>
        <v>34107.855000000563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6760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693901.8699999993</v>
      </c>
      <c r="Q23" s="7">
        <f>O23-P23</f>
        <v>-74583.688181817415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113938.06999999995</v>
      </c>
      <c r="E24" s="27">
        <f>Tabela13[[#This Row],[META A]]-Tabela13[[#This Row],[ATINGIDO]]</f>
        <v>26061.930000000051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3290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693970.58000000007</v>
      </c>
      <c r="Q24" s="7">
        <f>O24-P24</f>
        <v>-74652.398181818193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0</v>
      </c>
      <c r="W24" s="19">
        <f t="shared" si="2"/>
        <v>37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121872.83999999969</v>
      </c>
      <c r="E25" s="24">
        <f>Tabela13[[#This Row],[META A]]-Tabela13[[#This Row],[ATINGIDO]]</f>
        <v>20627.160000000309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5360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173371.87999999998</v>
      </c>
      <c r="Q25" s="7">
        <f>O25-P25</f>
        <v>445946.30181818188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0</v>
      </c>
      <c r="W25" s="19">
        <f t="shared" si="2"/>
        <v>51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63869.980000000163</v>
      </c>
      <c r="E26" s="27">
        <f>Tabela13[[#This Row],[META A]]-Tabela13[[#This Row],[ATINGIDO]]</f>
        <v>26130.019999999837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3670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208291.4799999994</v>
      </c>
      <c r="E27" s="24">
        <f>Tabela13[[#This Row],[META A]]-Tabela13[[#This Row],[ATINGIDO]]</f>
        <v>29208.520000000601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5400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279114.26499999984</v>
      </c>
      <c r="E28" s="27">
        <f>Tabela13[[#This Row],[META A]]-Tabela13[[#This Row],[ATINGIDO]]</f>
        <v>39385.735000000161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111181.15999999996</v>
      </c>
      <c r="E29" s="24">
        <f>Tabela13[[#This Row],[META A]]-Tabela13[[#This Row],[ATINGIDO]]</f>
        <v>63818.84000000004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112058.65999999987</v>
      </c>
      <c r="E30" s="27">
        <f>Tabela13[[#This Row],[META A]]-Tabela13[[#This Row],[ATINGIDO]]</f>
        <v>22441.340000000127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138720.66999999998</v>
      </c>
      <c r="E31" s="24">
        <f>Tabela13[[#This Row],[META A]]-Tabela13[[#This Row],[ATINGIDO]]</f>
        <v>28279.330000000016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280028.50000000006</v>
      </c>
      <c r="K31" s="7">
        <f>I31-J31</f>
        <v>110721.49999999994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212834.85999999981</v>
      </c>
      <c r="E32" s="27">
        <f>Tabela13[[#This Row],[META A]]-Tabela13[[#This Row],[ATINGIDO]]</f>
        <v>47165.140000000189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550596.39000000386</v>
      </c>
      <c r="K32" s="7">
        <f t="shared" ref="K32:K34" si="4">I32-J32</f>
        <v>-29596.390000003856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78088.110000000059</v>
      </c>
      <c r="E33" s="24">
        <f>Tabela13[[#This Row],[META A]]-Tabela13[[#This Row],[ATINGIDO]]</f>
        <v>21911.889999999941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718039.93000000273</v>
      </c>
      <c r="K33" s="7">
        <f t="shared" si="4"/>
        <v>-66789.930000002729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37098.390000000021</v>
      </c>
      <c r="E34" s="27">
        <f>Tabela13[[#This Row],[META A]]-Tabela13[[#This Row],[ATINGIDO]]</f>
        <v>17901.609999999979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592479.93500000483</v>
      </c>
      <c r="K34" s="7">
        <f t="shared" si="4"/>
        <v>58770.064999995171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89</v>
      </c>
      <c r="W34" s="6">
        <f>U34-V34</f>
        <v>83.272727272727252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66312.540000000008</v>
      </c>
      <c r="E35" s="24">
        <f>Tabela13[[#This Row],[META A]]-Tabela13[[#This Row],[ATINGIDO]]</f>
        <v>6687.4599999999919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240962.99499999997</v>
      </c>
      <c r="K35" s="7">
        <f>I35-J35</f>
        <v>410287.005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561722.46000000159</v>
      </c>
      <c r="E40" s="7">
        <f>C40-D40</f>
        <v>200754.81272727111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1125824.8399999966</v>
      </c>
      <c r="E41" s="7">
        <f t="shared" ref="E41:E43" si="5">C41-D41</f>
        <v>-109188.47636363294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1412384.0399999903</v>
      </c>
      <c r="E42" s="7">
        <f t="shared" si="5"/>
        <v>-141588.58545453567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1286719.8049999953</v>
      </c>
      <c r="E43" s="7">
        <f t="shared" si="5"/>
        <v>-15924.35045454069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414334.87500000076</v>
      </c>
      <c r="E44" s="7">
        <f t="shared" ref="E44" si="6">C44-D44</f>
        <v>856460.57954545389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2026-07-28T10:14:46Z</dcterms:modified>
</cp:coreProperties>
</file>