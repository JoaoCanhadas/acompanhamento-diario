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3BE6F87E-4138-4421-8FBE-76C94FD878A8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2" l="1"/>
  <c r="C5" i="2"/>
  <c r="C6" i="2"/>
  <c r="C7" i="2" s="1"/>
  <c r="AD4" i="2"/>
  <c r="AD3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N3" i="2" l="1"/>
  <c r="AN4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N20" i="2"/>
  <c r="AM21" i="2"/>
  <c r="AL21" i="2"/>
  <c r="AK21" i="2"/>
  <c r="AJ21" i="2"/>
  <c r="AC21" i="2"/>
  <c r="AB21" i="2"/>
  <c r="AA21" i="2"/>
  <c r="Z21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P12" i="2"/>
  <c r="P11" i="2"/>
  <c r="P15" i="2"/>
  <c r="P25" i="2"/>
  <c r="V30" i="2"/>
  <c r="J33" i="2"/>
  <c r="D41" i="2"/>
  <c r="P21" i="2"/>
  <c r="P22" i="2"/>
  <c r="D40" i="2"/>
  <c r="J32" i="2"/>
  <c r="V34" i="2"/>
  <c r="P16" i="2"/>
  <c r="P17" i="2"/>
  <c r="V31" i="2"/>
  <c r="V33" i="2"/>
  <c r="V32" i="2"/>
  <c r="P24" i="2"/>
  <c r="P13" i="2"/>
  <c r="D42" i="2"/>
  <c r="J34" i="2"/>
  <c r="J35" i="2"/>
  <c r="D43" i="2"/>
  <c r="P23" i="2"/>
  <c r="J31" i="2"/>
  <c r="D44" i="2"/>
  <c r="P14" i="2"/>
  <c r="Q11" i="2" l="1"/>
  <c r="Q17" i="2"/>
  <c r="Q16" i="2"/>
  <c r="Q15" i="2"/>
  <c r="Q14" i="2"/>
  <c r="Q13" i="2"/>
  <c r="Q12" i="2"/>
  <c r="E36" i="2"/>
  <c r="U5" i="2"/>
  <c r="E12" i="2"/>
  <c r="E31" i="2" l="1"/>
  <c r="E15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O4" i="2" l="1"/>
  <c r="O5" i="2"/>
  <c r="O6" i="2" l="1"/>
  <c r="O7" i="2" s="1"/>
  <c r="I4" i="2" l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AE18" i="2" l="1" a="1"/>
  <c r="AE18" i="2" s="1"/>
  <c r="AF18" i="2" s="1" a="1"/>
  <c r="AF18" i="2" s="1"/>
  <c r="AG18" i="2" s="1" a="1"/>
  <c r="AG18" i="2" s="1"/>
  <c r="AE12" i="2" a="1"/>
  <c r="AE12" i="2" s="1"/>
  <c r="AF12" i="2" s="1" a="1"/>
  <c r="AF12" i="2" s="1"/>
  <c r="AG12" i="2" s="1" a="1"/>
  <c r="AG12" i="2" s="1"/>
  <c r="AE19" i="2" a="1"/>
  <c r="AE19" i="2" s="1"/>
  <c r="AF19" i="2" s="1" a="1"/>
  <c r="AF19" i="2" s="1"/>
  <c r="AG19" i="2" s="1" a="1"/>
  <c r="AG19" i="2" s="1"/>
  <c r="AE7" i="2" a="1"/>
  <c r="AE7" i="2" s="1"/>
  <c r="AF7" i="2" s="1" a="1"/>
  <c r="AF7" i="2" s="1"/>
  <c r="AG7" i="2" s="1" a="1"/>
  <c r="AG7" i="2" s="1"/>
  <c r="AE11" i="2" a="1"/>
  <c r="AE11" i="2" s="1"/>
  <c r="AF11" i="2" s="1" a="1"/>
  <c r="AF11" i="2" s="1"/>
  <c r="AG11" i="2" s="1" a="1"/>
  <c r="AG11" i="2" s="1"/>
  <c r="AE17" i="2" a="1"/>
  <c r="AE17" i="2" s="1"/>
  <c r="AF17" i="2" s="1" a="1"/>
  <c r="AF17" i="2" s="1"/>
  <c r="AG17" i="2" s="1" a="1"/>
  <c r="AG17" i="2" s="1"/>
  <c r="AE9" i="2" a="1"/>
  <c r="AE9" i="2" s="1"/>
  <c r="AF9" i="2" s="1" a="1"/>
  <c r="AF9" i="2" s="1"/>
  <c r="AG9" i="2" s="1" a="1"/>
  <c r="AG9" i="2" s="1"/>
  <c r="AE8" i="2" a="1"/>
  <c r="AE8" i="2" s="1"/>
  <c r="AF8" i="2" s="1" a="1"/>
  <c r="AF8" i="2" s="1"/>
  <c r="AG8" i="2" s="1" a="1"/>
  <c r="AG8" i="2" s="1"/>
  <c r="AE20" i="2" a="1"/>
  <c r="AE20" i="2" s="1"/>
  <c r="AF20" i="2" s="1" a="1"/>
  <c r="AF20" i="2" s="1"/>
  <c r="AG20" i="2" s="1" a="1"/>
  <c r="AG20" i="2" s="1"/>
  <c r="AE4" i="2" a="1"/>
  <c r="AE4" i="2" s="1"/>
  <c r="AF4" i="2" s="1" a="1"/>
  <c r="AF4" i="2" s="1"/>
  <c r="AG4" i="2" s="1" a="1"/>
  <c r="AG4" i="2" s="1"/>
  <c r="AE15" i="2" a="1"/>
  <c r="AE15" i="2" s="1"/>
  <c r="AF15" i="2" s="1" a="1"/>
  <c r="AF15" i="2" s="1"/>
  <c r="AG15" i="2" s="1" a="1"/>
  <c r="AG15" i="2" s="1"/>
  <c r="AE16" i="2" a="1"/>
  <c r="AE16" i="2" s="1"/>
  <c r="AF16" i="2" s="1" a="1"/>
  <c r="AF16" i="2" s="1"/>
  <c r="AG16" i="2" s="1" a="1"/>
  <c r="AG16" i="2" s="1"/>
  <c r="AE14" i="2" a="1"/>
  <c r="AE14" i="2" s="1"/>
  <c r="AF14" i="2" s="1" a="1"/>
  <c r="AF14" i="2" s="1"/>
  <c r="AG14" i="2" s="1" a="1"/>
  <c r="AG14" i="2" s="1"/>
  <c r="AE6" i="2" a="1"/>
  <c r="AE6" i="2" s="1"/>
  <c r="AF6" i="2" s="1" a="1"/>
  <c r="AF6" i="2" s="1"/>
  <c r="AG6" i="2" s="1" a="1"/>
  <c r="AG6" i="2" s="1"/>
  <c r="AE13" i="2" a="1"/>
  <c r="AE13" i="2" s="1"/>
  <c r="AF13" i="2" s="1" a="1"/>
  <c r="AF13" i="2" s="1"/>
  <c r="AG13" i="2" s="1" a="1"/>
  <c r="AG13" i="2" s="1"/>
  <c r="AE10" i="2" a="1"/>
  <c r="AE10" i="2" s="1"/>
  <c r="AF10" i="2" s="1" a="1"/>
  <c r="AF10" i="2" s="1"/>
  <c r="AG10" i="2" s="1" a="1"/>
  <c r="AG10" i="2" s="1"/>
  <c r="AE5" i="2" a="1"/>
  <c r="AE5" i="2" s="1"/>
  <c r="AF5" i="2" s="1" a="1"/>
  <c r="AF5" i="2" s="1"/>
  <c r="AG5" i="2" s="1" a="1"/>
  <c r="AG5" i="2" s="1"/>
  <c r="AO11" i="2" a="1"/>
  <c r="AO11" i="2" s="1"/>
  <c r="AP11" i="2" s="1" a="1"/>
  <c r="AP11" i="2" s="1"/>
  <c r="AQ11" i="2" s="1" a="1"/>
  <c r="AQ11" i="2" s="1"/>
  <c r="AO9" i="2" a="1"/>
  <c r="AO9" i="2" s="1"/>
  <c r="AP9" i="2" s="1" a="1"/>
  <c r="AP9" i="2" s="1"/>
  <c r="AQ9" i="2" s="1" a="1"/>
  <c r="AQ9" i="2" s="1"/>
  <c r="AO10" i="2" a="1"/>
  <c r="AO10" i="2" s="1"/>
  <c r="AP10" i="2" s="1" a="1"/>
  <c r="AP10" i="2" s="1"/>
  <c r="AQ10" i="2" s="1" a="1"/>
  <c r="AQ10" i="2" s="1"/>
  <c r="AO8" i="2" a="1"/>
  <c r="AO8" i="2" s="1"/>
  <c r="AP8" i="2" s="1" a="1"/>
  <c r="AP8" i="2" s="1"/>
  <c r="AQ8" i="2" s="1" a="1"/>
  <c r="AQ8" i="2" s="1"/>
  <c r="AO7" i="2" a="1"/>
  <c r="AO7" i="2" s="1"/>
  <c r="AP7" i="2" s="1" a="1"/>
  <c r="AP7" i="2" s="1"/>
  <c r="AQ7" i="2" s="1" a="1"/>
  <c r="AQ7" i="2" s="1"/>
  <c r="AO18" i="2" a="1"/>
  <c r="AO18" i="2" s="1"/>
  <c r="AP18" i="2" s="1" a="1"/>
  <c r="AP18" i="2" s="1"/>
  <c r="AQ18" i="2" s="1" a="1"/>
  <c r="AQ18" i="2" s="1"/>
  <c r="AO19" i="2" a="1"/>
  <c r="AO19" i="2" s="1"/>
  <c r="AP19" i="2" s="1" a="1"/>
  <c r="AP19" i="2" s="1"/>
  <c r="AQ19" i="2" s="1" a="1"/>
  <c r="AQ19" i="2" s="1"/>
  <c r="AO20" i="2" a="1"/>
  <c r="AO20" i="2" s="1"/>
  <c r="AP20" i="2" s="1" a="1"/>
  <c r="AP20" i="2" s="1"/>
  <c r="AQ20" i="2" s="1" a="1"/>
  <c r="AQ20" i="2" s="1"/>
  <c r="AO4" i="2" a="1"/>
  <c r="AO4" i="2" s="1"/>
  <c r="AP4" i="2" s="1" a="1"/>
  <c r="AP4" i="2" s="1"/>
  <c r="AQ4" i="2" s="1" a="1"/>
  <c r="AQ4" i="2" s="1"/>
  <c r="AO15" i="2" a="1"/>
  <c r="AO15" i="2" s="1"/>
  <c r="AP15" i="2" s="1" a="1"/>
  <c r="AP15" i="2" s="1"/>
  <c r="AQ15" i="2" s="1" a="1"/>
  <c r="AQ15" i="2" s="1"/>
  <c r="AO5" i="2" a="1"/>
  <c r="AO5" i="2" s="1"/>
  <c r="AP5" i="2" s="1" a="1"/>
  <c r="AP5" i="2" s="1"/>
  <c r="AQ5" i="2" s="1" a="1"/>
  <c r="AQ5" i="2" s="1"/>
  <c r="AO17" i="2" a="1"/>
  <c r="AO17" i="2" s="1"/>
  <c r="AP17" i="2" s="1" a="1"/>
  <c r="AP17" i="2" s="1"/>
  <c r="AQ17" i="2" s="1" a="1"/>
  <c r="AQ17" i="2" s="1"/>
  <c r="AO12" i="2" a="1"/>
  <c r="AO12" i="2" s="1"/>
  <c r="AP12" i="2" s="1" a="1"/>
  <c r="AP12" i="2" s="1"/>
  <c r="AQ12" i="2" s="1" a="1"/>
  <c r="AQ12" i="2" s="1"/>
  <c r="AO13" i="2" a="1"/>
  <c r="AO13" i="2" s="1"/>
  <c r="AP13" i="2" s="1" a="1"/>
  <c r="AP13" i="2" s="1"/>
  <c r="AQ13" i="2" s="1" a="1"/>
  <c r="AQ13" i="2" s="1"/>
  <c r="AO14" i="2" a="1"/>
  <c r="AO14" i="2" s="1"/>
  <c r="AP14" i="2" s="1" a="1"/>
  <c r="AP14" i="2" s="1"/>
  <c r="AQ14" i="2" s="1" a="1"/>
  <c r="AQ14" i="2" s="1"/>
  <c r="AO16" i="2" a="1"/>
  <c r="AO16" i="2" s="1"/>
  <c r="AP16" i="2" s="1" a="1"/>
  <c r="AP16" i="2" s="1"/>
  <c r="AQ16" i="2" s="1" a="1"/>
  <c r="AQ16" i="2" s="1"/>
  <c r="AO6" i="2" a="1"/>
  <c r="AO6" i="2" s="1"/>
  <c r="AP6" i="2" s="1" a="1"/>
  <c r="AP6" i="2" s="1"/>
  <c r="AQ6" i="2" s="1" a="1"/>
  <c r="AQ6" i="2" s="1"/>
  <c r="AN21" i="2" l="1"/>
  <c r="AO3" i="2" a="1"/>
  <c r="AO3" i="2" s="1"/>
  <c r="AP3" i="2" s="1" a="1"/>
  <c r="AP3" i="2" s="1"/>
  <c r="AQ3" i="2" s="1" a="1"/>
  <c r="AQ3" i="2" s="1"/>
  <c r="AQ21" i="2" s="1"/>
  <c r="AD21" i="2"/>
  <c r="AE3" i="2" a="1"/>
  <c r="AE3" i="2" s="1"/>
  <c r="AF3" i="2" s="1" a="1"/>
  <c r="AF3" i="2" s="1"/>
  <c r="AG3" i="2" s="1" a="1"/>
  <c r="AG3" i="2" s="1"/>
  <c r="AG21" i="2" s="1"/>
  <c r="J20" i="2" l="1"/>
  <c r="K20" i="2" s="1"/>
  <c r="J19" i="2"/>
  <c r="K19" i="2" s="1"/>
  <c r="J16" i="2"/>
  <c r="K16" i="2" s="1"/>
  <c r="J15" i="2"/>
  <c r="K15" i="2" s="1"/>
  <c r="J25" i="2"/>
  <c r="K25" i="2" s="1"/>
  <c r="J14" i="2"/>
  <c r="K14" i="2" s="1"/>
  <c r="J18" i="2"/>
  <c r="K18" i="2" s="1"/>
  <c r="J21" i="2"/>
  <c r="K21" i="2" s="1"/>
  <c r="J23" i="2"/>
  <c r="K23" i="2" s="1"/>
  <c r="J22" i="2"/>
  <c r="K22" i="2" s="1"/>
  <c r="J12" i="2"/>
  <c r="K12" i="2" s="1"/>
  <c r="J27" i="2"/>
  <c r="K27" i="2" s="1"/>
  <c r="J26" i="2"/>
  <c r="K26" i="2" s="1"/>
  <c r="J17" i="2"/>
  <c r="K17" i="2" s="1"/>
  <c r="J10" i="2"/>
  <c r="J11" i="2"/>
  <c r="K11" i="2" s="1"/>
  <c r="J13" i="2"/>
  <c r="K13" i="2" s="1"/>
  <c r="J24" i="2"/>
  <c r="K24" i="2" s="1"/>
  <c r="K10" i="2" l="1"/>
  <c r="I5" i="2"/>
  <c r="I6" i="2" s="1"/>
  <c r="I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<sst xmlns="http://schemas.openxmlformats.org/spreadsheetml/2006/main" count="273" uniqueCount="62">
  <si>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</si>
  <si>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</si>
  <si>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</si>
  <si>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</si>
  <si>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</si>
  <si>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</si>
  <si>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</si>
  <si>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</si>
  <si>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</si>
  <si>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</si>
  <si>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</si>
  <si>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</si>
  <si>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</si>
  <si>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</si>
  <si>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</si>
  <si>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</si>
  <si>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</si>
  <si>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</si>
  <si>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</si>
  <si>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</si>
  <si>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</si>
  <si>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</si>
  <si>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</si>
  <si>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</si>
  <si>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</si>
  <si>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</si>
  <si>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</si>
  <si>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</si>
  <si>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</si>
  <si>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</si>
  <si>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</si>
  <si>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</si>
  <si>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</si>
  <si>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</si>
  <si>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</si>
  <si>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</si>
  <si>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</si>
  <si>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</si>
  <si>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</si>
  <si>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</si>
  <si>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</si>
  <si>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</si>
  <si>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</si>
  <si>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</si>
  <si>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</si>
  <si>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</si>
  <si>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</si>
  <si>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</si>
  <si>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</si>
  <si>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</si>
  <si>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</si>
  <si>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</si>
  <si>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</si>
  <si>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</si>
  <si>
    <t>PREMIAÇÃO POSITIVAÇÃO</t>
  </si>
  <si>
    <t>PREMIAÇÃO ATINGIDA</t>
  </si>
  <si>
    <t>PRÓXIMA META</t>
  </si>
  <si>
    <t>PREMIAÇÃO FATURAMENTO</t>
  </si>
  <si>
    <t>META B</t>
  </si>
  <si>
    <t>META C</t>
  </si>
  <si>
    <t>META 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</si>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</sst>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0813F8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813F8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rgb="FF8EA9DB"/>
      </left>
      <right/>
      <top/>
      <bottom style="thin">
        <color rgb="FF8EA9DB"/>
      </bottom>
      <diagonal/>
    </border>
    <border>
      <left/>
      <right/>
      <top/>
      <bottom style="thin">
        <color rgb="FF8EA9DB"/>
      </bottom>
      <diagonal/>
    </border>
    <border>
      <left/>
      <right style="thin">
        <color rgb="FF8EA9DB"/>
      </right>
      <top/>
      <bottom style="thin">
        <color rgb="FF8EA9DB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7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164" fontId="5" fillId="0" borderId="0" xfId="2" applyNumberFormat="1" applyFont="1" applyAlignment="1">
      <alignment horizontal="center"/>
    </xf>
    <xf numFmtId="164" fontId="0" fillId="0" borderId="0" xfId="2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10" fillId="9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9" borderId="8" xfId="0" applyFont="1" applyFill="1" applyBorder="1" applyAlignment="1">
      <alignment horizontal="left"/>
    </xf>
    <xf numFmtId="0" fontId="10" fillId="0" borderId="8" xfId="0" applyFont="1" applyBorder="1" applyAlignment="1">
      <alignment horizontal="left"/>
    </xf>
    <xf numFmtId="0" fontId="9" fillId="8" borderId="0" xfId="0" applyFont="1" applyFill="1" applyAlignment="1">
      <alignment horizontal="left" vertical="center" wrapText="1"/>
    </xf>
    <xf numFmtId="0" fontId="9" fillId="8" borderId="0" xfId="0" applyFont="1" applyFill="1" applyAlignment="1">
      <alignment horizontal="center" vertical="center" wrapText="1"/>
    </xf>
    <xf numFmtId="0" fontId="8" fillId="0" borderId="9" xfId="0" applyFont="1" applyBorder="1" applyAlignment="1">
      <alignment horizontal="left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11" fillId="10" borderId="0" xfId="0" applyFont="1" applyFill="1" applyAlignment="1">
      <alignment horizontal="left"/>
    </xf>
    <xf numFmtId="0" fontId="3" fillId="10" borderId="0" xfId="0" applyFont="1" applyFill="1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1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border outline="0">
        <left style="thin">
          <color rgb="FF8EA9DB"/>
        </left>
        <right style="thin">
          <color rgb="FF8EA9DB"/>
        </right>
        <top style="thin">
          <color rgb="FF8EA9DB"/>
        </top>
        <bottom style="double">
          <color rgb="FF4472C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472C4"/>
          <bgColor rgb="FF4472C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rgb="FFD9E1F2"/>
          <bgColor rgb="FFD9E1F2"/>
        </patternFill>
      </fill>
    </dxf>
    <dxf>
      <fill>
        <patternFill patternType="solid">
          <fgColor rgb="FFD9E1F2"/>
          <bgColor rgb="FFD9E1F2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4472C4"/>
        </top>
      </border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color rgb="FF000000"/>
      </font>
      <border>
        <left style="thin">
          <color rgb="FF8EA9DB"/>
        </left>
        <right style="thin">
          <color rgb="FF8EA9DB"/>
        </right>
        <top style="thin">
          <color rgb="FF8EA9DB"/>
        </top>
        <bottom style="thin">
          <color rgb="FF8EA9DB"/>
        </bottom>
        <horizontal style="thin">
          <color rgb="FF8EA9DB"/>
        </horizontal>
      </border>
    </dxf>
  </dxfs>
  <tableStyles count="1" defaultTableStyle="TableStyleMedium2" defaultPivotStyle="PivotStyleLight16">
    <tableStyle name="TableStyleMedium2 2" pivot="0" count="7" xr9:uid="{EC56EBB1-BF97-45C6-9A82-3C30194D7007}">
      <tableStyleElement type="wholeTable" dxfId="115"/>
      <tableStyleElement type="headerRow" dxfId="114"/>
      <tableStyleElement type="totalRow" dxfId="113"/>
      <tableStyleElement type="firstColumn" dxfId="112"/>
      <tableStyleElement type="lastColumn" dxfId="111"/>
      <tableStyleElement type="firstRowStripe" dxfId="110"/>
      <tableStyleElement type="firstColumnStripe" dxfId="10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FATURAMENTO 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/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47518.18</v>
          </cell>
        </row>
        <row r="6">
          <cell r="E6" t="str">
            <v>CENTRO</v>
          </cell>
          <cell r="F6">
            <v>285353.39000000007</v>
          </cell>
          <cell r="K6" t="str">
            <v>Contagem Distinta de COD_CLIENTE</v>
          </cell>
        </row>
        <row r="7">
          <cell r="E7" t="str">
            <v>ECOMMERCE</v>
          </cell>
          <cell r="F7">
            <v>891.3</v>
          </cell>
          <cell r="K7" t="str">
            <v>Rótulos de Linha</v>
          </cell>
          <cell r="M7" t="str">
            <v>Total Geral</v>
          </cell>
        </row>
        <row r="8">
          <cell r="E8" t="str">
            <v>IATAGAM JUNIOR</v>
          </cell>
          <cell r="F8">
            <v>277.87</v>
          </cell>
          <cell r="K8" t="str">
            <v>CAMPINAS</v>
          </cell>
          <cell r="M8">
            <v>29</v>
          </cell>
        </row>
        <row r="9">
          <cell r="E9" t="str">
            <v>INDAIATUBA</v>
          </cell>
          <cell r="F9">
            <v>71342.850000000049</v>
          </cell>
          <cell r="K9" t="str">
            <v>CENTRO</v>
          </cell>
          <cell r="M9">
            <v>43</v>
          </cell>
        </row>
        <row r="10">
          <cell r="E10" t="str">
            <v>INTERLAGOS</v>
          </cell>
          <cell r="F10">
            <v>204299.54999999949</v>
          </cell>
          <cell r="K10" t="str">
            <v>INDAIATUBA</v>
          </cell>
          <cell r="M10">
            <v>33</v>
          </cell>
        </row>
        <row r="11">
          <cell r="E11" t="str">
            <v>JUNDIAI</v>
          </cell>
          <cell r="F11">
            <v>61262.760000000031</v>
          </cell>
          <cell r="K11" t="str">
            <v>INTERLAGOS</v>
          </cell>
          <cell r="M11">
            <v>58</v>
          </cell>
        </row>
        <row r="12">
          <cell r="E12" t="str">
            <v>KEY ABC</v>
          </cell>
          <cell r="F12">
            <v>184214.43999999997</v>
          </cell>
          <cell r="K12" t="str">
            <v>JUNDIAI</v>
          </cell>
          <cell r="M12">
            <v>21</v>
          </cell>
        </row>
        <row r="13">
          <cell r="E13" t="str">
            <v>KEY CASA</v>
          </cell>
          <cell r="F13">
            <v>375440.95</v>
          </cell>
          <cell r="K13" t="str">
            <v>LESTE</v>
          </cell>
          <cell r="M13">
            <v>34</v>
          </cell>
        </row>
        <row r="14">
          <cell r="E14" t="str">
            <v>KEY INTERIOR</v>
          </cell>
          <cell r="F14">
            <v>569097.70000000019</v>
          </cell>
          <cell r="K14" t="str">
            <v>LESTE MOOCA</v>
          </cell>
          <cell r="M14">
            <v>41</v>
          </cell>
        </row>
        <row r="15">
          <cell r="E15" t="str">
            <v>KEY PIRACICABA</v>
          </cell>
          <cell r="F15">
            <v>0</v>
          </cell>
          <cell r="K15" t="str">
            <v>LESTE PENHA</v>
          </cell>
          <cell r="M15">
            <v>27</v>
          </cell>
        </row>
        <row r="16">
          <cell r="E16" t="str">
            <v>KEY SJC</v>
          </cell>
          <cell r="F16">
            <v>54138.15</v>
          </cell>
          <cell r="K16" t="str">
            <v>LESTE TATUAPE</v>
          </cell>
          <cell r="M16">
            <v>27</v>
          </cell>
        </row>
        <row r="17">
          <cell r="E17" t="str">
            <v>KEY SP</v>
          </cell>
          <cell r="F17">
            <v>324710.07000000018</v>
          </cell>
          <cell r="K17" t="str">
            <v>MOGI</v>
          </cell>
          <cell r="M17">
            <v>23</v>
          </cell>
        </row>
        <row r="18">
          <cell r="E18" t="str">
            <v>KEY ZL</v>
          </cell>
          <cell r="F18">
            <v>275249.46999999991</v>
          </cell>
          <cell r="K18" t="str">
            <v>NORTE</v>
          </cell>
          <cell r="M18">
            <v>45</v>
          </cell>
        </row>
        <row r="19">
          <cell r="E19" t="str">
            <v>LESTE</v>
          </cell>
          <cell r="F19">
            <v>82638.189999999871</v>
          </cell>
          <cell r="K19" t="str">
            <v>OSASCO</v>
          </cell>
          <cell r="M19">
            <v>58</v>
          </cell>
        </row>
        <row r="20">
          <cell r="E20" t="str">
            <v>LESTE MOOCA</v>
          </cell>
          <cell r="F20">
            <v>157515.84999999957</v>
          </cell>
          <cell r="K20" t="str">
            <v>PIRITUBA</v>
          </cell>
          <cell r="M20">
            <v>33</v>
          </cell>
        </row>
        <row r="21">
          <cell r="E21" t="str">
            <v>LESTE PENHA</v>
          </cell>
          <cell r="F21">
            <v>102353.13000000005</v>
          </cell>
          <cell r="K21" t="str">
            <v>SANTO ANDRE</v>
          </cell>
          <cell r="M21">
            <v>29</v>
          </cell>
        </row>
        <row r="22">
          <cell r="E22" t="str">
            <v>LESTE TATUAPE</v>
          </cell>
          <cell r="F22">
            <v>94044.729999999749</v>
          </cell>
          <cell r="K22" t="str">
            <v>SBC</v>
          </cell>
          <cell r="M22">
            <v>35</v>
          </cell>
        </row>
        <row r="23">
          <cell r="E23" t="str">
            <v>MOGI</v>
          </cell>
          <cell r="F23">
            <v>32503.550000000014</v>
          </cell>
          <cell r="K23" t="str">
            <v>SJC</v>
          </cell>
          <cell r="M23">
            <v>33</v>
          </cell>
        </row>
        <row r="24">
          <cell r="E24" t="str">
            <v>NORTE</v>
          </cell>
          <cell r="F24">
            <v>179860.41999999961</v>
          </cell>
          <cell r="K24" t="str">
            <v>SJC/VALE</v>
          </cell>
          <cell r="M24">
            <v>29</v>
          </cell>
        </row>
        <row r="25">
          <cell r="E25" t="str">
            <v>OSASCO</v>
          </cell>
          <cell r="F25">
            <v>251826.3399999995</v>
          </cell>
          <cell r="K25" t="str">
            <v>Total Geral</v>
          </cell>
          <cell r="M25">
            <v>598</v>
          </cell>
        </row>
        <row r="26">
          <cell r="E26" t="str">
            <v>PIRITUBA</v>
          </cell>
          <cell r="F26">
            <v>96528.829999999856</v>
          </cell>
        </row>
        <row r="27">
          <cell r="E27" t="str">
            <v>SANTO ANDRE</v>
          </cell>
          <cell r="F27">
            <v>136484.83999999985</v>
          </cell>
        </row>
        <row r="28">
          <cell r="E28" t="str">
            <v>SBC</v>
          </cell>
          <cell r="F28">
            <v>198305.76999999955</v>
          </cell>
          <cell r="K28" t="str">
            <v>POSITIVAÇÃO GERAL</v>
          </cell>
        </row>
        <row r="29">
          <cell r="E29" t="str">
            <v>SJC</v>
          </cell>
          <cell r="F29">
            <v>59845.330000000082</v>
          </cell>
          <cell r="K29" t="str">
            <v>DATA</v>
          </cell>
        </row>
        <row r="30">
          <cell r="E30" t="str">
            <v>SJC/VALE</v>
          </cell>
          <cell r="F30">
            <v>39571.260000000053</v>
          </cell>
          <cell r="K30" t="str">
            <v>DES_TIPO_OPERACAO</v>
          </cell>
        </row>
        <row r="31">
          <cell r="E31" t="str">
            <v>VENDEDOR INTERNO 1</v>
          </cell>
          <cell r="F31">
            <v>57220.620000000017</v>
          </cell>
        </row>
        <row r="32">
          <cell r="E32" t="str">
            <v>Total Geral</v>
          </cell>
          <cell r="F32">
            <v>3942495.5399999758</v>
          </cell>
          <cell r="K32" t="str">
            <v>Contagem Distinta de COD_CLIENTE</v>
          </cell>
          <cell r="P32" t="str">
            <v>Soma de TOTAL</v>
          </cell>
        </row>
        <row r="33">
          <cell r="K33" t="str">
            <v>Rótulos de Linha</v>
          </cell>
          <cell r="M33" t="str">
            <v>Total Geral</v>
          </cell>
        </row>
        <row r="34">
          <cell r="K34" t="str">
            <v>VENDEDOR INTERNO 1</v>
          </cell>
          <cell r="M34">
            <v>73</v>
          </cell>
        </row>
        <row r="35">
          <cell r="K35" t="str">
            <v>Total Geral</v>
          </cell>
          <cell r="M35">
            <v>73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96500</v>
          </cell>
          <cell r="F87">
            <v>0</v>
          </cell>
        </row>
        <row r="88">
          <cell r="E88">
            <v>0</v>
          </cell>
          <cell r="F88">
            <v>0</v>
          </cell>
        </row>
        <row r="89">
          <cell r="E89">
            <v>78000</v>
          </cell>
          <cell r="F89">
            <v>96540</v>
          </cell>
        </row>
        <row r="90">
          <cell r="E90">
            <v>216000</v>
          </cell>
          <cell r="F90">
            <v>130000</v>
          </cell>
        </row>
        <row r="91">
          <cell r="E91">
            <v>86000</v>
          </cell>
          <cell r="F91">
            <v>126000</v>
          </cell>
        </row>
        <row r="92">
          <cell r="E92">
            <v>0</v>
          </cell>
          <cell r="F92">
            <v>0</v>
          </cell>
        </row>
        <row r="93">
          <cell r="E93">
            <v>165500</v>
          </cell>
          <cell r="F93">
            <v>50500</v>
          </cell>
        </row>
        <row r="136">
          <cell r="E136" t="str">
            <v>META D</v>
          </cell>
          <cell r="F136" t="str">
            <v>ATINGIDO</v>
          </cell>
          <cell r="H136" t="str">
            <v>PRÓXIMA META</v>
          </cell>
          <cell r="I136" t="str">
            <v>FALTA</v>
          </cell>
        </row>
        <row r="137">
          <cell r="E137">
            <v>17</v>
          </cell>
          <cell r="F137">
            <v>0</v>
          </cell>
          <cell r="H137" t="str">
            <v>D</v>
          </cell>
          <cell r="I137">
            <v>17</v>
          </cell>
        </row>
        <row r="138">
          <cell r="E138">
            <v>36</v>
          </cell>
          <cell r="F138">
            <v>0</v>
          </cell>
          <cell r="H138" t="str">
            <v>D</v>
          </cell>
          <cell r="I138">
            <v>36</v>
          </cell>
        </row>
        <row r="139">
          <cell r="E139">
            <v>25</v>
          </cell>
          <cell r="F139">
            <v>0</v>
          </cell>
          <cell r="H139" t="str">
            <v>D</v>
          </cell>
          <cell r="I139">
            <v>25</v>
          </cell>
        </row>
        <row r="140">
          <cell r="E140">
            <v>29</v>
          </cell>
          <cell r="F140">
            <v>0</v>
          </cell>
          <cell r="H140" t="str">
            <v>D</v>
          </cell>
          <cell r="I140">
            <v>29</v>
          </cell>
        </row>
        <row r="141">
          <cell r="E141">
            <v>28</v>
          </cell>
          <cell r="F141">
            <v>0</v>
          </cell>
          <cell r="H141" t="str">
            <v>D</v>
          </cell>
          <cell r="I141">
            <v>28</v>
          </cell>
        </row>
        <row r="142">
          <cell r="E142">
            <v>23</v>
          </cell>
          <cell r="F142">
            <v>0</v>
          </cell>
          <cell r="H142" t="str">
            <v>D</v>
          </cell>
          <cell r="I142">
            <v>23</v>
          </cell>
        </row>
        <row r="143">
          <cell r="E143">
            <v>18</v>
          </cell>
          <cell r="F143">
            <v>0</v>
          </cell>
          <cell r="H143" t="str">
            <v>D</v>
          </cell>
          <cell r="I143">
            <v>18</v>
          </cell>
        </row>
        <row r="144">
          <cell r="E144">
            <v>22</v>
          </cell>
          <cell r="F144">
            <v>0</v>
          </cell>
          <cell r="H144" t="str">
            <v>D</v>
          </cell>
          <cell r="I144">
            <v>22</v>
          </cell>
        </row>
        <row r="145">
          <cell r="E145">
            <v>22</v>
          </cell>
          <cell r="F145">
            <v>0</v>
          </cell>
          <cell r="H145" t="str">
            <v>D</v>
          </cell>
          <cell r="I145">
            <v>22</v>
          </cell>
        </row>
        <row r="146">
          <cell r="E146">
            <v>18</v>
          </cell>
          <cell r="F146">
            <v>0</v>
          </cell>
          <cell r="H146" t="str">
            <v>D</v>
          </cell>
          <cell r="I146">
            <v>18</v>
          </cell>
        </row>
        <row r="147">
          <cell r="E147">
            <v>20</v>
          </cell>
          <cell r="F147">
            <v>0</v>
          </cell>
          <cell r="H147" t="str">
            <v>D</v>
          </cell>
          <cell r="I147">
            <v>20</v>
          </cell>
        </row>
        <row r="148">
          <cell r="E148">
            <v>18</v>
          </cell>
          <cell r="F148">
            <v>0</v>
          </cell>
          <cell r="H148" t="str">
            <v>D</v>
          </cell>
          <cell r="I148">
            <v>18</v>
          </cell>
        </row>
        <row r="149">
          <cell r="E149">
            <v>14</v>
          </cell>
          <cell r="F149">
            <v>0</v>
          </cell>
          <cell r="H149" t="str">
            <v>D</v>
          </cell>
          <cell r="I149">
            <v>14</v>
          </cell>
        </row>
        <row r="150">
          <cell r="E150">
            <v>20</v>
          </cell>
          <cell r="F150">
            <v>0</v>
          </cell>
          <cell r="H150" t="str">
            <v>D</v>
          </cell>
          <cell r="I150">
            <v>20</v>
          </cell>
        </row>
        <row r="151">
          <cell r="E151">
            <v>19</v>
          </cell>
          <cell r="F151">
            <v>0</v>
          </cell>
          <cell r="H151" t="str">
            <v>D</v>
          </cell>
          <cell r="I151">
            <v>19</v>
          </cell>
        </row>
        <row r="152">
          <cell r="E152">
            <v>25</v>
          </cell>
          <cell r="F152">
            <v>0</v>
          </cell>
          <cell r="H152" t="str">
            <v>D</v>
          </cell>
          <cell r="I152">
            <v>25</v>
          </cell>
        </row>
        <row r="153">
          <cell r="E153">
            <v>19</v>
          </cell>
          <cell r="F153">
            <v>0</v>
          </cell>
          <cell r="H153" t="str">
            <v>D</v>
          </cell>
          <cell r="I153">
            <v>19</v>
          </cell>
        </row>
        <row r="154">
          <cell r="E154">
            <v>24</v>
          </cell>
          <cell r="F154">
            <v>0</v>
          </cell>
          <cell r="H154" t="str">
            <v>D</v>
          </cell>
          <cell r="I154">
            <v>24</v>
          </cell>
        </row>
        <row r="155">
          <cell r="E155">
            <v>397</v>
          </cell>
          <cell r="F155">
            <v>0</v>
          </cell>
          <cell r="I155">
            <v>397</v>
          </cell>
        </row>
        <row r="159">
          <cell r="E159" t="str">
            <v>META D</v>
          </cell>
          <cell r="F159" t="str">
            <v>ATINGIDO</v>
          </cell>
          <cell r="H159" t="str">
            <v>PRÓXIMA META</v>
          </cell>
          <cell r="I159" t="str">
            <v>FALTA</v>
          </cell>
        </row>
        <row r="160">
          <cell r="E160">
            <v>45000</v>
          </cell>
          <cell r="F160">
            <v>59845.330000000082</v>
          </cell>
          <cell r="H160" t="str">
            <v>B</v>
          </cell>
          <cell r="I160">
            <v>25154.669999999918</v>
          </cell>
        </row>
        <row r="161">
          <cell r="E161">
            <v>33750</v>
          </cell>
          <cell r="F161">
            <v>57220.620000000017</v>
          </cell>
          <cell r="H161" t="str">
            <v>B</v>
          </cell>
          <cell r="I161">
            <v>6529.3799999999828</v>
          </cell>
        </row>
        <row r="162">
          <cell r="E162">
            <v>148500</v>
          </cell>
          <cell r="F162">
            <v>285353.39000000007</v>
          </cell>
          <cell r="H162" t="str">
            <v>A</v>
          </cell>
          <cell r="I162">
            <v>44646.609999999928</v>
          </cell>
        </row>
        <row r="163">
          <cell r="E163">
            <v>145575</v>
          </cell>
          <cell r="F163">
            <v>251826.3399999995</v>
          </cell>
          <cell r="H163" t="str">
            <v>B</v>
          </cell>
          <cell r="I163">
            <v>23148.660000000498</v>
          </cell>
        </row>
        <row r="164">
          <cell r="E164">
            <v>122850</v>
          </cell>
          <cell r="F164">
            <v>204299.54999999949</v>
          </cell>
          <cell r="H164" t="str">
            <v>B</v>
          </cell>
          <cell r="I164">
            <v>27750.450000000506</v>
          </cell>
        </row>
        <row r="165">
          <cell r="E165">
            <v>90000</v>
          </cell>
          <cell r="F165">
            <v>157515.84999999957</v>
          </cell>
          <cell r="H165" t="str">
            <v>B</v>
          </cell>
          <cell r="I165">
            <v>12484.150000000431</v>
          </cell>
        </row>
        <row r="166">
          <cell r="E166">
            <v>75150</v>
          </cell>
          <cell r="F166">
            <v>136484.83999999985</v>
          </cell>
          <cell r="H166" t="str">
            <v>B</v>
          </cell>
          <cell r="I166">
            <v>5465.160000000149</v>
          </cell>
        </row>
        <row r="167">
          <cell r="E167">
            <v>108900</v>
          </cell>
          <cell r="F167">
            <v>179860.41999999961</v>
          </cell>
          <cell r="H167" t="str">
            <v>B</v>
          </cell>
          <cell r="I167">
            <v>25839.580000000395</v>
          </cell>
        </row>
        <row r="168">
          <cell r="E168">
            <v>54900</v>
          </cell>
          <cell r="F168">
            <v>82638.189999999871</v>
          </cell>
          <cell r="H168" t="str">
            <v>B</v>
          </cell>
          <cell r="I168">
            <v>21061.810000000129</v>
          </cell>
        </row>
        <row r="169">
          <cell r="E169">
            <v>24750</v>
          </cell>
          <cell r="F169">
            <v>39571.260000000053</v>
          </cell>
          <cell r="H169" t="str">
            <v>B</v>
          </cell>
          <cell r="I169">
            <v>7178.739999999947</v>
          </cell>
        </row>
        <row r="170">
          <cell r="E170">
            <v>40500</v>
          </cell>
          <cell r="F170">
            <v>71342.850000000049</v>
          </cell>
          <cell r="H170" t="str">
            <v>B</v>
          </cell>
          <cell r="I170">
            <v>5157.1499999999505</v>
          </cell>
        </row>
        <row r="171">
          <cell r="E171">
            <v>29025</v>
          </cell>
          <cell r="F171">
            <v>47518.18</v>
          </cell>
          <cell r="H171" t="str">
            <v>B</v>
          </cell>
          <cell r="I171">
            <v>7306.82</v>
          </cell>
        </row>
        <row r="172">
          <cell r="E172">
            <v>35100</v>
          </cell>
          <cell r="F172">
            <v>61262.760000000031</v>
          </cell>
          <cell r="H172" t="str">
            <v>B</v>
          </cell>
          <cell r="I172">
            <v>5037.2399999999689</v>
          </cell>
        </row>
        <row r="173">
          <cell r="E173">
            <v>62775</v>
          </cell>
          <cell r="F173">
            <v>96528.829999999856</v>
          </cell>
          <cell r="H173" t="str">
            <v>B</v>
          </cell>
          <cell r="I173">
            <v>22046.170000000144</v>
          </cell>
        </row>
        <row r="174">
          <cell r="E174">
            <v>65250</v>
          </cell>
          <cell r="F174">
            <v>102353.13000000005</v>
          </cell>
          <cell r="H174" t="str">
            <v>B</v>
          </cell>
          <cell r="I174">
            <v>20896.869999999952</v>
          </cell>
        </row>
        <row r="175">
          <cell r="E175">
            <v>119250</v>
          </cell>
          <cell r="F175">
            <v>198305.76999999955</v>
          </cell>
          <cell r="H175" t="str">
            <v>B</v>
          </cell>
          <cell r="I175">
            <v>26944.230000000447</v>
          </cell>
        </row>
        <row r="176">
          <cell r="E176">
            <v>40500</v>
          </cell>
          <cell r="F176">
            <v>32503.550000000014</v>
          </cell>
          <cell r="H176" t="str">
            <v>D</v>
          </cell>
          <cell r="I176">
            <v>7996.4499999999862</v>
          </cell>
        </row>
        <row r="177">
          <cell r="E177">
            <v>66150</v>
          </cell>
          <cell r="F177">
            <v>94044.729999999749</v>
          </cell>
          <cell r="H177" t="str">
            <v>B</v>
          </cell>
          <cell r="I177">
            <v>30905.270000000251</v>
          </cell>
        </row>
        <row r="178">
          <cell r="E178">
            <v>1307925</v>
          </cell>
          <cell r="F178">
            <v>2158475.5899999975</v>
          </cell>
          <cell r="I178">
            <v>325549.41000000259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103" dataDxfId="10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101"/>
    <tableColumn id="2" xr3:uid="{06063E15-5C9E-4303-B5F6-B9D0B178DB82}" name="META" dataDxfId="10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99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98">
      <calculatedColumnFormula>C40-D40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97" dataDxfId="96">
  <tableColumns count="2">
    <tableColumn id="1" xr3:uid="{C661D03F-A79A-4D24-86FD-3574B6E5537D}" name="Coluna1" dataDxfId="95"/>
    <tableColumn id="2" xr3:uid="{7EF7A574-C8A3-4CB7-9C98-86948FE130EB}" name="Coluna2" headerRowDxfId="94" dataDxfId="9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92" dataDxfId="9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90"/>
    <tableColumn id="2" xr3:uid="{67CE9FE2-AA11-4BD4-9F34-EDC9123EA89F}" name="META" dataDxfId="8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8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87">
      <calculatedColumnFormula>I31-J31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86" dataDxfId="85">
  <tableColumns count="2">
    <tableColumn id="1" xr3:uid="{0139F26F-4C9F-4E96-9F64-C5C5B271DCA9}" name="Coluna1" dataDxfId="84"/>
    <tableColumn id="2" xr3:uid="{1DA3E17F-38EB-4042-B2F0-3DFB7629A3F5}" name="Coluna2" headerRowDxfId="83" dataDxfId="82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81" dataDxfId="8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79"/>
    <tableColumn id="2" xr3:uid="{0B55D821-52F8-4CE2-9F16-C5BCDBCE53AC}" name="VENDEDOR" dataDxfId="78"/>
    <tableColumn id="3" xr3:uid="{B5D24BF0-392E-420D-BB1D-3FED1D3383B5}" name="COMPROMISSO" dataDxfId="7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76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75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74" dataDxfId="7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72"/>
    <tableColumn id="2" xr3:uid="{7B11DBA8-6FBD-4B67-BDA9-6624DF753EFD}" name="META" dataDxfId="7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70"/>
    <tableColumn id="4" xr3:uid="{84544AF4-5466-4CAC-A349-7B2C804BDA05}" name="FALTA" dataDxfId="69">
      <calculatedColumnFormula>O21-P21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68" dataDxfId="67">
  <tableColumns count="2">
    <tableColumn id="1" xr3:uid="{870B59CA-1EA4-4CA9-BDCF-4A342A313131}" name="Coluna1" dataDxfId="66"/>
    <tableColumn id="2" xr3:uid="{6FE31DF2-1DB4-4D4B-8783-48EA07B43B53}" name="Coluna2" dataDxfId="65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64" dataDxfId="6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62"/>
    <tableColumn id="2" xr3:uid="{B849FCBC-ED0F-47D9-B4E7-149FFE3500D9}" name="META" dataDxfId="6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6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59">
      <calculatedColumnFormula>U30-V30</calculatedColumnFormula>
    </tableColumn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58" dataDxfId="57" tableBorderDxfId="5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55"/>
    <tableColumn id="2" xr3:uid="{E2D85F5C-4525-4FA4-B813-A1322F5C254D}" name="VENDEDOR" dataDxfId="54"/>
    <tableColumn id="3" xr3:uid="{53C55BB3-DDD4-47EF-87D5-552E4D02B5BA}" name="META A" dataDxfId="53">
      <calculatedColumnFormula>_xlfn.XLOOKUP(Tabela2[[#This Row],[REFERENCIA]],'[2]BASE PYTHON'!$A$63:$A$79,#REF!)</calculatedColumnFormula>
    </tableColumn>
    <tableColumn id="4" xr3:uid="{018C7BF7-4C79-4668-95B2-CBF2E10B657D}" name="ATINGIDO" dataDxfId="52">
      <calculatedColumnFormula>_xlfn.XLOOKUP(Tabela2[[#This Row],[REFERENCIA]],'[1]BASE PYTHON'!$K:$K,'[1]BASE PYTHON'!$N:$N,0)</calculatedColumnFormula>
    </tableColumn>
    <tableColumn id="5" xr3:uid="{37E12533-09AB-4B65-AEC8-6BB07B5CC2B1}" name="FALTA" dataDxfId="51">
      <calculatedColumnFormula>U10-V10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50" dataDxfId="49" tableBorderDxfId="48">
  <autoFilter ref="G9:K27" xr:uid="{E3745920-1197-4A81-B558-958DBAB19EA3}"/>
  <tableColumns count="5">
    <tableColumn id="1" xr3:uid="{D324C7DB-F877-4A7E-BC26-EF8905C85433}" name="REFERENCIA" dataDxfId="47"/>
    <tableColumn id="2" xr3:uid="{A71A6478-3B31-4F54-A10C-E6EC00E95E0B}" name="VENDEDOR" dataDxfId="46"/>
    <tableColumn id="3" xr3:uid="{9F5EDCDD-D442-4FBE-9C74-26084F24EFCB}" name="COMPROMISSO" dataDxfId="45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44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4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42" tableBorderDxfId="4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40" totalsRowDxfId="39"/>
    <tableColumn id="2" xr3:uid="{4F0BAF4D-D0FC-4B7C-8FF4-8DDD6505FDA1}" name="VENDEDOR" dataDxfId="38" totalsRowDxfId="37"/>
    <tableColumn id="3" xr3:uid="{CCB341E8-8BC2-4209-AEA0-D6F26BFCB356}" name="META A" dataDxfId="36" totalsRowDxfId="35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34" totalsRowDxfId="33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2" totalsRowDxfId="3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5BE7188-8888-41FA-ABCF-B57822EB82A5}" name="Tabela817" displayName="Tabela817" ref="AI2:AQ21" totalsRowCount="1" dataDxfId="30" dataCellStyle="Moeda">
  <autoFilter ref="AI2:AQ20" xr:uid="{55BE7188-8888-41FA-ABCF-B57822EB82A5}"/>
  <tableColumns count="9">
    <tableColumn id="1" xr3:uid="{9DC09787-B029-495D-ADCF-A6C94B8ED537}" name="VENDEDOR" totalsRowLabel="Total"/>
    <tableColumn id="2" xr3:uid="{94315AF9-FE56-4F51-82DE-7907A99BB7DD}" name="META A" totalsRowFunction="sum" dataDxfId="29" totalsRowDxfId="28" dataCellStyle="Moeda"/>
    <tableColumn id="3" xr3:uid="{715CA431-D204-4F64-9916-9AE4C60EC6B9}" name="META B" totalsRowFunction="sum" dataDxfId="27" totalsRowDxfId="26" dataCellStyle="Moeda"/>
    <tableColumn id="4" xr3:uid="{499A8278-63E6-4339-A908-FB77667C4F8A}" name="META C" totalsRowFunction="sum" dataDxfId="25" totalsRowDxfId="24" dataCellStyle="Moeda"/>
    <tableColumn id="5" xr3:uid="{D02E4F6F-A83C-4A30-A474-49B37289EA09}" name="META D" totalsRowFunction="sum" dataDxfId="23" totalsRowDxfId="22" dataCellStyle="Moeda"/>
    <tableColumn id="6" xr3:uid="{A6275BB8-634B-41DE-9C0C-38DE46A74438}" name="ATINGIDO" totalsRowFunction="sum" dataDxfId="21" totalsRowDxfId="20" dataCellStyle="Moeda">
      <calculatedColumnFormula>IFERROR(_xlfn.XLOOKUP(AI3,'[1]BASE PYTHON'!$E:$E,'[1]BASE PYTHON'!$F:$F,0),0)</calculatedColumnFormula>
    </tableColumn>
    <tableColumn id="7" xr3:uid="{7C64A4D6-2D58-41F0-866B-9B1CB6514952}" name="PREMIAÇÃO ATINGIDA" dataDxfId="19" totalsRowDxfId="18">
      <calculatedColumnFormula array="1">_xlfn.IFS(AN3&gt;=AJ3,"A",AN3&gt;=AK3,"B",AN3&gt;=AL3,"C",AN3&gt;=AM3,"D",TRUE,"NÃO ATINGIDO")</calculatedColumnFormula>
    </tableColumn>
    <tableColumn id="8" xr3:uid="{A4232C53-895F-4F8E-9C8E-0B0BF2C0ED6F}" name="PRÓXIMA META" dataDxfId="17" totalsRowDxfId="16">
      <calculatedColumnFormula array="1">_xlfn.IFS(AO3="NÃO ATINGIDO","D",AO3="D","C",AO3="C","B",AO3="B","A",AO3="A","OBJETIVO ALCANÇADO")</calculatedColumnFormula>
    </tableColumn>
    <tableColumn id="9" xr3:uid="{48707A36-6A09-40D7-A590-A88562D8F521}" name="FALTA" totalsRowFunction="sum" dataDxfId="15" totalsRowDxfId="14" dataCellStyle="Moeda">
      <calculatedColumnFormula array="1">_xlfn.IFS(AP3="D",MAX(AM3-AN3,0),AP3="C",MAX(AL3-AN3,0),AP3="B",MAX(AK3-AN3,0),AP3="A",MAX(AJ3-AN3,0),AP3="OBJETIVO ALCANÇADO",0)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A100617-BF77-4A79-B506-53CDBC26C911}" name="Tabela17" displayName="Tabela17" ref="Y2:AG20" totalsRowShown="0" headerRowDxfId="13" dataDxfId="12" tableBorderDxfId="11">
  <autoFilter ref="Y2:AG20" xr:uid="{7A100617-BF77-4A79-B506-53CDBC26C9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374FEB3-F510-4F3F-9C13-58E25924121E}" name="VENDEDOR" dataDxfId="10"/>
    <tableColumn id="2" xr3:uid="{8DACCDF0-1F48-4D1F-936B-1BD572540814}" name="META A" dataDxfId="9"/>
    <tableColumn id="3" xr3:uid="{283DD7D7-EAA0-41F2-A03E-A94402C351D8}" name="META B" dataDxfId="8"/>
    <tableColumn id="4" xr3:uid="{FA7094C0-E343-4D2F-A021-CE4770011F17}" name="META C" dataDxfId="7"/>
    <tableColumn id="5" xr3:uid="{B6D91B25-84F6-4BBF-AFFE-776A8AB5FD86}" name="META D" dataDxfId="6"/>
    <tableColumn id="6" xr3:uid="{DD3D2046-BE2C-43C9-8F6C-13D785756968}" name="ATINGIDO" dataDxfId="5">
      <calculatedColumnFormula>IFERROR(_xlfn.XLOOKUP(Y3,'[1]BASE PYTHON'!$K:$K,'[1]BASE PYTHON'!$N:$N,0),0)</calculatedColumnFormula>
    </tableColumn>
    <tableColumn id="7" xr3:uid="{FE9C4B8F-98E5-474D-B959-1D70DA5A76FE}" name="PREMIAÇÃO ATINGIDA" dataDxfId="4">
      <calculatedColumnFormula array="1">_xlfn.IFS(AD3&gt;=Z3,"A",AD3&gt;=AA3,"B",AD3&gt;=AB3,"C",AD3&gt;=AC3,"D",TRUE,"NÃO ATINGIDO")</calculatedColumnFormula>
    </tableColumn>
    <tableColumn id="8" xr3:uid="{9A7A5F0B-ED50-4C50-BA8D-CCEF51A55D3B}" name="PRÓXIMA META" dataDxfId="3">
      <calculatedColumnFormula array="1">_xlfn.IFS(AE3="NÃO ATINGIDO","D",AE3="D","C",AE3="C","B",AE3="B","A",AE3="A","OBJETIVO ALCANÇADO")</calculatedColumnFormula>
    </tableColumn>
    <tableColumn id="9" xr3:uid="{E1C246FF-4D71-4AB4-804E-54960DFC2111}" name="FALTA" dataDxfId="2">
      <calculatedColumnFormula array="1">_xlfn.IFS(AF3="D",MAX(AC3-AD3,0),AF3="C",MAX(AB3-AD3,0),AF3="B",MAX(AA3-AD3,0),AF3="A",MAX(Z3-AD3,0),AF3="OBJETIVO ALCANÇADO",0)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108" dataDxfId="107">
  <tableColumns count="2">
    <tableColumn id="1" xr3:uid="{3308613D-E7FC-469E-B078-C5AC910E183B}" name="Coluna1" dataDxfId="106"/>
    <tableColumn id="2" xr3:uid="{C994D666-6174-475E-AE71-1F12062A5225}" name="Coluna2" headerRowDxfId="105" dataDxfId="104" dataCellStyle="Moeda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AQ90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2.140625" style="2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  <col min="25" max="25" width="37.28515625" bestFit="1" customWidth="1"/>
    <col min="26" max="29" width="19.85546875" bestFit="1" customWidth="1"/>
    <col min="30" max="30" width="22.28515625" bestFit="1" customWidth="1"/>
    <col min="31" max="31" width="39.7109375" bestFit="1" customWidth="1"/>
    <col min="32" max="32" width="30.5703125" bestFit="1" customWidth="1"/>
    <col min="33" max="33" width="18.28515625" bestFit="1" customWidth="1"/>
    <col min="35" max="35" width="39.85546875" bestFit="1" customWidth="1"/>
    <col min="36" max="37" width="19.85546875" bestFit="1" customWidth="1"/>
    <col min="38" max="40" width="19.42578125" bestFit="1" customWidth="1"/>
    <col min="41" max="41" width="35.85546875" bestFit="1" customWidth="1"/>
    <col min="42" max="42" width="26.85546875" bestFit="1" customWidth="1"/>
    <col min="43" max="43" width="19.42578125" bestFit="1" customWidth="1"/>
  </cols>
  <sheetData>
    <row r="1" spans="1:4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  <c r="Y1" s="45" t="s">
        <v>54</v>
      </c>
      <c r="Z1" s="29"/>
      <c r="AA1" s="29"/>
      <c r="AB1" s="29"/>
      <c r="AC1" s="29"/>
      <c r="AD1" s="29"/>
      <c r="AE1" s="29"/>
      <c r="AF1" s="29"/>
      <c r="AG1" s="29"/>
      <c r="AI1" s="46" t="s">
        <v>57</v>
      </c>
    </row>
    <row r="2" spans="1:4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Y2" s="40" t="s">
        <v>5</v>
      </c>
      <c r="Z2" s="41" t="s">
        <v>33</v>
      </c>
      <c r="AA2" s="41" t="s">
        <v>58</v>
      </c>
      <c r="AB2" s="41" t="s">
        <v>59</v>
      </c>
      <c r="AC2" s="41" t="s">
        <v>60</v>
      </c>
      <c r="AD2" s="41" t="s">
        <v>1</v>
      </c>
      <c r="AE2" s="41" t="s">
        <v>55</v>
      </c>
      <c r="AF2" s="41" t="s">
        <v>56</v>
      </c>
      <c r="AG2" s="41" t="s">
        <v>2</v>
      </c>
      <c r="AI2" t="s">
        <v>5</v>
      </c>
      <c r="AJ2" t="s">
        <v>33</v>
      </c>
      <c r="AK2" t="s">
        <v>58</v>
      </c>
      <c r="AL2" t="s">
        <v>59</v>
      </c>
      <c r="AM2" t="s">
        <v>60</v>
      </c>
      <c r="AN2" t="s">
        <v>1</v>
      </c>
      <c r="AO2" t="s">
        <v>55</v>
      </c>
      <c r="AP2" t="s">
        <v>56</v>
      </c>
      <c r="AQ2" t="s">
        <v>2</v>
      </c>
    </row>
    <row r="3" spans="1:4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Y3" s="38" t="s">
        <v>22</v>
      </c>
      <c r="Z3" s="34">
        <v>37</v>
      </c>
      <c r="AA3" s="34">
        <v>32</v>
      </c>
      <c r="AB3" s="34">
        <v>26</v>
      </c>
      <c r="AC3" s="34">
        <v>17</v>
      </c>
      <c r="AD3" s="35">
        <f>IFERROR(_xlfn.XLOOKUP(Y3,'[1]BASE PYTHON'!$K:$K,'[1]BASE PYTHON'!$N:$N,0),0)</f>
        <v>0</v>
      </c>
      <c r="AE3" s="35" t="str" cm="1">
        <f t="array" ref="AE3">_xlfn.IFS(AD3&gt;=Z3,"A",AD3&gt;=AA3,"B",AD3&gt;=AB3,"C",AD3&gt;=AC3,"D",TRUE,"NÃO ATINGIDO")</f>
        <v>NÃO ATINGIDO</v>
      </c>
      <c r="AF3" s="35" t="str" cm="1">
        <f t="array" ref="AF3">_xlfn.IFS(AE3="NÃO ATINGIDO","D",AE3="D","C",AE3="C","B",AE3="B","A",AE3="A","OBJETIVO ALCANÇADO")</f>
        <v>D</v>
      </c>
      <c r="AG3" s="35" cm="1">
        <f t="array" ref="AG3">_xlfn.IFS(AF3="D",MAX(AC3-AD3,0),AF3="C",MAX(AB3-AD3,0),AF3="B",MAX(AA3-AD3,0),AF3="A",MAX(Z3-AD3,0),AF3="OBJETIVO ALCANÇADO",0)</f>
        <v>17</v>
      </c>
      <c r="AI3" t="s">
        <v>22</v>
      </c>
      <c r="AJ3" s="30">
        <v>100000</v>
      </c>
      <c r="AK3" s="30">
        <v>85000</v>
      </c>
      <c r="AL3" s="30">
        <v>59500</v>
      </c>
      <c r="AM3" s="30">
        <v>45000</v>
      </c>
      <c r="AN3" s="31">
        <f>IFERROR(_xlfn.XLOOKUP(AI3,'[1]BASE PYTHON'!$E:$E,'[1]BASE PYTHON'!$F:$F,0),0)</f>
        <v>59845.330000000082</v>
      </c>
      <c r="AO3" s="32" t="str" cm="1">
        <f t="array" ref="AO3">_xlfn.IFS(AN3&gt;=AJ3,"A",AN3&gt;=AK3,"B",AN3&gt;=AL3,"C",AN3&gt;=AM3,"D",TRUE,"NÃO ATINGIDO")</f>
        <v>C</v>
      </c>
      <c r="AP3" s="32" t="str" cm="1">
        <f t="array" ref="AP3">_xlfn.IFS(AO3="NÃO ATINGIDO","D",AO3="D","C",AO3="C","B",AO3="B","A",AO3="A","OBJETIVO ALCANÇADO")</f>
        <v>B</v>
      </c>
      <c r="AQ3" s="31" cm="1">
        <f t="array" ref="AQ3">_xlfn.IFS(AP3="D",MAX(AM3-AN3,0),AP3="C",MAX(AL3-AN3,0),AP3="B",MAX(AK3-AN3,0),AP3="A",MAX(AJ3-AN3,0),AP3="OBJETIVO ALCANÇADO",0)</f>
        <v>25154.669999999918</v>
      </c>
    </row>
    <row r="4" spans="1:4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220030</v>
      </c>
      <c r="J4" s="4"/>
      <c r="K4" s="4"/>
      <c r="L4" s="4"/>
      <c r="M4" s="4"/>
      <c r="N4" s="4" t="s">
        <v>37</v>
      </c>
      <c r="O4" s="7">
        <f>SUM(O11:O17)</f>
        <v>642000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  <c r="Y4" s="39" t="s">
        <v>24</v>
      </c>
      <c r="Z4" s="36">
        <v>79</v>
      </c>
      <c r="AA4" s="36">
        <v>68</v>
      </c>
      <c r="AB4" s="36">
        <v>56</v>
      </c>
      <c r="AC4" s="36">
        <v>36</v>
      </c>
      <c r="AD4" s="37">
        <f>IFERROR(_xlfn.XLOOKUP(Y4,'[1]BASE PYTHON'!$K:$K,'[1]BASE PYTHON'!$M:$M,0),0)</f>
        <v>73</v>
      </c>
      <c r="AE4" s="37" t="str" cm="1">
        <f t="array" ref="AE4">_xlfn.IFS(AD4&gt;=Z4,"A",AD4&gt;=AA4,"B",AD4&gt;=AB4,"C",AD4&gt;=AC4,"D",TRUE,"NÃO ATINGIDO")</f>
        <v>B</v>
      </c>
      <c r="AF4" s="37" t="str" cm="1">
        <f t="array" ref="AF4">_xlfn.IFS(AE4="NÃO ATINGIDO","D",AE4="D","C",AE4="C","B",AE4="B","A",AE4="A","OBJETIVO ALCANÇADO")</f>
        <v>A</v>
      </c>
      <c r="AG4" s="37" cm="1">
        <f t="array" ref="AG4">_xlfn.IFS(AF4="D",MAX(AC4-AD4,0),AF4="C",MAX(AB4-AD4,0),AF4="B",MAX(AA4-AD4,0),AF4="A",MAX(Z4-AD4,0),AF4="OBJETIVO ALCANÇADO",0)</f>
        <v>6</v>
      </c>
      <c r="AI4" t="s">
        <v>24</v>
      </c>
      <c r="AJ4" s="30">
        <v>75000</v>
      </c>
      <c r="AK4" s="30">
        <v>63750</v>
      </c>
      <c r="AL4" s="30">
        <v>44625</v>
      </c>
      <c r="AM4" s="30">
        <v>33750</v>
      </c>
      <c r="AN4" s="31">
        <f>IFERROR(_xlfn.XLOOKUP(AI4,'[1]BASE PYTHON'!$E:$E,'[1]BASE PYTHON'!$F:$F,0),0)</f>
        <v>57220.620000000017</v>
      </c>
      <c r="AO4" s="32" t="str" cm="1">
        <f t="array" ref="AO4">_xlfn.IFS(AN4&gt;=AJ4,"A",AN4&gt;=AK4,"B",AN4&gt;=AL4,"C",AN4&gt;=AM4,"D",TRUE,"NÃO ATINGIDO")</f>
        <v>C</v>
      </c>
      <c r="AP4" s="32" t="str" cm="1">
        <f t="array" ref="AP4">_xlfn.IFS(AO4="NÃO ATINGIDO","D",AO4="D","C",AO4="C","B",AO4="B","A",AO4="A","OBJETIVO ALCANÇADO")</f>
        <v>B</v>
      </c>
      <c r="AQ4" s="31" cm="1">
        <f t="array" ref="AQ4">_xlfn.IFS(AP4="D",MAX(AM4-AN4,0),AP4="C",MAX(AL4-AN4,0),AP4="B",MAX(AK4-AN4,0),AP4="A",MAX(AJ4-AN4,0),AP4="OBJETIVO ALCANÇADO",0)</f>
        <v>6529.3799999999828</v>
      </c>
    </row>
    <row r="5" spans="1:43" x14ac:dyDescent="0.25">
      <c r="A5" s="4"/>
      <c r="B5" s="4" t="s">
        <v>1</v>
      </c>
      <c r="C5" s="2">
        <f>SUM(D10:D36)</f>
        <v>3942495.5399999968</v>
      </c>
      <c r="D5" s="2"/>
      <c r="E5" s="4"/>
      <c r="F5" s="4"/>
      <c r="G5" s="4"/>
      <c r="H5" s="4" t="s">
        <v>1</v>
      </c>
      <c r="I5" s="7">
        <f>SUM(J10:J27)</f>
        <v>0</v>
      </c>
      <c r="J5" s="4"/>
      <c r="K5" s="4"/>
      <c r="L5" s="4"/>
      <c r="M5" s="4"/>
      <c r="N5" s="4" t="s">
        <v>1</v>
      </c>
      <c r="O5" s="7">
        <f>SUM(P11:P17)</f>
        <v>117176.81999999998</v>
      </c>
      <c r="P5" s="4"/>
      <c r="Q5" s="4"/>
      <c r="R5" s="4"/>
      <c r="S5" s="4"/>
      <c r="T5" s="4" t="s">
        <v>1</v>
      </c>
      <c r="U5" s="4">
        <f>SUM(V10:V26)</f>
        <v>0</v>
      </c>
      <c r="V5" s="4"/>
      <c r="W5" s="4"/>
      <c r="Y5" s="38" t="s">
        <v>8</v>
      </c>
      <c r="Z5" s="34">
        <v>54</v>
      </c>
      <c r="AA5" s="34">
        <v>46</v>
      </c>
      <c r="AB5" s="34">
        <v>38</v>
      </c>
      <c r="AC5" s="34">
        <v>25</v>
      </c>
      <c r="AD5" s="35">
        <f>IFERROR(_xlfn.XLOOKUP(Y5,'[1]BASE PYTHON'!$K:$K,'[1]BASE PYTHON'!$N:$N,0),0)</f>
        <v>0</v>
      </c>
      <c r="AE5" s="35" t="str" cm="1">
        <f t="array" ref="AE5">_xlfn.IFS(AD5&gt;=Z5,"A",AD5&gt;=AA5,"B",AD5&gt;=AB5,"C",AD5&gt;=AC5,"D",TRUE,"NÃO ATINGIDO")</f>
        <v>NÃO ATINGIDO</v>
      </c>
      <c r="AF5" s="35" t="str" cm="1">
        <f t="array" ref="AF5">_xlfn.IFS(AE5="NÃO ATINGIDO","D",AE5="D","C",AE5="C","B",AE5="B","A",AE5="A","OBJETIVO ALCANÇADO")</f>
        <v>D</v>
      </c>
      <c r="AG5" s="35" cm="1">
        <f t="array" ref="AG5">_xlfn.IFS(AF5="D",MAX(AC5-AD5,0),AF5="C",MAX(AB5-AD5,0),AF5="B",MAX(AA5-AD5,0),AF5="A",MAX(Z5-AD5,0),AF5="OBJETIVO ALCANÇADO",0)</f>
        <v>25</v>
      </c>
      <c r="AI5" t="s">
        <v>8</v>
      </c>
      <c r="AJ5" s="30">
        <v>330000</v>
      </c>
      <c r="AK5" s="30">
        <v>280500</v>
      </c>
      <c r="AL5" s="30">
        <v>196350</v>
      </c>
      <c r="AM5" s="30">
        <v>148500</v>
      </c>
      <c r="AN5" s="31">
        <f>IFERROR(_xlfn.XLOOKUP(AI5,'[1]BASE PYTHON'!$E:$E,'[1]BASE PYTHON'!$F:$F,0),0)</f>
        <v>285353.39000000007</v>
      </c>
      <c r="AO5" s="32" t="str" cm="1">
        <f t="array" ref="AO5">_xlfn.IFS(AN5&gt;=AJ5,"A",AN5&gt;=AK5,"B",AN5&gt;=AL5,"C",AN5&gt;=AM5,"D",TRUE,"NÃO ATINGIDO")</f>
        <v>B</v>
      </c>
      <c r="AP5" s="32" t="str" cm="1">
        <f t="array" ref="AP5">_xlfn.IFS(AO5="NÃO ATINGIDO","D",AO5="D","C",AO5="C","B",AO5="B","A",AO5="A","OBJETIVO ALCANÇADO")</f>
        <v>A</v>
      </c>
      <c r="AQ5" s="31" cm="1">
        <f t="array" ref="AQ5">_xlfn.IFS(AP5="D",MAX(AM5-AN5,0),AP5="C",MAX(AL5-AN5,0),AP5="B",MAX(AK5-AN5,0),AP5="A",MAX(AJ5-AN5,0),AP5="OBJETIVO ALCANÇADO",0)</f>
        <v>44646.609999999928</v>
      </c>
    </row>
    <row r="6" spans="1:43" x14ac:dyDescent="0.25">
      <c r="A6" s="4"/>
      <c r="B6" s="4" t="s">
        <v>2</v>
      </c>
      <c r="C6" s="2">
        <f>C4-C5</f>
        <v>1842004.4600000032</v>
      </c>
      <c r="D6" s="2"/>
      <c r="E6" s="4"/>
      <c r="F6" s="4"/>
      <c r="G6" s="4"/>
      <c r="H6" s="4" t="s">
        <v>2</v>
      </c>
      <c r="I6" s="7">
        <f>I4-I5</f>
        <v>220030</v>
      </c>
      <c r="J6" s="4"/>
      <c r="K6" s="4"/>
      <c r="L6" s="4"/>
      <c r="M6" s="4"/>
      <c r="N6" s="4" t="s">
        <v>2</v>
      </c>
      <c r="O6" s="7">
        <f>O4-O5</f>
        <v>524823.18000000005</v>
      </c>
      <c r="P6" s="4"/>
      <c r="Q6" s="4"/>
      <c r="R6" s="4"/>
      <c r="S6" s="4"/>
      <c r="T6" s="4" t="s">
        <v>2</v>
      </c>
      <c r="U6" s="4">
        <f>U4-U5</f>
        <v>783</v>
      </c>
      <c r="V6" s="4"/>
      <c r="W6" s="4"/>
      <c r="Y6" s="39" t="s">
        <v>18</v>
      </c>
      <c r="Z6" s="36">
        <v>63</v>
      </c>
      <c r="AA6" s="36">
        <v>54</v>
      </c>
      <c r="AB6" s="36">
        <v>45</v>
      </c>
      <c r="AC6" s="36">
        <v>29</v>
      </c>
      <c r="AD6" s="37">
        <f>IFERROR(_xlfn.XLOOKUP(Y6,'[1]BASE PYTHON'!$K:$K,'[1]BASE PYTHON'!$N:$N,0),0)</f>
        <v>0</v>
      </c>
      <c r="AE6" s="37" t="str" cm="1">
        <f t="array" ref="AE6">_xlfn.IFS(AD6&gt;=Z6,"A",AD6&gt;=AA6,"B",AD6&gt;=AB6,"C",AD6&gt;=AC6,"D",TRUE,"NÃO ATINGIDO")</f>
        <v>NÃO ATINGIDO</v>
      </c>
      <c r="AF6" s="37" t="str" cm="1">
        <f t="array" ref="AF6">_xlfn.IFS(AE6="NÃO ATINGIDO","D",AE6="D","C",AE6="C","B",AE6="B","A",AE6="A","OBJETIVO ALCANÇADO")</f>
        <v>D</v>
      </c>
      <c r="AG6" s="37" cm="1">
        <f t="array" ref="AG6">_xlfn.IFS(AF6="D",MAX(AC6-AD6,0),AF6="C",MAX(AB6-AD6,0),AF6="B",MAX(AA6-AD6,0),AF6="A",MAX(Z6-AD6,0),AF6="OBJETIVO ALCANÇADO",0)</f>
        <v>29</v>
      </c>
      <c r="AI6" t="s">
        <v>18</v>
      </c>
      <c r="AJ6" s="30">
        <v>323500</v>
      </c>
      <c r="AK6" s="30">
        <v>274975</v>
      </c>
      <c r="AL6" s="30">
        <v>192483</v>
      </c>
      <c r="AM6" s="30">
        <v>145575</v>
      </c>
      <c r="AN6" s="31">
        <f>IFERROR(_xlfn.XLOOKUP(AI6,'[1]BASE PYTHON'!$E:$E,'[1]BASE PYTHON'!$F:$F,0),0)</f>
        <v>251826.3399999995</v>
      </c>
      <c r="AO6" s="32" t="str" cm="1">
        <f t="array" ref="AO6">_xlfn.IFS(AN6&gt;=AJ6,"A",AN6&gt;=AK6,"B",AN6&gt;=AL6,"C",AN6&gt;=AM6,"D",TRUE,"NÃO ATINGIDO")</f>
        <v>C</v>
      </c>
      <c r="AP6" s="32" t="str" cm="1">
        <f t="array" ref="AP6">_xlfn.IFS(AO6="NÃO ATINGIDO","D",AO6="D","C",AO6="C","B",AO6="B","A",AO6="A","OBJETIVO ALCANÇADO")</f>
        <v>B</v>
      </c>
      <c r="AQ6" s="31" cm="1">
        <f t="array" ref="AQ6">_xlfn.IFS(AP6="D",MAX(AM6-AN6,0),AP6="C",MAX(AL6-AN6,0),AP6="B",MAX(AK6-AN6,0),AP6="A",MAX(AJ6-AN6,0),AP6="OBJETIVO ALCANÇADO",0)</f>
        <v>23148.660000000498</v>
      </c>
    </row>
    <row r="7" spans="1:43" x14ac:dyDescent="0.25">
      <c r="A7" s="4"/>
      <c r="B7" s="4" t="s">
        <v>3</v>
      </c>
      <c r="C7" s="3">
        <f>1-(C6/C4)</f>
        <v>0.68156202610424355</v>
      </c>
      <c r="D7" s="2"/>
      <c r="E7" s="4"/>
      <c r="F7" s="4"/>
      <c r="G7" s="4"/>
      <c r="H7" s="4" t="s">
        <v>3</v>
      </c>
      <c r="I7" s="3">
        <f>1-(I6/I4)</f>
        <v>0</v>
      </c>
      <c r="J7" s="4"/>
      <c r="K7" s="4"/>
      <c r="L7" s="4"/>
      <c r="M7" s="4"/>
      <c r="N7" s="4" t="s">
        <v>3</v>
      </c>
      <c r="O7" s="3">
        <f>1-(O6/O4)</f>
        <v>0.18251841121495316</v>
      </c>
      <c r="P7" s="4"/>
      <c r="Q7" s="4"/>
      <c r="R7" s="4"/>
      <c r="S7" s="4"/>
      <c r="T7" s="4" t="s">
        <v>3</v>
      </c>
      <c r="U7" s="3">
        <f>1-(U6/U4)</f>
        <v>0</v>
      </c>
      <c r="V7" s="4"/>
      <c r="W7" s="4"/>
      <c r="Y7" s="38" t="s">
        <v>10</v>
      </c>
      <c r="Z7" s="34">
        <v>61</v>
      </c>
      <c r="AA7" s="34">
        <v>52</v>
      </c>
      <c r="AB7" s="34">
        <v>43</v>
      </c>
      <c r="AC7" s="34">
        <v>28</v>
      </c>
      <c r="AD7" s="35">
        <f>IFERROR(_xlfn.XLOOKUP(Y7,'[1]BASE PYTHON'!$K:$K,'[1]BASE PYTHON'!$N:$N,0),0)</f>
        <v>0</v>
      </c>
      <c r="AE7" s="35" t="str" cm="1">
        <f t="array" ref="AE7">_xlfn.IFS(AD7&gt;=Z7,"A",AD7&gt;=AA7,"B",AD7&gt;=AB7,"C",AD7&gt;=AC7,"D",TRUE,"NÃO ATINGIDO")</f>
        <v>NÃO ATINGIDO</v>
      </c>
      <c r="AF7" s="35" t="str" cm="1">
        <f t="array" ref="AF7">_xlfn.IFS(AE7="NÃO ATINGIDO","D",AE7="D","C",AE7="C","B",AE7="B","A",AE7="A","OBJETIVO ALCANÇADO")</f>
        <v>D</v>
      </c>
      <c r="AG7" s="35" cm="1">
        <f t="array" ref="AG7">_xlfn.IFS(AF7="D",MAX(AC7-AD7,0),AF7="C",MAX(AB7-AD7,0),AF7="B",MAX(AA7-AD7,0),AF7="A",MAX(Z7-AD7,0),AF7="OBJETIVO ALCANÇADO",0)</f>
        <v>28</v>
      </c>
      <c r="AI7" t="s">
        <v>10</v>
      </c>
      <c r="AJ7" s="30">
        <v>273000</v>
      </c>
      <c r="AK7" s="30">
        <v>232050</v>
      </c>
      <c r="AL7" s="30">
        <v>162435</v>
      </c>
      <c r="AM7" s="30">
        <v>122850</v>
      </c>
      <c r="AN7" s="31">
        <f>IFERROR(_xlfn.XLOOKUP(AI7,'[1]BASE PYTHON'!$E:$E,'[1]BASE PYTHON'!$F:$F,0),0)</f>
        <v>204299.54999999949</v>
      </c>
      <c r="AO7" s="32" t="str" cm="1">
        <f t="array" ref="AO7">_xlfn.IFS(AN7&gt;=AJ7,"A",AN7&gt;=AK7,"B",AN7&gt;=AL7,"C",AN7&gt;=AM7,"D",TRUE,"NÃO ATINGIDO")</f>
        <v>C</v>
      </c>
      <c r="AP7" s="32" t="str" cm="1">
        <f t="array" ref="AP7">_xlfn.IFS(AO7="NÃO ATINGIDO","D",AO7="D","C",AO7="C","B",AO7="B","A",AO7="A","OBJETIVO ALCANÇADO")</f>
        <v>B</v>
      </c>
      <c r="AQ7" s="31" cm="1">
        <f t="array" ref="AQ7">_xlfn.IFS(AP7="D",MAX(AM7-AN7,0),AP7="C",MAX(AL7-AN7,0),AP7="B",MAX(AK7-AN7,0),AP7="A",MAX(AJ7-AN7,0),AP7="OBJETIVO ALCANÇADO",0)</f>
        <v>27750.450000000506</v>
      </c>
    </row>
    <row r="8" spans="1:4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Y8" s="39" t="s">
        <v>13</v>
      </c>
      <c r="Z8" s="36">
        <v>51</v>
      </c>
      <c r="AA8" s="36">
        <v>44</v>
      </c>
      <c r="AB8" s="36">
        <v>36</v>
      </c>
      <c r="AC8" s="36">
        <v>23</v>
      </c>
      <c r="AD8" s="37">
        <f>IFERROR(_xlfn.XLOOKUP(Y8,'[1]BASE PYTHON'!$K:$K,'[1]BASE PYTHON'!$N:$N,0),0)</f>
        <v>0</v>
      </c>
      <c r="AE8" s="37" t="str" cm="1">
        <f t="array" ref="AE8">_xlfn.IFS(AD8&gt;=Z8,"A",AD8&gt;=AA8,"B",AD8&gt;=AB8,"C",AD8&gt;=AC8,"D",TRUE,"NÃO ATINGIDO")</f>
        <v>NÃO ATINGIDO</v>
      </c>
      <c r="AF8" s="37" t="str" cm="1">
        <f t="array" ref="AF8">_xlfn.IFS(AE8="NÃO ATINGIDO","D",AE8="D","C",AE8="C","B",AE8="B","A",AE8="A","OBJETIVO ALCANÇADO")</f>
        <v>D</v>
      </c>
      <c r="AG8" s="37" cm="1">
        <f t="array" ref="AG8">_xlfn.IFS(AF8="D",MAX(AC8-AD8,0),AF8="C",MAX(AB8-AD8,0),AF8="B",MAX(AA8-AD8,0),AF8="A",MAX(Z8-AD8,0),AF8="OBJETIVO ALCANÇADO",0)</f>
        <v>23</v>
      </c>
      <c r="AI8" t="s">
        <v>13</v>
      </c>
      <c r="AJ8" s="30">
        <v>200000</v>
      </c>
      <c r="AK8" s="30">
        <v>170000</v>
      </c>
      <c r="AL8" s="30">
        <v>119000</v>
      </c>
      <c r="AM8" s="30">
        <v>90000</v>
      </c>
      <c r="AN8" s="31">
        <f>IFERROR(_xlfn.XLOOKUP(AI8,'[1]BASE PYTHON'!$E:$E,'[1]BASE PYTHON'!$F:$F,0),0)</f>
        <v>157515.84999999957</v>
      </c>
      <c r="AO8" s="32" t="str" cm="1">
        <f t="array" ref="AO8">_xlfn.IFS(AN8&gt;=AJ8,"A",AN8&gt;=AK8,"B",AN8&gt;=AL8,"C",AN8&gt;=AM8,"D",TRUE,"NÃO ATINGIDO")</f>
        <v>C</v>
      </c>
      <c r="AP8" s="32" t="str" cm="1">
        <f t="array" ref="AP8">_xlfn.IFS(AO8="NÃO ATINGIDO","D",AO8="D","C",AO8="C","B",AO8="B","A",AO8="A","OBJETIVO ALCANÇADO")</f>
        <v>B</v>
      </c>
      <c r="AQ8" s="31" cm="1">
        <f t="array" ref="AQ8">_xlfn.IFS(AP8="D",MAX(AM8-AN8,0),AP8="C",MAX(AL8-AN8,0),AP8="B",MAX(AK8-AN8,0),AP8="A",MAX(AJ8-AN8,0),AP8="OBJETIVO ALCANÇADO",0)</f>
        <v>12484.150000000431</v>
      </c>
    </row>
    <row r="9" spans="1:4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50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  <c r="Y9" s="38" t="s">
        <v>20</v>
      </c>
      <c r="Z9" s="34">
        <v>40</v>
      </c>
      <c r="AA9" s="34">
        <v>34</v>
      </c>
      <c r="AB9" s="34">
        <v>28</v>
      </c>
      <c r="AC9" s="34">
        <v>18</v>
      </c>
      <c r="AD9" s="35">
        <f>IFERROR(_xlfn.XLOOKUP(Y9,'[1]BASE PYTHON'!$K:$K,'[1]BASE PYTHON'!$N:$N,0),0)</f>
        <v>0</v>
      </c>
      <c r="AE9" s="35" t="str" cm="1">
        <f t="array" ref="AE9">_xlfn.IFS(AD9&gt;=Z9,"A",AD9&gt;=AA9,"B",AD9&gt;=AB9,"C",AD9&gt;=AC9,"D",TRUE,"NÃO ATINGIDO")</f>
        <v>NÃO ATINGIDO</v>
      </c>
      <c r="AF9" s="35" t="str" cm="1">
        <f t="array" ref="AF9">_xlfn.IFS(AE9="NÃO ATINGIDO","D",AE9="D","C",AE9="C","B",AE9="B","A",AE9="A","OBJETIVO ALCANÇADO")</f>
        <v>D</v>
      </c>
      <c r="AG9" s="35" cm="1">
        <f t="array" ref="AG9">_xlfn.IFS(AF9="D",MAX(AC9-AD9,0),AF9="C",MAX(AB9-AD9,0),AF9="B",MAX(AA9-AD9,0),AF9="A",MAX(Z9-AD9,0),AF9="OBJETIVO ALCANÇADO",0)</f>
        <v>18</v>
      </c>
      <c r="AI9" t="s">
        <v>20</v>
      </c>
      <c r="AJ9" s="30">
        <v>167000</v>
      </c>
      <c r="AK9" s="30">
        <v>141950</v>
      </c>
      <c r="AL9" s="30">
        <v>99365</v>
      </c>
      <c r="AM9" s="30">
        <v>75150</v>
      </c>
      <c r="AN9" s="31">
        <f>IFERROR(_xlfn.XLOOKUP(AI9,'[1]BASE PYTHON'!$E:$E,'[1]BASE PYTHON'!$F:$F,0),0)</f>
        <v>136484.83999999985</v>
      </c>
      <c r="AO9" s="32" t="str" cm="1">
        <f t="array" ref="AO9">_xlfn.IFS(AN9&gt;=AJ9,"A",AN9&gt;=AK9,"B",AN9&gt;=AL9,"C",AN9&gt;=AM9,"D",TRUE,"NÃO ATINGIDO")</f>
        <v>C</v>
      </c>
      <c r="AP9" s="32" t="str" cm="1">
        <f t="array" ref="AP9">_xlfn.IFS(AO9="NÃO ATINGIDO","D",AO9="D","C",AO9="C","B",AO9="B","A",AO9="A","OBJETIVO ALCANÇADO")</f>
        <v>B</v>
      </c>
      <c r="AQ9" s="31" cm="1">
        <f t="array" ref="AQ9">_xlfn.IFS(AP9="D",MAX(AM9-AN9,0),AP9="C",MAX(AL9-AN9,0),AP9="B",MAX(AK9-AN9,0),AP9="A",MAX(AJ9-AN9,0),AP9="OBJETIVO ALCANÇADO",0)</f>
        <v>5465.160000000149</v>
      </c>
    </row>
    <row r="10" spans="1:4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64500</v>
      </c>
      <c r="D10" s="28">
        <f>_xlfn.XLOOKUP(Tabela13[[#This Row],[REFERENCIA]],'[1]BASE PYTHON'!$E:$E,'[1]BASE PYTHON'!$F:$F,0)</f>
        <v>47518.18</v>
      </c>
      <c r="E10" s="25">
        <f>Tabela13[[#This Row],[META A]]-Tabela13[[#This Row],[ATINGIDO]]</f>
        <v>16981.82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19630</v>
      </c>
      <c r="J10" s="21">
        <f>_xlfn.XLOOKUP(Tabela5[[#This Row],[REFERENCIA]],'[1]BASE PYTHON'!$H:$H,'[1]BASE PYTHON'!$I:$I,0)</f>
        <v>0</v>
      </c>
      <c r="K10" s="22">
        <f>Tabela5[[#This Row],[COMPROMISSO]]-Tabela5[[#This Row],[ATINGIDO]]</f>
        <v>19630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0</v>
      </c>
      <c r="W10" s="18">
        <f>U10-V10</f>
        <v>38</v>
      </c>
      <c r="Y10" s="39" t="s">
        <v>17</v>
      </c>
      <c r="Z10" s="36">
        <v>47</v>
      </c>
      <c r="AA10" s="36">
        <v>40</v>
      </c>
      <c r="AB10" s="36">
        <v>33</v>
      </c>
      <c r="AC10" s="36">
        <v>22</v>
      </c>
      <c r="AD10" s="37">
        <f>IFERROR(_xlfn.XLOOKUP(Y10,'[1]BASE PYTHON'!$K:$K,'[1]BASE PYTHON'!$N:$N,0),0)</f>
        <v>0</v>
      </c>
      <c r="AE10" s="37" t="str" cm="1">
        <f t="array" ref="AE10">_xlfn.IFS(AD10&gt;=Z10,"A",AD10&gt;=AA10,"B",AD10&gt;=AB10,"C",AD10&gt;=AC10,"D",TRUE,"NÃO ATINGIDO")</f>
        <v>NÃO ATINGIDO</v>
      </c>
      <c r="AF10" s="37" t="str" cm="1">
        <f t="array" ref="AF10">_xlfn.IFS(AE10="NÃO ATINGIDO","D",AE10="D","C",AE10="C","B",AE10="B","A",AE10="A","OBJETIVO ALCANÇADO")</f>
        <v>D</v>
      </c>
      <c r="AG10" s="37" cm="1">
        <f t="array" ref="AG10">_xlfn.IFS(AF10="D",MAX(AC10-AD10,0),AF10="C",MAX(AB10-AD10,0),AF10="B",MAX(AA10-AD10,0),AF10="A",MAX(Z10-AD10,0),AF10="OBJETIVO ALCANÇADO",0)</f>
        <v>22</v>
      </c>
      <c r="AI10" t="s">
        <v>17</v>
      </c>
      <c r="AJ10" s="30">
        <v>242000</v>
      </c>
      <c r="AK10" s="30">
        <v>205700</v>
      </c>
      <c r="AL10" s="30">
        <v>143990</v>
      </c>
      <c r="AM10" s="30">
        <v>108900</v>
      </c>
      <c r="AN10" s="31">
        <f>IFERROR(_xlfn.XLOOKUP(AI10,'[1]BASE PYTHON'!$E:$E,'[1]BASE PYTHON'!$F:$F,0),0)</f>
        <v>179860.41999999961</v>
      </c>
      <c r="AO10" s="32" t="str" cm="1">
        <f t="array" ref="AO10">_xlfn.IFS(AN10&gt;=AJ10,"A",AN10&gt;=AK10,"B",AN10&gt;=AL10,"C",AN10&gt;=AM10,"D",TRUE,"NÃO ATINGIDO")</f>
        <v>C</v>
      </c>
      <c r="AP10" s="32" t="str" cm="1">
        <f t="array" ref="AP10">_xlfn.IFS(AO10="NÃO ATINGIDO","D",AO10="D","C",AO10="C","B",AO10="B","A",AO10="A","OBJETIVO ALCANÇADO")</f>
        <v>B</v>
      </c>
      <c r="AQ10" s="31" cm="1">
        <f t="array" ref="AQ10">_xlfn.IFS(AP10="D",MAX(AM10-AN10,0),AP10="C",MAX(AL10-AN10,0),AP10="B",MAX(AK10-AN10,0),AP10="A",MAX(AJ10-AN10,0),AP10="OBJETIVO ALCANÇADO",0)</f>
        <v>25839.580000000395</v>
      </c>
    </row>
    <row r="11" spans="1:4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330000</v>
      </c>
      <c r="D11" s="28">
        <f>_xlfn.XLOOKUP(Tabela13[[#This Row],[REFERENCIA]],'[1]BASE PYTHON'!$E:$E,'[1]BASE PYTHON'!$F:$F,0)</f>
        <v>285353.39000000007</v>
      </c>
      <c r="E11" s="23">
        <f>Tabela13[[#This Row],[META A]]-Tabela13[[#This Row],[ATINGIDO]]</f>
        <v>44646.609999999928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16280</v>
      </c>
      <c r="J11" s="21">
        <f>_xlfn.XLOOKUP(Tabela5[[#This Row],[REFERENCIA]],'[1]BASE PYTHON'!$H:$H,'[1]BASE PYTHON'!$I:$I,0)</f>
        <v>0</v>
      </c>
      <c r="K11" s="22">
        <f>Tabela5[[#This Row],[COMPROMISSO]]-Tabela5[[#This Row],[ATINGIDO]]</f>
        <v>16280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96500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0</v>
      </c>
      <c r="Q11" s="2">
        <f>Tabela8[[#This Row],[COMPROMISSO]]-Tabela8[[#This Row],[ATINGIDO]]</f>
        <v>96500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0</v>
      </c>
      <c r="W11" s="18">
        <f t="shared" ref="W11:W20" si="0">U11-V11</f>
        <v>54</v>
      </c>
      <c r="Y11" s="38" t="s">
        <v>12</v>
      </c>
      <c r="Z11" s="34">
        <v>48</v>
      </c>
      <c r="AA11" s="34">
        <v>41</v>
      </c>
      <c r="AB11" s="34">
        <v>34</v>
      </c>
      <c r="AC11" s="34">
        <v>22</v>
      </c>
      <c r="AD11" s="35">
        <f>IFERROR(_xlfn.XLOOKUP(Y11,'[1]BASE PYTHON'!$K:$K,'[1]BASE PYTHON'!$N:$N,0),0)</f>
        <v>0</v>
      </c>
      <c r="AE11" s="35" t="str" cm="1">
        <f t="array" ref="AE11">_xlfn.IFS(AD11&gt;=Z11,"A",AD11&gt;=AA11,"B",AD11&gt;=AB11,"C",AD11&gt;=AC11,"D",TRUE,"NÃO ATINGIDO")</f>
        <v>NÃO ATINGIDO</v>
      </c>
      <c r="AF11" s="35" t="str" cm="1">
        <f t="array" ref="AF11">_xlfn.IFS(AE11="NÃO ATINGIDO","D",AE11="D","C",AE11="C","B",AE11="B","A",AE11="A","OBJETIVO ALCANÇADO")</f>
        <v>D</v>
      </c>
      <c r="AG11" s="35" cm="1">
        <f t="array" ref="AG11">_xlfn.IFS(AF11="D",MAX(AC11-AD11,0),AF11="C",MAX(AB11-AD11,0),AF11="B",MAX(AA11-AD11,0),AF11="A",MAX(Z11-AD11,0),AF11="OBJETIVO ALCANÇADO",0)</f>
        <v>22</v>
      </c>
      <c r="AI11" t="s">
        <v>12</v>
      </c>
      <c r="AJ11" s="30">
        <v>122000</v>
      </c>
      <c r="AK11" s="30">
        <v>103700</v>
      </c>
      <c r="AL11" s="30">
        <v>72590</v>
      </c>
      <c r="AM11" s="30">
        <v>54900</v>
      </c>
      <c r="AN11" s="31">
        <f>IFERROR(_xlfn.XLOOKUP(AI11,'[1]BASE PYTHON'!$E:$E,'[1]BASE PYTHON'!$F:$F,0),0)</f>
        <v>82638.189999999871</v>
      </c>
      <c r="AO11" s="32" t="str" cm="1">
        <f t="array" ref="AO11">_xlfn.IFS(AN11&gt;=AJ11,"A",AN11&gt;=AK11,"B",AN11&gt;=AL11,"C",AN11&gt;=AM11,"D",TRUE,"NÃO ATINGIDO")</f>
        <v>C</v>
      </c>
      <c r="AP11" s="32" t="str" cm="1">
        <f t="array" ref="AP11">_xlfn.IFS(AO11="NÃO ATINGIDO","D",AO11="D","C",AO11="C","B",AO11="B","A",AO11="A","OBJETIVO ALCANÇADO")</f>
        <v>B</v>
      </c>
      <c r="AQ11" s="31" cm="1">
        <f t="array" ref="AQ11">_xlfn.IFS(AP11="D",MAX(AM11-AN11,0),AP11="C",MAX(AL11-AN11,0),AP11="B",MAX(AK11-AN11,0),AP11="A",MAX(AJ11-AN11,0),AP11="OBJETIVO ALCANÇADO",0)</f>
        <v>21061.810000000129</v>
      </c>
    </row>
    <row r="12" spans="1:43" x14ac:dyDescent="0.25">
      <c r="A12" s="24" t="s">
        <v>51</v>
      </c>
      <c r="B12" s="24" t="s">
        <v>51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277.87</v>
      </c>
      <c r="E12" s="25">
        <f>Tabela13[[#This Row],[META A]]-Tabela13[[#This Row],[ATINGIDO]]</f>
        <v>-277.87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12830</v>
      </c>
      <c r="J12" s="21">
        <f>_xlfn.XLOOKUP(Tabela5[[#This Row],[REFERENCIA]],'[1]BASE PYTHON'!$H:$H,'[1]BASE PYTHON'!$I:$I,0)</f>
        <v>0</v>
      </c>
      <c r="K12" s="22">
        <f>Tabela5[[#This Row],[COMPROMISSO]]-Tabela5[[#This Row],[ATINGIDO]]</f>
        <v>12830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0</v>
      </c>
      <c r="W12" s="18">
        <f t="shared" si="0"/>
        <v>43</v>
      </c>
      <c r="Y12" s="39" t="s">
        <v>23</v>
      </c>
      <c r="Z12" s="36">
        <v>38</v>
      </c>
      <c r="AA12" s="36">
        <v>33</v>
      </c>
      <c r="AB12" s="36">
        <v>27</v>
      </c>
      <c r="AC12" s="36">
        <v>18</v>
      </c>
      <c r="AD12" s="37">
        <f>IFERROR(_xlfn.XLOOKUP(Y12,'[1]BASE PYTHON'!$K:$K,'[1]BASE PYTHON'!$N:$N,0),0)</f>
        <v>0</v>
      </c>
      <c r="AE12" s="37" t="str" cm="1">
        <f t="array" ref="AE12">_xlfn.IFS(AD12&gt;=Z12,"A",AD12&gt;=AA12,"B",AD12&gt;=AB12,"C",AD12&gt;=AC12,"D",TRUE,"NÃO ATINGIDO")</f>
        <v>NÃO ATINGIDO</v>
      </c>
      <c r="AF12" s="37" t="str" cm="1">
        <f t="array" ref="AF12">_xlfn.IFS(AE12="NÃO ATINGIDO","D",AE12="D","C",AE12="C","B",AE12="B","A",AE12="A","OBJETIVO ALCANÇADO")</f>
        <v>D</v>
      </c>
      <c r="AG12" s="37" cm="1">
        <f t="array" ref="AG12">_xlfn.IFS(AF12="D",MAX(AC12-AD12,0),AF12="C",MAX(AB12-AD12,0),AF12="B",MAX(AA12-AD12,0),AF12="A",MAX(Z12-AD12,0),AF12="OBJETIVO ALCANÇADO",0)</f>
        <v>18</v>
      </c>
      <c r="AI12" t="s">
        <v>23</v>
      </c>
      <c r="AJ12" s="30">
        <v>55000</v>
      </c>
      <c r="AK12" s="30">
        <v>46750</v>
      </c>
      <c r="AL12" s="30">
        <v>32725</v>
      </c>
      <c r="AM12" s="30">
        <v>24750</v>
      </c>
      <c r="AN12" s="31">
        <f>IFERROR(_xlfn.XLOOKUP(AI12,'[1]BASE PYTHON'!$E:$E,'[1]BASE PYTHON'!$F:$F,0),0)</f>
        <v>39571.260000000053</v>
      </c>
      <c r="AO12" s="32" t="str" cm="1">
        <f t="array" ref="AO12">_xlfn.IFS(AN12&gt;=AJ12,"A",AN12&gt;=AK12,"B",AN12&gt;=AL12,"C",AN12&gt;=AM12,"D",TRUE,"NÃO ATINGIDO")</f>
        <v>C</v>
      </c>
      <c r="AP12" s="32" t="str" cm="1">
        <f t="array" ref="AP12">_xlfn.IFS(AO12="NÃO ATINGIDO","D",AO12="D","C",AO12="C","B",AO12="B","A",AO12="A","OBJETIVO ALCANÇADO")</f>
        <v>B</v>
      </c>
      <c r="AQ12" s="31" cm="1">
        <f t="array" ref="AQ12">_xlfn.IFS(AP12="D",MAX(AM12-AN12,0),AP12="C",MAX(AL12-AN12,0),AP12="B",MAX(AK12-AN12,0),AP12="A",MAX(AJ12-AN12,0),AP12="OBJETIVO ALCANÇADO",0)</f>
        <v>7178.739999999947</v>
      </c>
    </row>
    <row r="13" spans="1:4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90000</v>
      </c>
      <c r="D13" s="28">
        <f>_xlfn.XLOOKUP(Tabela13[[#This Row],[REFERENCIA]],'[1]BASE PYTHON'!$E:$E,'[1]BASE PYTHON'!$F:$F,0)</f>
        <v>71342.850000000049</v>
      </c>
      <c r="E13" s="23">
        <f>Tabela13[[#This Row],[META A]]-Tabela13[[#This Row],[ATINGIDO]]</f>
        <v>18657.149999999951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25000</v>
      </c>
      <c r="J13" s="21">
        <f>_xlfn.XLOOKUP(Tabela5[[#This Row],[REFERENCIA]],'[1]BASE PYTHON'!$H:$H,'[1]BASE PYTHON'!$I:$I,0)</f>
        <v>0</v>
      </c>
      <c r="K13" s="22">
        <f>Tabela5[[#This Row],[COMPROMISSO]]-Tabela5[[#This Row],[ATINGIDO]]</f>
        <v>25000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78000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28616.939999999995</v>
      </c>
      <c r="Q13" s="2">
        <f>Tabela8[[#This Row],[COMPROMISSO]]-Tabela8[[#This Row],[ATINGIDO]]</f>
        <v>49383.060000000005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0</v>
      </c>
      <c r="W13" s="18">
        <f t="shared" si="0"/>
        <v>61</v>
      </c>
      <c r="Y13" s="38" t="s">
        <v>9</v>
      </c>
      <c r="Z13" s="34">
        <v>43</v>
      </c>
      <c r="AA13" s="34">
        <v>37</v>
      </c>
      <c r="AB13" s="34">
        <v>31</v>
      </c>
      <c r="AC13" s="34">
        <v>20</v>
      </c>
      <c r="AD13" s="35">
        <f>IFERROR(_xlfn.XLOOKUP(Y13,'[1]BASE PYTHON'!$K:$K,'[1]BASE PYTHON'!$N:$N,0),0)</f>
        <v>0</v>
      </c>
      <c r="AE13" s="35" t="str" cm="1">
        <f t="array" ref="AE13">_xlfn.IFS(AD13&gt;=Z13,"A",AD13&gt;=AA13,"B",AD13&gt;=AB13,"C",AD13&gt;=AC13,"D",TRUE,"NÃO ATINGIDO")</f>
        <v>NÃO ATINGIDO</v>
      </c>
      <c r="AF13" s="35" t="str" cm="1">
        <f t="array" ref="AF13">_xlfn.IFS(AE13="NÃO ATINGIDO","D",AE13="D","C",AE13="C","B",AE13="B","A",AE13="A","OBJETIVO ALCANÇADO")</f>
        <v>D</v>
      </c>
      <c r="AG13" s="35" cm="1">
        <f t="array" ref="AG13">_xlfn.IFS(AF13="D",MAX(AC13-AD13,0),AF13="C",MAX(AB13-AD13,0),AF13="B",MAX(AA13-AD13,0),AF13="A",MAX(Z13-AD13,0),AF13="OBJETIVO ALCANÇADO",0)</f>
        <v>20</v>
      </c>
      <c r="AI13" t="s">
        <v>9</v>
      </c>
      <c r="AJ13" s="30">
        <v>90000</v>
      </c>
      <c r="AK13" s="30">
        <v>76500</v>
      </c>
      <c r="AL13" s="30">
        <v>53550</v>
      </c>
      <c r="AM13" s="30">
        <v>40500</v>
      </c>
      <c r="AN13" s="31">
        <f>IFERROR(_xlfn.XLOOKUP(AI13,'[1]BASE PYTHON'!$E:$E,'[1]BASE PYTHON'!$F:$F,0),0)</f>
        <v>71342.850000000049</v>
      </c>
      <c r="AO13" s="32" t="str" cm="1">
        <f t="array" ref="AO13">_xlfn.IFS(AN13&gt;=AJ13,"A",AN13&gt;=AK13,"B",AN13&gt;=AL13,"C",AN13&gt;=AM13,"D",TRUE,"NÃO ATINGIDO")</f>
        <v>C</v>
      </c>
      <c r="AP13" s="32" t="str" cm="1">
        <f t="array" ref="AP13">_xlfn.IFS(AO13="NÃO ATINGIDO","D",AO13="D","C",AO13="C","B",AO13="B","A",AO13="A","OBJETIVO ALCANÇADO")</f>
        <v>B</v>
      </c>
      <c r="AQ13" s="31" cm="1">
        <f t="array" ref="AQ13">_xlfn.IFS(AP13="D",MAX(AM13-AN13,0),AP13="C",MAX(AL13-AN13,0),AP13="B",MAX(AK13-AN13,0),AP13="A",MAX(AJ13-AN13,0),AP13="OBJETIVO ALCANÇADO",0)</f>
        <v>5157.1499999999505</v>
      </c>
    </row>
    <row r="14" spans="1:4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273000</v>
      </c>
      <c r="D14" s="28">
        <f>_xlfn.XLOOKUP(Tabela13[[#This Row],[REFERENCIA]],'[1]BASE PYTHON'!$E:$E,'[1]BASE PYTHON'!$F:$F,0)</f>
        <v>204299.54999999949</v>
      </c>
      <c r="E14" s="25">
        <f>Tabela13[[#This Row],[META A]]-Tabela13[[#This Row],[ATINGIDO]]</f>
        <v>68700.450000000506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14700</v>
      </c>
      <c r="J14" s="21">
        <f>_xlfn.XLOOKUP(Tabela5[[#This Row],[REFERENCIA]],'[1]BASE PYTHON'!$H:$H,'[1]BASE PYTHON'!$I:$I,0)</f>
        <v>0</v>
      </c>
      <c r="K14" s="22">
        <f>Tabela5[[#This Row],[COMPROMISSO]]-Tabela5[[#This Row],[ATINGIDO]]</f>
        <v>14700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216000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54272.999999999978</v>
      </c>
      <c r="Q14" s="2">
        <f>Tabela8[[#This Row],[COMPROMISSO]]-Tabela8[[#This Row],[ATINGIDO]]</f>
        <v>161727.00000000003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0</v>
      </c>
      <c r="W14" s="18">
        <f t="shared" si="0"/>
        <v>29</v>
      </c>
      <c r="Y14" s="39" t="s">
        <v>7</v>
      </c>
      <c r="Z14" s="36">
        <v>38</v>
      </c>
      <c r="AA14" s="36">
        <v>33</v>
      </c>
      <c r="AB14" s="36">
        <v>27</v>
      </c>
      <c r="AC14" s="36">
        <v>18</v>
      </c>
      <c r="AD14" s="37">
        <f>IFERROR(_xlfn.XLOOKUP(Y14,'[1]BASE PYTHON'!$K:$K,'[1]BASE PYTHON'!$N:$N,0),0)</f>
        <v>0</v>
      </c>
      <c r="AE14" s="37" t="str" cm="1">
        <f t="array" ref="AE14">_xlfn.IFS(AD14&gt;=Z14,"A",AD14&gt;=AA14,"B",AD14&gt;=AB14,"C",AD14&gt;=AC14,"D",TRUE,"NÃO ATINGIDO")</f>
        <v>NÃO ATINGIDO</v>
      </c>
      <c r="AF14" s="37" t="str" cm="1">
        <f t="array" ref="AF14">_xlfn.IFS(AE14="NÃO ATINGIDO","D",AE14="D","C",AE14="C","B",AE14="B","A",AE14="A","OBJETIVO ALCANÇADO")</f>
        <v>D</v>
      </c>
      <c r="AG14" s="37" cm="1">
        <f t="array" ref="AG14">_xlfn.IFS(AF14="D",MAX(AC14-AD14,0),AF14="C",MAX(AB14-AD14,0),AF14="B",MAX(AA14-AD14,0),AF14="A",MAX(Z14-AD14,0),AF14="OBJETIVO ALCANÇADO",0)</f>
        <v>18</v>
      </c>
      <c r="AI14" t="s">
        <v>7</v>
      </c>
      <c r="AJ14" s="30">
        <v>64500</v>
      </c>
      <c r="AK14" s="30">
        <v>54825</v>
      </c>
      <c r="AL14" s="30">
        <v>38378</v>
      </c>
      <c r="AM14" s="30">
        <v>29025</v>
      </c>
      <c r="AN14" s="31">
        <f>IFERROR(_xlfn.XLOOKUP(AI14,'[1]BASE PYTHON'!$E:$E,'[1]BASE PYTHON'!$F:$F,0),0)</f>
        <v>47518.18</v>
      </c>
      <c r="AO14" s="32" t="str" cm="1">
        <f t="array" ref="AO14">_xlfn.IFS(AN14&gt;=AJ14,"A",AN14&gt;=AK14,"B",AN14&gt;=AL14,"C",AN14&gt;=AM14,"D",TRUE,"NÃO ATINGIDO")</f>
        <v>C</v>
      </c>
      <c r="AP14" s="32" t="str" cm="1">
        <f t="array" ref="AP14">_xlfn.IFS(AO14="NÃO ATINGIDO","D",AO14="D","C",AO14="C","B",AO14="B","A",AO14="A","OBJETIVO ALCANÇADO")</f>
        <v>B</v>
      </c>
      <c r="AQ14" s="31" cm="1">
        <f t="array" ref="AQ14">_xlfn.IFS(AP14="D",MAX(AM14-AN14,0),AP14="C",MAX(AL14-AN14,0),AP14="B",MAX(AK14-AN14,0),AP14="A",MAX(AJ14-AN14,0),AP14="OBJETIVO ALCANÇADO",0)</f>
        <v>7306.82</v>
      </c>
    </row>
    <row r="15" spans="1:4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78000</v>
      </c>
      <c r="D15" s="28">
        <f>_xlfn.XLOOKUP(Tabela13[[#This Row],[REFERENCIA]],'[1]BASE PYTHON'!$E:$E,'[1]BASE PYTHON'!$F:$F,0)</f>
        <v>61262.760000000031</v>
      </c>
      <c r="E15" s="23">
        <f>Tabela13[[#This Row],[META A]]-Tabela13[[#This Row],[ATINGIDO]]</f>
        <v>16737.239999999969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21790</v>
      </c>
      <c r="J15" s="21">
        <f>_xlfn.XLOOKUP(Tabela5[[#This Row],[REFERENCIA]],'[1]BASE PYTHON'!$H:$H,'[1]BASE PYTHON'!$I:$I,0)</f>
        <v>0</v>
      </c>
      <c r="K15" s="22">
        <f>Tabela5[[#This Row],[COMPROMISSO]]-Tabela5[[#This Row],[ATINGIDO]]</f>
        <v>21790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86000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16560.899999999998</v>
      </c>
      <c r="Q15" s="2">
        <f>Tabela8[[#This Row],[COMPROMISSO]]-Tabela8[[#This Row],[ATINGIDO]]</f>
        <v>69439.100000000006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0</v>
      </c>
      <c r="W15" s="18">
        <f>U15-V15</f>
        <v>48</v>
      </c>
      <c r="Y15" s="38" t="s">
        <v>11</v>
      </c>
      <c r="Z15" s="34">
        <v>29</v>
      </c>
      <c r="AA15" s="34">
        <v>25</v>
      </c>
      <c r="AB15" s="34">
        <v>21</v>
      </c>
      <c r="AC15" s="34">
        <v>14</v>
      </c>
      <c r="AD15" s="35">
        <f>IFERROR(_xlfn.XLOOKUP(Y15,'[1]BASE PYTHON'!$K:$K,'[1]BASE PYTHON'!$N:$N,0),0)</f>
        <v>0</v>
      </c>
      <c r="AE15" s="35" t="str" cm="1">
        <f t="array" ref="AE15">_xlfn.IFS(AD15&gt;=Z15,"A",AD15&gt;=AA15,"B",AD15&gt;=AB15,"C",AD15&gt;=AC15,"D",TRUE,"NÃO ATINGIDO")</f>
        <v>NÃO ATINGIDO</v>
      </c>
      <c r="AF15" s="35" t="str" cm="1">
        <f t="array" ref="AF15">_xlfn.IFS(AE15="NÃO ATINGIDO","D",AE15="D","C",AE15="C","B",AE15="B","A",AE15="A","OBJETIVO ALCANÇADO")</f>
        <v>D</v>
      </c>
      <c r="AG15" s="35" cm="1">
        <f t="array" ref="AG15">_xlfn.IFS(AF15="D",MAX(AC15-AD15,0),AF15="C",MAX(AB15-AD15,0),AF15="B",MAX(AA15-AD15,0),AF15="A",MAX(Z15-AD15,0),AF15="OBJETIVO ALCANÇADO",0)</f>
        <v>14</v>
      </c>
      <c r="AI15" t="s">
        <v>11</v>
      </c>
      <c r="AJ15" s="30">
        <v>78000</v>
      </c>
      <c r="AK15" s="30">
        <v>66300</v>
      </c>
      <c r="AL15" s="30">
        <v>46410</v>
      </c>
      <c r="AM15" s="30">
        <v>35100</v>
      </c>
      <c r="AN15" s="31">
        <f>IFERROR(_xlfn.XLOOKUP(AI15,'[1]BASE PYTHON'!$E:$E,'[1]BASE PYTHON'!$F:$F,0),0)</f>
        <v>61262.760000000031</v>
      </c>
      <c r="AO15" s="32" t="str" cm="1">
        <f t="array" ref="AO15">_xlfn.IFS(AN15&gt;=AJ15,"A",AN15&gt;=AK15,"B",AN15&gt;=AL15,"C",AN15&gt;=AM15,"D",TRUE,"NÃO ATINGIDO")</f>
        <v>C</v>
      </c>
      <c r="AP15" s="32" t="str" cm="1">
        <f t="array" ref="AP15">_xlfn.IFS(AO15="NÃO ATINGIDO","D",AO15="D","C",AO15="C","B",AO15="B","A",AO15="A","OBJETIVO ALCANÇADO")</f>
        <v>B</v>
      </c>
      <c r="AQ15" s="31" cm="1">
        <f t="array" ref="AQ15">_xlfn.IFS(AP15="D",MAX(AM15-AN15,0),AP15="C",MAX(AL15-AN15,0),AP15="B",MAX(AK15-AN15,0),AP15="A",MAX(AJ15-AN15,0),AP15="OBJETIVO ALCANÇADO",0)</f>
        <v>5037.2399999999689</v>
      </c>
    </row>
    <row r="16" spans="1:4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184214.43999999997</v>
      </c>
      <c r="E16" s="25">
        <f>Tabela13[[#This Row],[META A]]-Tabela13[[#This Row],[ATINGIDO]]</f>
        <v>165785.56000000003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11880</v>
      </c>
      <c r="J16" s="21">
        <f>_xlfn.XLOOKUP(Tabela5[[#This Row],[REFERENCIA]],'[1]BASE PYTHON'!$H:$H,'[1]BASE PYTHON'!$I:$I,0)</f>
        <v>0</v>
      </c>
      <c r="K16" s="22">
        <f>Tabela5[[#This Row],[COMPROMISSO]]-Tabela5[[#This Row],[ATINGIDO]]</f>
        <v>11880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0</v>
      </c>
      <c r="Q16" s="2">
        <f>Tabela8[[#This Row],[COMPROMISSO]]-Tabela8[[#This Row],[ATINGIDO]]</f>
        <v>0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0</v>
      </c>
      <c r="W16" s="18">
        <f t="shared" si="0"/>
        <v>41</v>
      </c>
      <c r="Y16" s="39" t="s">
        <v>19</v>
      </c>
      <c r="Z16" s="36">
        <v>44</v>
      </c>
      <c r="AA16" s="36">
        <v>38</v>
      </c>
      <c r="AB16" s="36">
        <v>31</v>
      </c>
      <c r="AC16" s="36">
        <v>20</v>
      </c>
      <c r="AD16" s="37">
        <f>IFERROR(_xlfn.XLOOKUP(Y16,'[1]BASE PYTHON'!$K:$K,'[1]BASE PYTHON'!$N:$N,0),0)</f>
        <v>0</v>
      </c>
      <c r="AE16" s="37" t="str" cm="1">
        <f t="array" ref="AE16">_xlfn.IFS(AD16&gt;=Z16,"A",AD16&gt;=AA16,"B",AD16&gt;=AB16,"C",AD16&gt;=AC16,"D",TRUE,"NÃO ATINGIDO")</f>
        <v>NÃO ATINGIDO</v>
      </c>
      <c r="AF16" s="37" t="str" cm="1">
        <f t="array" ref="AF16">_xlfn.IFS(AE16="NÃO ATINGIDO","D",AE16="D","C",AE16="C","B",AE16="B","A",AE16="A","OBJETIVO ALCANÇADO")</f>
        <v>D</v>
      </c>
      <c r="AG16" s="37" cm="1">
        <f t="array" ref="AG16">_xlfn.IFS(AF16="D",MAX(AC16-AD16,0),AF16="C",MAX(AB16-AD16,0),AF16="B",MAX(AA16-AD16,0),AF16="A",MAX(Z16-AD16,0),AF16="OBJETIVO ALCANÇADO",0)</f>
        <v>20</v>
      </c>
      <c r="AI16" t="s">
        <v>19</v>
      </c>
      <c r="AJ16" s="30">
        <v>139500</v>
      </c>
      <c r="AK16" s="30">
        <v>118575</v>
      </c>
      <c r="AL16" s="30">
        <v>83003</v>
      </c>
      <c r="AM16" s="30">
        <v>62775</v>
      </c>
      <c r="AN16" s="31">
        <f>IFERROR(_xlfn.XLOOKUP(AI16,'[1]BASE PYTHON'!$E:$E,'[1]BASE PYTHON'!$F:$F,0),0)</f>
        <v>96528.829999999856</v>
      </c>
      <c r="AO16" s="32" t="str" cm="1">
        <f t="array" ref="AO16">_xlfn.IFS(AN16&gt;=AJ16,"A",AN16&gt;=AK16,"B",AN16&gt;=AL16,"C",AN16&gt;=AM16,"D",TRUE,"NÃO ATINGIDO")</f>
        <v>C</v>
      </c>
      <c r="AP16" s="32" t="str" cm="1">
        <f t="array" ref="AP16">_xlfn.IFS(AO16="NÃO ATINGIDO","D",AO16="D","C",AO16="C","B",AO16="B","A",AO16="A","OBJETIVO ALCANÇADO")</f>
        <v>B</v>
      </c>
      <c r="AQ16" s="31" cm="1">
        <f t="array" ref="AQ16">_xlfn.IFS(AP16="D",MAX(AM16-AN16,0),AP16="C",MAX(AL16-AN16,0),AP16="B",MAX(AK16-AN16,0),AP16="A",MAX(AJ16-AN16,0),AP16="OBJETIVO ALCANÇADO",0)</f>
        <v>22046.170000000144</v>
      </c>
    </row>
    <row r="17" spans="1:4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420000</v>
      </c>
      <c r="D17" s="28">
        <f>_xlfn.XLOOKUP(Tabela13[[#This Row],[REFERENCIA]],'[1]BASE PYTHON'!$E:$E,'[1]BASE PYTHON'!$F:$F,0)</f>
        <v>375440.95</v>
      </c>
      <c r="E17" s="23">
        <f>Tabela13[[#This Row],[META A]]-Tabela13[[#This Row],[ATINGIDO]]</f>
        <v>44559.049999999988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8960</v>
      </c>
      <c r="J17" s="21">
        <f>_xlfn.XLOOKUP(Tabela5[[#This Row],[REFERENCIA]],'[1]BASE PYTHON'!$H:$H,'[1]BASE PYTHON'!$I:$I,0)</f>
        <v>0</v>
      </c>
      <c r="K17" s="22">
        <f>Tabela5[[#This Row],[COMPROMISSO]]-Tabela5[[#This Row],[ATINGIDO]]</f>
        <v>8960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165500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17725.980000000007</v>
      </c>
      <c r="Q17" s="2">
        <f>Tabela8[[#This Row],[COMPROMISSO]]-Tabela8[[#This Row],[ATINGIDO]]</f>
        <v>147774.01999999999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0</v>
      </c>
      <c r="W17" s="18">
        <f t="shared" si="0"/>
        <v>51</v>
      </c>
      <c r="Y17" s="38" t="s">
        <v>14</v>
      </c>
      <c r="Z17" s="34">
        <v>41</v>
      </c>
      <c r="AA17" s="34">
        <v>35</v>
      </c>
      <c r="AB17" s="34">
        <v>29</v>
      </c>
      <c r="AC17" s="34">
        <v>19</v>
      </c>
      <c r="AD17" s="35">
        <f>IFERROR(_xlfn.XLOOKUP(Y17,'[1]BASE PYTHON'!$K:$K,'[1]BASE PYTHON'!$N:$N,0),0)</f>
        <v>0</v>
      </c>
      <c r="AE17" s="35" t="str" cm="1">
        <f t="array" ref="AE17">_xlfn.IFS(AD17&gt;=Z17,"A",AD17&gt;=AA17,"B",AD17&gt;=AB17,"C",AD17&gt;=AC17,"D",TRUE,"NÃO ATINGIDO")</f>
        <v>NÃO ATINGIDO</v>
      </c>
      <c r="AF17" s="35" t="str" cm="1">
        <f t="array" ref="AF17">_xlfn.IFS(AE17="NÃO ATINGIDO","D",AE17="D","C",AE17="C","B",AE17="B","A",AE17="A","OBJETIVO ALCANÇADO")</f>
        <v>D</v>
      </c>
      <c r="AG17" s="35" cm="1">
        <f t="array" ref="AG17">_xlfn.IFS(AF17="D",MAX(AC17-AD17,0),AF17="C",MAX(AB17-AD17,0),AF17="B",MAX(AA17-AD17,0),AF17="A",MAX(Z17-AD17,0),AF17="OBJETIVO ALCANÇADO",0)</f>
        <v>19</v>
      </c>
      <c r="AI17" t="s">
        <v>14</v>
      </c>
      <c r="AJ17" s="30">
        <v>145000</v>
      </c>
      <c r="AK17" s="30">
        <v>123250</v>
      </c>
      <c r="AL17" s="30">
        <v>86275</v>
      </c>
      <c r="AM17" s="30">
        <v>65250</v>
      </c>
      <c r="AN17" s="31">
        <f>IFERROR(_xlfn.XLOOKUP(AI17,'[1]BASE PYTHON'!$E:$E,'[1]BASE PYTHON'!$F:$F,0),0)</f>
        <v>102353.13000000005</v>
      </c>
      <c r="AO17" s="32" t="str" cm="1">
        <f t="array" ref="AO17">_xlfn.IFS(AN17&gt;=AJ17,"A",AN17&gt;=AK17,"B",AN17&gt;=AL17,"C",AN17&gt;=AM17,"D",TRUE,"NÃO ATINGIDO")</f>
        <v>C</v>
      </c>
      <c r="AP17" s="32" t="str" cm="1">
        <f t="array" ref="AP17">_xlfn.IFS(AO17="NÃO ATINGIDO","D",AO17="D","C",AO17="C","B",AO17="B","A",AO17="A","OBJETIVO ALCANÇADO")</f>
        <v>B</v>
      </c>
      <c r="AQ17" s="31" cm="1">
        <f t="array" ref="AQ17">_xlfn.IFS(AP17="D",MAX(AM17-AN17,0),AP17="C",MAX(AL17-AN17,0),AP17="B",MAX(AK17-AN17,0),AP17="A",MAX(AJ17-AN17,0),AP17="OBJETIVO ALCANÇADO",0)</f>
        <v>20896.869999999952</v>
      </c>
    </row>
    <row r="18" spans="1:4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569097.70000000019</v>
      </c>
      <c r="E18" s="25">
        <f>Tabela13[[#This Row],[META A]]-Tabela13[[#This Row],[ATINGIDO]]</f>
        <v>410902.29999999981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9340</v>
      </c>
      <c r="J18" s="21">
        <f>_xlfn.XLOOKUP(Tabela5[[#This Row],[REFERENCIA]],'[1]BASE PYTHON'!$H:$H,'[1]BASE PYTHON'!$I:$I,0)</f>
        <v>0</v>
      </c>
      <c r="K18" s="22">
        <f>Tabela5[[#This Row],[COMPROMISSO]]-Tabela5[[#This Row],[ATINGIDO]]</f>
        <v>9340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0</v>
      </c>
      <c r="W18" s="18">
        <f t="shared" si="0"/>
        <v>47</v>
      </c>
      <c r="Y18" s="39" t="s">
        <v>21</v>
      </c>
      <c r="Z18" s="36">
        <v>55</v>
      </c>
      <c r="AA18" s="36">
        <v>47</v>
      </c>
      <c r="AB18" s="36">
        <v>39</v>
      </c>
      <c r="AC18" s="36">
        <v>25</v>
      </c>
      <c r="AD18" s="37">
        <f>IFERROR(_xlfn.XLOOKUP(Y18,'[1]BASE PYTHON'!$K:$K,'[1]BASE PYTHON'!$N:$N,0),0)</f>
        <v>0</v>
      </c>
      <c r="AE18" s="37" t="str" cm="1">
        <f t="array" ref="AE18">_xlfn.IFS(AD18&gt;=Z18,"A",AD18&gt;=AA18,"B",AD18&gt;=AB18,"C",AD18&gt;=AC18,"D",TRUE,"NÃO ATINGIDO")</f>
        <v>NÃO ATINGIDO</v>
      </c>
      <c r="AF18" s="37" t="str" cm="1">
        <f t="array" ref="AF18">_xlfn.IFS(AE18="NÃO ATINGIDO","D",AE18="D","C",AE18="C","B",AE18="B","A",AE18="A","OBJETIVO ALCANÇADO")</f>
        <v>D</v>
      </c>
      <c r="AG18" s="37" cm="1">
        <f t="array" ref="AG18">_xlfn.IFS(AF18="D",MAX(AC18-AD18,0),AF18="C",MAX(AB18-AD18,0),AF18="B",MAX(AA18-AD18,0),AF18="A",MAX(Z18-AD18,0),AF18="OBJETIVO ALCANÇADO",0)</f>
        <v>25</v>
      </c>
      <c r="AI18" t="s">
        <v>21</v>
      </c>
      <c r="AJ18" s="30">
        <v>265000</v>
      </c>
      <c r="AK18" s="30">
        <v>225250</v>
      </c>
      <c r="AL18" s="30">
        <v>157675</v>
      </c>
      <c r="AM18" s="30">
        <v>119250</v>
      </c>
      <c r="AN18" s="31">
        <f>IFERROR(_xlfn.XLOOKUP(AI18,'[1]BASE PYTHON'!$E:$E,'[1]BASE PYTHON'!$F:$F,0),0)</f>
        <v>198305.76999999955</v>
      </c>
      <c r="AO18" s="32" t="str" cm="1">
        <f t="array" ref="AO18">_xlfn.IFS(AN18&gt;=AJ18,"A",AN18&gt;=AK18,"B",AN18&gt;=AL18,"C",AN18&gt;=AM18,"D",TRUE,"NÃO ATINGIDO")</f>
        <v>C</v>
      </c>
      <c r="AP18" s="32" t="str" cm="1">
        <f t="array" ref="AP18">_xlfn.IFS(AO18="NÃO ATINGIDO","D",AO18="D","C",AO18="C","B",AO18="B","A",AO18="A","OBJETIVO ALCANÇADO")</f>
        <v>B</v>
      </c>
      <c r="AQ18" s="31" cm="1">
        <f t="array" ref="AQ18">_xlfn.IFS(AP18="D",MAX(AM18-AN18,0),AP18="C",MAX(AL18-AN18,0),AP18="B",MAX(AK18-AN18,0),AP18="A",MAX(AJ18-AN18,0),AP18="OBJETIVO ALCANÇADO",0)</f>
        <v>26944.230000000447</v>
      </c>
    </row>
    <row r="19" spans="1:4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54138.15</v>
      </c>
      <c r="E19" s="23">
        <f>Tabela13[[#This Row],[META A]]-Tabela13[[#This Row],[ATINGIDO]]</f>
        <v>87861.85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13640</v>
      </c>
      <c r="J19" s="21">
        <f>_xlfn.XLOOKUP(Tabela5[[#This Row],[REFERENCIA]],'[1]BASE PYTHON'!$H:$H,'[1]BASE PYTHON'!$I:$I,0)</f>
        <v>0</v>
      </c>
      <c r="K19" s="22">
        <f>Tabela5[[#This Row],[COMPROMISSO]]-Tabela5[[#This Row],[ATINGIDO]]</f>
        <v>13640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0</v>
      </c>
      <c r="W19" s="18">
        <f t="shared" si="0"/>
        <v>63</v>
      </c>
      <c r="Y19" s="38" t="s">
        <v>16</v>
      </c>
      <c r="Z19" s="34">
        <v>41</v>
      </c>
      <c r="AA19" s="34">
        <v>35</v>
      </c>
      <c r="AB19" s="34">
        <v>29</v>
      </c>
      <c r="AC19" s="34">
        <v>19</v>
      </c>
      <c r="AD19" s="35">
        <f>IFERROR(_xlfn.XLOOKUP(Y19,'[1]BASE PYTHON'!$K:$K,'[1]BASE PYTHON'!$N:$N,0),0)</f>
        <v>0</v>
      </c>
      <c r="AE19" s="35" t="str" cm="1">
        <f t="array" ref="AE19">_xlfn.IFS(AD19&gt;=Z19,"A",AD19&gt;=AA19,"B",AD19&gt;=AB19,"C",AD19&gt;=AC19,"D",TRUE,"NÃO ATINGIDO")</f>
        <v>NÃO ATINGIDO</v>
      </c>
      <c r="AF19" s="35" t="str" cm="1">
        <f t="array" ref="AF19">_xlfn.IFS(AE19="NÃO ATINGIDO","D",AE19="D","C",AE19="C","B",AE19="B","A",AE19="A","OBJETIVO ALCANÇADO")</f>
        <v>D</v>
      </c>
      <c r="AG19" s="35" cm="1">
        <f t="array" ref="AG19">_xlfn.IFS(AF19="D",MAX(AC19-AD19,0),AF19="C",MAX(AB19-AD19,0),AF19="B",MAX(AA19-AD19,0),AF19="A",MAX(Z19-AD19,0),AF19="OBJETIVO ALCANÇADO",0)</f>
        <v>19</v>
      </c>
      <c r="AI19" t="s">
        <v>16</v>
      </c>
      <c r="AJ19" s="30">
        <v>90000</v>
      </c>
      <c r="AK19" s="30">
        <v>76500</v>
      </c>
      <c r="AL19" s="30">
        <v>53550</v>
      </c>
      <c r="AM19" s="30">
        <v>40500</v>
      </c>
      <c r="AN19" s="31">
        <f>IFERROR(_xlfn.XLOOKUP(AI19,'[1]BASE PYTHON'!$E:$E,'[1]BASE PYTHON'!$F:$F,0),0)</f>
        <v>32503.550000000014</v>
      </c>
      <c r="AO19" s="32" t="str" cm="1">
        <f t="array" ref="AO19">_xlfn.IFS(AN19&gt;=AJ19,"A",AN19&gt;=AK19,"B",AN19&gt;=AL19,"C",AN19&gt;=AM19,"D",TRUE,"NÃO ATINGIDO")</f>
        <v>NÃO ATINGIDO</v>
      </c>
      <c r="AP19" s="32" t="str" cm="1">
        <f t="array" ref="AP19">_xlfn.IFS(AO19="NÃO ATINGIDO","D",AO19="D","C",AO19="C","B",AO19="B","A",AO19="A","OBJETIVO ALCANÇADO")</f>
        <v>D</v>
      </c>
      <c r="AQ19" s="31" cm="1">
        <f t="array" ref="AQ19">_xlfn.IFS(AP19="D",MAX(AM19-AN19,0),AP19="C",MAX(AL19-AN19,0),AP19="B",MAX(AK19-AN19,0),AP19="A",MAX(AJ19-AN19,0),AP19="OBJETIVO ALCANÇADO",0)</f>
        <v>7996.4499999999862</v>
      </c>
    </row>
    <row r="20" spans="1:4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560000</v>
      </c>
      <c r="D20" s="28">
        <f>_xlfn.XLOOKUP(Tabela13[[#This Row],[REFERENCIA]],'[1]BASE PYTHON'!$E:$E,'[1]BASE PYTHON'!$F:$F,0)</f>
        <v>324710.07000000018</v>
      </c>
      <c r="E20" s="25">
        <f>Tabela13[[#This Row],[META A]]-Tabela13[[#This Row],[ATINGIDO]]</f>
        <v>235289.92999999982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14220</v>
      </c>
      <c r="J20" s="21">
        <f>_xlfn.XLOOKUP(Tabela5[[#This Row],[REFERENCIA]],'[1]BASE PYTHON'!$H:$H,'[1]BASE PYTHON'!$I:$I,0)</f>
        <v>0</v>
      </c>
      <c r="K20" s="22">
        <f>Tabela5[[#This Row],[COMPROMISSO]]-Tabela5[[#This Row],[ATINGIDO]]</f>
        <v>14220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0</v>
      </c>
      <c r="W20" s="18">
        <f t="shared" si="0"/>
        <v>41</v>
      </c>
      <c r="Y20" s="39" t="s">
        <v>15</v>
      </c>
      <c r="Z20" s="36">
        <v>53</v>
      </c>
      <c r="AA20" s="36">
        <v>46</v>
      </c>
      <c r="AB20" s="36">
        <v>38</v>
      </c>
      <c r="AC20" s="36">
        <v>24</v>
      </c>
      <c r="AD20" s="37">
        <f>IFERROR(_xlfn.XLOOKUP(Y20,'[1]BASE PYTHON'!$K:$K,'[1]BASE PYTHON'!$N:$N,0),0)</f>
        <v>0</v>
      </c>
      <c r="AE20" s="37" t="str" cm="1">
        <f t="array" ref="AE20">_xlfn.IFS(AD20&gt;=Z20,"A",AD20&gt;=AA20,"B",AD20&gt;=AB20,"C",AD20&gt;=AC20,"D",TRUE,"NÃO ATINGIDO")</f>
        <v>NÃO ATINGIDO</v>
      </c>
      <c r="AF20" s="37" t="str" cm="1">
        <f t="array" ref="AF20">_xlfn.IFS(AE20="NÃO ATINGIDO","D",AE20="D","C",AE20="C","B",AE20="B","A",AE20="A","OBJETIVO ALCANÇADO")</f>
        <v>D</v>
      </c>
      <c r="AG20" s="37" cm="1">
        <f t="array" ref="AG20">_xlfn.IFS(AF20="D",MAX(AC20-AD20,0),AF20="C",MAX(AB20-AD20,0),AF20="B",MAX(AA20-AD20,0),AF20="A",MAX(Z20-AD20,0),AF20="OBJETIVO ALCANÇADO",0)</f>
        <v>24</v>
      </c>
      <c r="AI20" t="s">
        <v>15</v>
      </c>
      <c r="AJ20" s="30">
        <v>147000</v>
      </c>
      <c r="AK20" s="30">
        <v>124950</v>
      </c>
      <c r="AL20" s="30">
        <v>87465</v>
      </c>
      <c r="AM20" s="30">
        <v>66150</v>
      </c>
      <c r="AN20" s="31">
        <f>IFERROR(_xlfn.XLOOKUP(AI20,'[1]BASE PYTHON'!$E:$E,'[1]BASE PYTHON'!$F:$F,0),0)</f>
        <v>94044.729999999749</v>
      </c>
      <c r="AO20" s="32" t="str" cm="1">
        <f t="array" ref="AO20">_xlfn.IFS(AN20&gt;=AJ20,"A",AN20&gt;=AK20,"B",AN20&gt;=AL20,"C",AN20&gt;=AM20,"D",TRUE,"NÃO ATINGIDO")</f>
        <v>C</v>
      </c>
      <c r="AP20" s="32" t="str" cm="1">
        <f t="array" ref="AP20">_xlfn.IFS(AO20="NÃO ATINGIDO","D",AO20="D","C",AO20="C","B",AO20="B","A",AO20="A","OBJETIVO ALCANÇADO")</f>
        <v>B</v>
      </c>
      <c r="AQ20" s="31" cm="1">
        <f t="array" ref="AQ20">_xlfn.IFS(AP20="D",MAX(AM20-AN20,0),AP20="C",MAX(AL20-AN20,0),AP20="B",MAX(AK20-AN20,0),AP20="A",MAX(AJ20-AN20,0),AP20="OBJETIVO ALCANÇADO",0)</f>
        <v>30905.270000000251</v>
      </c>
    </row>
    <row r="21" spans="1:4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425000</v>
      </c>
      <c r="D21" s="28">
        <f>_xlfn.XLOOKUP(Tabela13[[#This Row],[REFERENCIA]],'[1]BASE PYTHON'!$E:$E,'[1]BASE PYTHON'!$F:$F,0)</f>
        <v>275249.46999999991</v>
      </c>
      <c r="E21" s="23">
        <f>Tabela13[[#This Row],[META A]]-Tabela13[[#This Row],[ATINGIDO]]</f>
        <v>149750.53000000009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7420</v>
      </c>
      <c r="J21" s="21">
        <f>_xlfn.XLOOKUP(Tabela5[[#This Row],[REFERENCIA]],'[1]BASE PYTHON'!$H:$H,'[1]BASE PYTHON'!$I:$I,0)</f>
        <v>0</v>
      </c>
      <c r="K21" s="22">
        <f>Tabela5[[#This Row],[COMPROMISSO]]-Tabela5[[#This Row],[ATINGIDO]]</f>
        <v>7420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IFERROR(GETPIVOTDATA("[Measures].[Soma de TOTAL 3]",'[1]BASE PYTHON'!$P$32,"[Intervalo 2].[SEMANA]","[Intervalo 2].[SEMANA].&amp;[1]"),0)</f>
        <v>589719.48999999976</v>
      </c>
      <c r="Q21" s="7">
        <f>O21-P21</f>
        <v>95280.510000000242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0</v>
      </c>
      <c r="W21" s="18">
        <f t="shared" ref="W21:W26" si="1">U21-V21</f>
        <v>44</v>
      </c>
      <c r="Y21" s="42" t="s">
        <v>61</v>
      </c>
      <c r="Z21" s="43">
        <f>SUBTOTAL(109,Planilha1!$Z$3:$Z$20)</f>
        <v>862</v>
      </c>
      <c r="AA21" s="43">
        <f>SUBTOTAL(109,Planilha1!$AA$3:$AA$20)</f>
        <v>740</v>
      </c>
      <c r="AB21" s="43">
        <f>SUBTOTAL(109,Planilha1!$AB$3:$AB$20)</f>
        <v>611</v>
      </c>
      <c r="AC21" s="43">
        <f>SUBTOTAL(109,Planilha1!$AC$3:$AC$20)</f>
        <v>397</v>
      </c>
      <c r="AD21" s="43">
        <f>SUBTOTAL(109,Planilha1!$AD$3:$AD$20)</f>
        <v>73</v>
      </c>
      <c r="AE21" s="43"/>
      <c r="AF21" s="43"/>
      <c r="AG21" s="44">
        <f>SUBTOTAL(109,Planilha1!$AG$3:$AG$20)</f>
        <v>367</v>
      </c>
      <c r="AI21" t="s">
        <v>61</v>
      </c>
      <c r="AJ21" s="32">
        <f>SUBTOTAL(109,Tabela817[META A])</f>
        <v>2906500</v>
      </c>
      <c r="AK21" s="32">
        <f>SUBTOTAL(109,Tabela817[META B])</f>
        <v>2470525</v>
      </c>
      <c r="AL21" s="32">
        <f>SUBTOTAL(109,Tabela817[META C])</f>
        <v>1729369</v>
      </c>
      <c r="AM21" s="32">
        <f>SUBTOTAL(109,Tabela817[META D])</f>
        <v>1307925</v>
      </c>
      <c r="AN21" s="32">
        <f>SUBTOTAL(109,Tabela817[ATINGIDO])</f>
        <v>2158475.5899999975</v>
      </c>
      <c r="AO21" s="4"/>
      <c r="AP21" s="4"/>
      <c r="AQ21" s="33">
        <f>SUBTOTAL(109,Tabela817[FALTA])</f>
        <v>325549.41000000259</v>
      </c>
    </row>
    <row r="22" spans="1:4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82638.189999999871</v>
      </c>
      <c r="E22" s="25">
        <f>Tabela13[[#This Row],[META A]]-Tabela13[[#This Row],[ATINGIDO]]</f>
        <v>39361.810000000129</v>
      </c>
      <c r="F22" s="4"/>
      <c r="G22" s="20" t="s">
        <v>14</v>
      </c>
      <c r="H22" s="20" t="s">
        <v>42</v>
      </c>
      <c r="I22" s="21">
        <f>_xlfn.XLOOKUP(Tabela5[[#This Row],[REFERENCIA]],[1]!Tabela1[VENDEDOR],[1]!Tabela1[VALOR])</f>
        <v>15310</v>
      </c>
      <c r="J22" s="21">
        <f>_xlfn.XLOOKUP(Tabela5[[#This Row],[REFERENCIA]],'[1]BASE PYTHON'!$H:$H,'[1]BASE PYTHON'!$I:$I,0)</f>
        <v>0</v>
      </c>
      <c r="K22" s="22">
        <f>Tabela5[[#This Row],[COMPROMISSO]]-Tabela5[[#This Row],[ATINGIDO]]</f>
        <v>15310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>
        <f>IFERROR(GETPIVOTDATA("[Measures].[Soma de TOTAL 3]",'[1]BASE PYTHON'!$P$32,"[Intervalo 2].[SEMANA]","[Intervalo 2].[SEMANA].&amp;[2]"),0)</f>
        <v>527175.98999999941</v>
      </c>
      <c r="Q22" s="7">
        <f>O22-P22</f>
        <v>157824.01000000059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0</v>
      </c>
      <c r="W22" s="18">
        <f t="shared" si="1"/>
        <v>40</v>
      </c>
    </row>
    <row r="23" spans="1:4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200000</v>
      </c>
      <c r="D23" s="28">
        <f>_xlfn.XLOOKUP(Tabela13[[#This Row],[REFERENCIA]],'[1]BASE PYTHON'!$E:$E,'[1]BASE PYTHON'!$F:$F,0)</f>
        <v>157515.84999999957</v>
      </c>
      <c r="E23" s="23">
        <f>Tabela13[[#This Row],[META A]]-Tabela13[[#This Row],[ATINGIDO]]</f>
        <v>42484.150000000431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5790</v>
      </c>
      <c r="J23" s="21">
        <f>_xlfn.XLOOKUP(Tabela5[[#This Row],[REFERENCIA]],'[1]BASE PYTHON'!$H:$H,'[1]BASE PYTHON'!$I:$I,0)</f>
        <v>0</v>
      </c>
      <c r="K23" s="22">
        <f>Tabela5[[#This Row],[COMPROMISSO]]-Tabela5[[#This Row],[ATINGIDO]]</f>
        <v>5790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>
        <f>IFERROR(GETPIVOTDATA("[Measures].[Soma de TOTAL 3]",'[1]BASE PYTHON'!$P$32,"[Intervalo 2].[SEMANA]","[Intervalo 2].[SEMANA].&amp;[3]"),0)</f>
        <v>548778.48000000021</v>
      </c>
      <c r="Q23" s="7">
        <f>O23-P23</f>
        <v>136221.51999999979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0</v>
      </c>
      <c r="W23" s="18">
        <f t="shared" si="1"/>
        <v>55</v>
      </c>
    </row>
    <row r="24" spans="1:4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102353.13000000005</v>
      </c>
      <c r="E24" s="25">
        <f>Tabela13[[#This Row],[META A]]-Tabela13[[#This Row],[ATINGIDO]]</f>
        <v>42646.869999999952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5060</v>
      </c>
      <c r="J24" s="21">
        <f>_xlfn.XLOOKUP(Tabela5[[#This Row],[REFERENCIA]],'[1]BASE PYTHON'!$H:$H,'[1]BASE PYTHON'!$I:$I,0)</f>
        <v>0</v>
      </c>
      <c r="K24" s="22">
        <f>Tabela5[[#This Row],[COMPROMISSO]]-Tabela5[[#This Row],[ATINGIDO]]</f>
        <v>5060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>
        <f>IFERROR(GETPIVOTDATA("[Measures].[Soma de TOTAL 3]",'[1]BASE PYTHON'!$P$32,"[Intervalo 2].[SEMANA]","[Intervalo 2].[SEMANA].&amp;[4]"),0)</f>
        <v>117176.82000000007</v>
      </c>
      <c r="Q24" s="7">
        <f>O24-P24</f>
        <v>567823.17999999993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0</v>
      </c>
      <c r="W24" s="18">
        <f t="shared" si="1"/>
        <v>37</v>
      </c>
    </row>
    <row r="25" spans="1:4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94044.729999999749</v>
      </c>
      <c r="E25" s="23">
        <f>Tabela13[[#This Row],[META A]]-Tabela13[[#This Row],[ATINGIDO]]</f>
        <v>52955.270000000251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6350</v>
      </c>
      <c r="J25" s="21">
        <f>_xlfn.XLOOKUP(Tabela5[[#This Row],[REFERENCIA]],'[1]BASE PYTHON'!$H:$H,'[1]BASE PYTHON'!$I:$I,0)</f>
        <v>0</v>
      </c>
      <c r="K25" s="22">
        <f>Tabela5[[#This Row],[COMPROMISSO]]-Tabela5[[#This Row],[ATINGIDO]]</f>
        <v>6350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137000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0</v>
      </c>
      <c r="W25" s="18">
        <f t="shared" si="1"/>
        <v>53</v>
      </c>
    </row>
    <row r="26" spans="1:4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90000</v>
      </c>
      <c r="D26" s="28">
        <f>_xlfn.XLOOKUP(Tabela13[[#This Row],[REFERENCIA]],'[1]BASE PYTHON'!$E:$E,'[1]BASE PYTHON'!$F:$F,0)</f>
        <v>32503.550000000014</v>
      </c>
      <c r="E26" s="25">
        <f>Tabela13[[#This Row],[META A]]-Tabela13[[#This Row],[ATINGIDO]]</f>
        <v>57496.449999999983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5280</v>
      </c>
      <c r="J26" s="21">
        <f>_xlfn.XLOOKUP(Tabela5[[#This Row],[REFERENCIA]],'[1]BASE PYTHON'!$H:$H,'[1]BASE PYTHON'!$I:$I,0)</f>
        <v>0</v>
      </c>
      <c r="K26" s="22">
        <f>Tabela5[[#This Row],[COMPROMISSO]]-Tabela5[[#This Row],[ATINGIDO]]</f>
        <v>5280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0</v>
      </c>
      <c r="W26" s="18">
        <f t="shared" si="1"/>
        <v>38</v>
      </c>
    </row>
    <row r="27" spans="1:4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242000</v>
      </c>
      <c r="D27" s="28">
        <f>_xlfn.XLOOKUP(Tabela13[[#This Row],[REFERENCIA]],'[1]BASE PYTHON'!$E:$E,'[1]BASE PYTHON'!$F:$F,0)</f>
        <v>179860.41999999961</v>
      </c>
      <c r="E27" s="23">
        <f>Tabela13[[#This Row],[META A]]-Tabela13[[#This Row],[ATINGIDO]]</f>
        <v>62139.580000000395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6550</v>
      </c>
      <c r="J27" s="21">
        <f>_xlfn.XLOOKUP(Tabela5[[#This Row],[REFERENCIA]],'[1]BASE PYTHON'!$H:$H,'[1]BASE PYTHON'!$I:$I,0)</f>
        <v>0</v>
      </c>
      <c r="K27" s="22">
        <f>Tabela5[[#This Row],[COMPROMISSO]]-Tabela5[[#This Row],[ATINGIDO]]</f>
        <v>6550</v>
      </c>
      <c r="L27" s="4"/>
      <c r="M27" s="4"/>
      <c r="N27" s="4"/>
      <c r="O27" s="4"/>
      <c r="P27" s="4"/>
      <c r="Q27" s="4"/>
      <c r="R27" s="4"/>
    </row>
    <row r="28" spans="1:4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323500</v>
      </c>
      <c r="D28" s="28">
        <f>_xlfn.XLOOKUP(Tabela13[[#This Row],[REFERENCIA]],'[1]BASE PYTHON'!$E:$E,'[1]BASE PYTHON'!$F:$F,0)</f>
        <v>251826.3399999995</v>
      </c>
      <c r="E28" s="25">
        <f>Tabela13[[#This Row],[META A]]-Tabela13[[#This Row],[ATINGIDO]]</f>
        <v>71673.660000000498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4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4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139500</v>
      </c>
      <c r="D30" s="28">
        <f>_xlfn.XLOOKUP(Tabela13[[#This Row],[REFERENCIA]],'[1]BASE PYTHON'!$E:$E,'[1]BASE PYTHON'!$F:$F,0)</f>
        <v>96528.829999999856</v>
      </c>
      <c r="E30" s="25">
        <f>Tabela13[[#This Row],[META A]]-Tabela13[[#This Row],[ATINGIDO]]</f>
        <v>42971.170000000144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COD_CLIENTE]",'[1]BASE PYTHON'!$P$85,"[Intervalo 2].[SEMANA]","[Intervalo 2].[SEMANA].&amp;[1]"),0)</f>
        <v>249</v>
      </c>
      <c r="W30" s="6">
        <f>U30-V30</f>
        <v>-62.571428571428584</v>
      </c>
    </row>
    <row r="31" spans="1:4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167000</v>
      </c>
      <c r="D31" s="28">
        <f>_xlfn.XLOOKUP(Tabela13[[#This Row],[REFERENCIA]],'[1]BASE PYTHON'!$E:$E,'[1]BASE PYTHON'!$F:$F,0)</f>
        <v>136484.83999999985</v>
      </c>
      <c r="E31" s="23">
        <f>Tabela13[[#This Row],[META A]]-Tabela13[[#This Row],[ATINGIDO]]</f>
        <v>30515.160000000149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575469.77000000421</v>
      </c>
      <c r="K31" s="7">
        <f>I31-J31</f>
        <v>116554.03952380526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6">
        <f>IFERROR(GETPIVOTDATA("[Measures].[Contagem Distinta de COD_CLIENTE]",'[1]BASE PYTHON'!$P$85,"[Intervalo 2].[SEMANA]","[Intervalo 2].[SEMANA].&amp;[2]"),0)</f>
        <v>284</v>
      </c>
      <c r="W31" s="6">
        <f t="shared" ref="W31:W33" si="2">U31-V31</f>
        <v>-97.571428571428584</v>
      </c>
    </row>
    <row r="32" spans="1:4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198305.76999999955</v>
      </c>
      <c r="E32" s="25">
        <f>Tabela13[[#This Row],[META A]]-Tabela13[[#This Row],[ATINGIDO]]</f>
        <v>66694.230000000447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629259.12000000221</v>
      </c>
      <c r="K32" s="7">
        <f t="shared" ref="K32:K34" si="3">I32-J32</f>
        <v>62764.689523807261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6">
        <f>IFERROR(GETPIVOTDATA("[Measures].[Contagem Distinta de COD_CLIENTE]",'[1]BASE PYTHON'!$P$85,"[Intervalo 2].[SEMANA]","[Intervalo 2].[SEMANA].&amp;[3]"),0)</f>
        <v>263</v>
      </c>
      <c r="W32" s="6">
        <f t="shared" si="2"/>
        <v>-76.571428571428584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100000</v>
      </c>
      <c r="D33" s="28">
        <f>_xlfn.XLOOKUP(Tabela13[[#This Row],[REFERENCIA]],'[1]BASE PYTHON'!$E:$E,'[1]BASE PYTHON'!$F:$F,0)</f>
        <v>59845.330000000082</v>
      </c>
      <c r="E33" s="23">
        <f>Tabela13[[#This Row],[META A]]-Tabela13[[#This Row],[ATINGIDO]]</f>
        <v>40154.669999999918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580789.35000000393</v>
      </c>
      <c r="K33" s="7">
        <f t="shared" si="3"/>
        <v>111234.45952380553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6">
        <f>IFERROR(GETPIVOTDATA("[Measures].[Contagem Distinta de COD_CLIENTE]",'[1]BASE PYTHON'!$P$85,"[Intervalo 2].[SEMANA]","[Intervalo 2].[SEMANA].&amp;[4]"),0)</f>
        <v>86</v>
      </c>
      <c r="W33" s="6">
        <f t="shared" si="2"/>
        <v>100.42857142857142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39571.260000000053</v>
      </c>
      <c r="E34" s="25">
        <f>Tabela13[[#This Row],[META A]]-Tabela13[[#This Row],[ATINGIDO]]</f>
        <v>15428.739999999947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215441.50000000003</v>
      </c>
      <c r="K34" s="7">
        <f t="shared" si="3"/>
        <v>476582.30952380947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37.285714285714285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75000</v>
      </c>
      <c r="D35" s="28">
        <f>_xlfn.XLOOKUP(Tabela13[[#This Row],[REFERENCIA]],'[1]BASE PYTHON'!$E:$E,'[1]BASE PYTHON'!$F:$F,0)</f>
        <v>57220.620000000017</v>
      </c>
      <c r="E35" s="23">
        <f>Tabela13[[#This Row],[META A]]-Tabela13[[#This Row],[ATINGIDO]]</f>
        <v>17779.379999999983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891.3</v>
      </c>
      <c r="E36" s="23">
        <f>Tabela13[[#This Row],[META A]]-Tabela13[[#This Row],[ATINGIDO]]</f>
        <v>108.70000000000005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1203635.6099999992</v>
      </c>
      <c r="E40" s="7">
        <f>C40-D40</f>
        <v>173626.29476190568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1209695.419999996</v>
      </c>
      <c r="E41" s="7">
        <f t="shared" ref="E41:E43" si="4">C41-D41</f>
        <v>167566.48476190888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1175126.2499999986</v>
      </c>
      <c r="E42" s="7">
        <f t="shared" si="4"/>
        <v>202135.65476190625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354038.25999999983</v>
      </c>
      <c r="E43" s="7">
        <f t="shared" si="4"/>
        <v>1023223.6447619051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  <c r="C48"/>
      <c r="D48"/>
    </row>
    <row r="49" spans="1:4" x14ac:dyDescent="0.25">
      <c r="A49" s="27"/>
      <c r="C49"/>
      <c r="D49"/>
    </row>
    <row r="50" spans="1:4" x14ac:dyDescent="0.25">
      <c r="C50"/>
      <c r="D50"/>
    </row>
    <row r="51" spans="1:4" x14ac:dyDescent="0.25">
      <c r="A51" s="27"/>
      <c r="C51"/>
      <c r="D51"/>
    </row>
    <row r="52" spans="1:4" x14ac:dyDescent="0.25">
      <c r="A52" s="27"/>
      <c r="C52"/>
      <c r="D52"/>
    </row>
    <row r="53" spans="1:4" x14ac:dyDescent="0.25">
      <c r="A53" s="27"/>
      <c r="C53"/>
      <c r="D53"/>
    </row>
    <row r="54" spans="1:4" x14ac:dyDescent="0.25">
      <c r="A54" s="27"/>
      <c r="C54"/>
      <c r="D54"/>
    </row>
    <row r="55" spans="1:4" x14ac:dyDescent="0.25">
      <c r="A55" s="27"/>
      <c r="C55"/>
      <c r="D55"/>
    </row>
    <row r="56" spans="1:4" x14ac:dyDescent="0.25">
      <c r="A56" s="27"/>
      <c r="C56"/>
      <c r="D56"/>
    </row>
    <row r="57" spans="1:4" x14ac:dyDescent="0.25">
      <c r="A57" s="27"/>
      <c r="C57"/>
      <c r="D57"/>
    </row>
    <row r="58" spans="1:4" x14ac:dyDescent="0.25">
      <c r="A58" s="27"/>
      <c r="C58"/>
      <c r="D58"/>
    </row>
    <row r="59" spans="1:4" x14ac:dyDescent="0.25">
      <c r="A59" s="27"/>
      <c r="C59"/>
      <c r="D59"/>
    </row>
    <row r="60" spans="1:4" x14ac:dyDescent="0.25">
      <c r="A60" s="27"/>
      <c r="C60"/>
      <c r="D60"/>
    </row>
    <row r="61" spans="1:4" x14ac:dyDescent="0.25">
      <c r="A61" s="27"/>
      <c r="C61"/>
      <c r="D61"/>
    </row>
    <row r="62" spans="1:4" x14ac:dyDescent="0.25">
      <c r="A62" s="27"/>
      <c r="C62"/>
      <c r="D62"/>
    </row>
    <row r="63" spans="1:4" x14ac:dyDescent="0.25">
      <c r="A63" s="27"/>
      <c r="C63"/>
      <c r="D63"/>
    </row>
    <row r="64" spans="1:4" x14ac:dyDescent="0.25">
      <c r="A64" s="27"/>
      <c r="C64"/>
      <c r="D64"/>
    </row>
    <row r="65" spans="1:4" x14ac:dyDescent="0.25">
      <c r="A65" s="27"/>
      <c r="C65"/>
      <c r="D65"/>
    </row>
    <row r="66" spans="1:4" x14ac:dyDescent="0.25">
      <c r="C66"/>
      <c r="D66"/>
    </row>
    <row r="67" spans="1:4" x14ac:dyDescent="0.25">
      <c r="C67"/>
      <c r="D67"/>
    </row>
    <row r="68" spans="1:4" x14ac:dyDescent="0.25">
      <c r="C68"/>
      <c r="D68"/>
    </row>
    <row r="69" spans="1:4" x14ac:dyDescent="0.25">
      <c r="C69"/>
      <c r="D69"/>
    </row>
    <row r="70" spans="1:4" x14ac:dyDescent="0.25">
      <c r="C70"/>
      <c r="D70"/>
    </row>
    <row r="71" spans="1:4" x14ac:dyDescent="0.25">
      <c r="C71"/>
      <c r="D71"/>
    </row>
    <row r="72" spans="1:4" x14ac:dyDescent="0.25">
      <c r="C72"/>
      <c r="D72"/>
    </row>
    <row r="73" spans="1:4" x14ac:dyDescent="0.25">
      <c r="C73"/>
      <c r="D73"/>
    </row>
    <row r="74" spans="1:4" x14ac:dyDescent="0.25">
      <c r="C74"/>
      <c r="D74"/>
    </row>
    <row r="75" spans="1:4" x14ac:dyDescent="0.25">
      <c r="C75"/>
      <c r="D75"/>
    </row>
    <row r="76" spans="1:4" x14ac:dyDescent="0.25">
      <c r="C76"/>
      <c r="D76"/>
    </row>
    <row r="77" spans="1:4" x14ac:dyDescent="0.25">
      <c r="C77"/>
      <c r="D77"/>
    </row>
    <row r="78" spans="1:4" x14ac:dyDescent="0.25">
      <c r="C78"/>
      <c r="D78"/>
    </row>
    <row r="79" spans="1:4" x14ac:dyDescent="0.25">
      <c r="C79"/>
      <c r="D79"/>
    </row>
    <row r="80" spans="1:4" x14ac:dyDescent="0.25">
      <c r="C80"/>
      <c r="D80"/>
    </row>
    <row r="81" spans="3:4" x14ac:dyDescent="0.25">
      <c r="C81"/>
      <c r="D81"/>
    </row>
    <row r="82" spans="3:4" x14ac:dyDescent="0.25">
      <c r="C82"/>
      <c r="D82"/>
    </row>
    <row r="83" spans="3:4" x14ac:dyDescent="0.25">
      <c r="C83"/>
      <c r="D83"/>
    </row>
    <row r="84" spans="3:4" x14ac:dyDescent="0.25">
      <c r="C84"/>
      <c r="D84"/>
    </row>
    <row r="85" spans="3:4" x14ac:dyDescent="0.25">
      <c r="C85"/>
      <c r="D85"/>
    </row>
    <row r="86" spans="3:4" x14ac:dyDescent="0.25">
      <c r="C86"/>
      <c r="D86"/>
    </row>
    <row r="87" spans="3:4" x14ac:dyDescent="0.25">
      <c r="C87"/>
      <c r="D87"/>
    </row>
    <row r="88" spans="3:4" x14ac:dyDescent="0.25">
      <c r="C88"/>
      <c r="D88"/>
    </row>
    <row r="89" spans="3:4" x14ac:dyDescent="0.25">
      <c r="C89"/>
      <c r="D89"/>
    </row>
    <row r="90" spans="3:4" x14ac:dyDescent="0.25">
      <c r="C90"/>
      <c r="D90"/>
    </row>
  </sheetData>
  <phoneticPr fontId="2" type="noConversion"/>
  <conditionalFormatting sqref="A1:A49 A5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2026-08-25T11:21:33Z</dcterms:modified>
</cp:coreProperties>
</file>