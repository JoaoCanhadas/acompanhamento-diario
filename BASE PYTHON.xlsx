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882B39AB-953C-40EC-8D3E-0D393FFA4A5A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P23" i="2"/>
  <c r="D39" i="2"/>
  <c r="J34" i="2"/>
  <c r="D41" i="2"/>
  <c r="P22" i="2"/>
  <c r="D42" i="2"/>
  <c r="J32" i="2"/>
  <c r="V32" i="2"/>
  <c r="J31" i="2"/>
  <c r="P20" i="2"/>
  <c r="V33" i="2"/>
  <c r="J33" i="2"/>
  <c r="V31" i="2"/>
  <c r="P21" i="2"/>
  <c r="V30" i="2"/>
  <c r="D40" i="2"/>
  <c r="E39" i="2" l="1"/>
  <c r="C5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<sst xmlns="http://schemas.openxmlformats.org/spreadsheetml/2006/main" count="215" uniqueCount="54">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</sst>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26/05/2026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47906.06</v>
          </cell>
          <cell r="H5" t="str">
            <v>CAMPINAS</v>
          </cell>
          <cell r="I5">
            <v>3832.95</v>
          </cell>
        </row>
        <row r="6">
          <cell r="E6" t="str">
            <v>CENTRO</v>
          </cell>
          <cell r="F6">
            <v>254606.01999999949</v>
          </cell>
          <cell r="H6" t="str">
            <v>CENTRO</v>
          </cell>
          <cell r="I6">
            <v>3755.05</v>
          </cell>
          <cell r="K6" t="str">
            <v>Contagem Distinta de COD_CLIENTE</v>
          </cell>
        </row>
        <row r="7">
          <cell r="E7" t="str">
            <v>ECOMMERCE</v>
          </cell>
          <cell r="F7">
            <v>939.83999999999992</v>
          </cell>
          <cell r="H7" t="str">
            <v>INDAIATUBA</v>
          </cell>
          <cell r="I7">
            <v>1301.71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INTERLAGOS</v>
          </cell>
          <cell r="I8">
            <v>1822.5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76120.789999999964</v>
          </cell>
          <cell r="H9" t="str">
            <v>JUNDIAI</v>
          </cell>
          <cell r="I9">
            <v>2121.1000000000004</v>
          </cell>
          <cell r="K9" t="str">
            <v>CENTRO</v>
          </cell>
          <cell r="N9">
            <v>54</v>
          </cell>
        </row>
        <row r="10">
          <cell r="E10" t="str">
            <v>INTERLAGOS</v>
          </cell>
          <cell r="F10">
            <v>186468.74999999985</v>
          </cell>
          <cell r="H10" t="str">
            <v>LESTE</v>
          </cell>
          <cell r="I10">
            <v>1067.7</v>
          </cell>
          <cell r="K10" t="str">
            <v>INDAIATUBA</v>
          </cell>
          <cell r="N10">
            <v>34</v>
          </cell>
        </row>
        <row r="11">
          <cell r="E11" t="str">
            <v>JUNDIAI</v>
          </cell>
          <cell r="F11">
            <v>66791.879999999976</v>
          </cell>
          <cell r="H11" t="str">
            <v>LESTE MOOCA</v>
          </cell>
          <cell r="I11">
            <v>4383.5499999999993</v>
          </cell>
          <cell r="K11" t="str">
            <v>INTERLAGOS</v>
          </cell>
          <cell r="N11">
            <v>38</v>
          </cell>
        </row>
        <row r="12">
          <cell r="E12" t="str">
            <v>KEY ABC</v>
          </cell>
          <cell r="F12">
            <v>246499.13999999998</v>
          </cell>
          <cell r="H12" t="str">
            <v>LESTE PENHA</v>
          </cell>
          <cell r="I12">
            <v>3250.82</v>
          </cell>
          <cell r="K12" t="str">
            <v>JUNDIAI</v>
          </cell>
          <cell r="N12">
            <v>18</v>
          </cell>
        </row>
        <row r="13">
          <cell r="E13" t="str">
            <v>KEY CASA</v>
          </cell>
          <cell r="F13">
            <v>160151.88999999984</v>
          </cell>
          <cell r="H13" t="str">
            <v>LESTE TATUAPE</v>
          </cell>
          <cell r="I13">
            <v>2152.0500000000002</v>
          </cell>
          <cell r="K13" t="str">
            <v>LESTE</v>
          </cell>
          <cell r="N13">
            <v>19</v>
          </cell>
        </row>
        <row r="14">
          <cell r="E14" t="str">
            <v>KEY INTERIOR</v>
          </cell>
          <cell r="F14">
            <v>754319.69999999972</v>
          </cell>
          <cell r="H14" t="str">
            <v>MOGI</v>
          </cell>
          <cell r="I14">
            <v>314.3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66182.300000000047</v>
          </cell>
          <cell r="H15" t="str">
            <v>NORTE</v>
          </cell>
          <cell r="I15">
            <v>4021.75</v>
          </cell>
          <cell r="K15" t="str">
            <v>LESTE PENHA</v>
          </cell>
          <cell r="N15">
            <v>13</v>
          </cell>
        </row>
        <row r="16">
          <cell r="E16" t="str">
            <v>KEY SP</v>
          </cell>
          <cell r="F16">
            <v>401603.64999999979</v>
          </cell>
          <cell r="H16" t="str">
            <v>OSASCO</v>
          </cell>
          <cell r="I16">
            <v>7180.85</v>
          </cell>
          <cell r="K16" t="str">
            <v>LESTE TATUAPE</v>
          </cell>
          <cell r="N16">
            <v>45</v>
          </cell>
        </row>
        <row r="17">
          <cell r="E17" t="str">
            <v>KEY ZL</v>
          </cell>
          <cell r="F17">
            <v>290386.04999999981</v>
          </cell>
          <cell r="H17" t="str">
            <v>PERDIZES</v>
          </cell>
          <cell r="I17">
            <v>4347.3999999999996</v>
          </cell>
          <cell r="K17" t="str">
            <v>MOGI</v>
          </cell>
          <cell r="N17">
            <v>27</v>
          </cell>
        </row>
        <row r="18">
          <cell r="E18" t="str">
            <v>LESTE</v>
          </cell>
          <cell r="F18">
            <v>88118.979999999967</v>
          </cell>
          <cell r="H18" t="str">
            <v>PIRITUBA</v>
          </cell>
          <cell r="I18">
            <v>3090.7700000000004</v>
          </cell>
          <cell r="K18" t="str">
            <v>NORTE</v>
          </cell>
          <cell r="N18">
            <v>36</v>
          </cell>
        </row>
        <row r="19">
          <cell r="E19" t="str">
            <v>LESTE MOOCA</v>
          </cell>
          <cell r="F19">
            <v>125450.00999999966</v>
          </cell>
          <cell r="H19" t="str">
            <v>SANTO ANDRE</v>
          </cell>
          <cell r="I19">
            <v>316.10000000000002</v>
          </cell>
          <cell r="K19" t="str">
            <v>OSASCO</v>
          </cell>
          <cell r="N19">
            <v>70</v>
          </cell>
        </row>
        <row r="20">
          <cell r="E20" t="str">
            <v>LESTE PENHA</v>
          </cell>
          <cell r="F20">
            <v>97630.339999999982</v>
          </cell>
          <cell r="H20" t="str">
            <v>SBC</v>
          </cell>
          <cell r="I20">
            <v>10774.330000000002</v>
          </cell>
          <cell r="K20" t="str">
            <v>PERDIZES</v>
          </cell>
          <cell r="N20">
            <v>19</v>
          </cell>
        </row>
        <row r="21">
          <cell r="E21" t="str">
            <v>LESTE TATUAPE</v>
          </cell>
          <cell r="F21">
            <v>113834.24999999939</v>
          </cell>
          <cell r="H21" t="str">
            <v>SJC</v>
          </cell>
          <cell r="I21">
            <v>1083.3600000000001</v>
          </cell>
          <cell r="K21" t="str">
            <v>PIRITUBA</v>
          </cell>
          <cell r="N21">
            <v>33</v>
          </cell>
        </row>
        <row r="22">
          <cell r="E22" t="str">
            <v>MOGI</v>
          </cell>
          <cell r="F22">
            <v>62711.220000000132</v>
          </cell>
          <cell r="H22" t="str">
            <v>SJC/VALE</v>
          </cell>
          <cell r="I22">
            <v>813.49</v>
          </cell>
          <cell r="K22" t="str">
            <v>SANTO ANDRE</v>
          </cell>
          <cell r="N22">
            <v>28</v>
          </cell>
        </row>
        <row r="23">
          <cell r="E23" t="str">
            <v>NORTE</v>
          </cell>
          <cell r="F23">
            <v>187922.62999999954</v>
          </cell>
          <cell r="H23" t="str">
            <v>VENDEDOR INTERNO 1</v>
          </cell>
          <cell r="I23">
            <v>2678.31</v>
          </cell>
          <cell r="K23" t="str">
            <v>SBC</v>
          </cell>
          <cell r="N23">
            <v>40</v>
          </cell>
        </row>
        <row r="24">
          <cell r="E24" t="str">
            <v>OSASCO</v>
          </cell>
          <cell r="F24">
            <v>257945.55499999953</v>
          </cell>
          <cell r="H24" t="str">
            <v>Total Geral</v>
          </cell>
          <cell r="I24">
            <v>58308.090000000011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81513.11000000003</v>
          </cell>
          <cell r="K25" t="str">
            <v>SJC/VALE</v>
          </cell>
          <cell r="N25">
            <v>18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569</v>
          </cell>
        </row>
        <row r="27">
          <cell r="E27" t="str">
            <v>PIRITUBA</v>
          </cell>
          <cell r="F27">
            <v>111488.68999999987</v>
          </cell>
        </row>
        <row r="28">
          <cell r="E28" t="str">
            <v>SANTO ANDRE</v>
          </cell>
          <cell r="F28">
            <v>131840.09</v>
          </cell>
        </row>
        <row r="29">
          <cell r="E29" t="str">
            <v>SBC</v>
          </cell>
          <cell r="F29">
            <v>220253.17999999985</v>
          </cell>
        </row>
        <row r="30">
          <cell r="E30" t="str">
            <v>SJC</v>
          </cell>
          <cell r="F30">
            <v>63538.499999999993</v>
          </cell>
        </row>
        <row r="31">
          <cell r="E31" t="str">
            <v>SJC/VALE</v>
          </cell>
          <cell r="F31">
            <v>37707.970000000016</v>
          </cell>
        </row>
        <row r="32">
          <cell r="E32" t="str">
            <v>VENDEDOR INTERNO 1</v>
          </cell>
          <cell r="F32">
            <v>62352.049999999996</v>
          </cell>
          <cell r="P32" t="str">
            <v>Soma de TOTAL</v>
          </cell>
        </row>
        <row r="33">
          <cell r="E33" t="str">
            <v>Total Geral</v>
          </cell>
          <cell r="F33">
            <v>4297801.4049999509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O29" sqref="O29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4297189.5049999952</v>
      </c>
      <c r="D5" s="2"/>
      <c r="E5" s="4"/>
      <c r="F5" s="4"/>
      <c r="G5" s="4"/>
      <c r="H5" s="4" t="s">
        <v>1</v>
      </c>
      <c r="I5" s="7">
        <f>SUM(J10:J28)</f>
        <v>58308.089999999989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569</v>
      </c>
      <c r="V5" s="4"/>
      <c r="W5" s="4"/>
    </row>
    <row r="6" spans="1:23" x14ac:dyDescent="0.25">
      <c r="A6" s="4"/>
      <c r="B6" s="4" t="s">
        <v>2</v>
      </c>
      <c r="C6" s="2">
        <f>C4-C5</f>
        <v>884310.49500000477</v>
      </c>
      <c r="D6" s="2"/>
      <c r="E6" s="4"/>
      <c r="F6" s="4"/>
      <c r="G6" s="4"/>
      <c r="H6" s="4" t="s">
        <v>2</v>
      </c>
      <c r="I6" s="7">
        <f>I4-I5</f>
        <v>141721.91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231</v>
      </c>
      <c r="V6" s="4"/>
      <c r="W6" s="4"/>
    </row>
    <row r="7" spans="1:23" x14ac:dyDescent="0.25">
      <c r="A7" s="4"/>
      <c r="B7" s="4" t="s">
        <v>3</v>
      </c>
      <c r="C7" s="3">
        <f>C5/C4</f>
        <v>0.82933310913827951</v>
      </c>
      <c r="D7" s="2"/>
      <c r="E7" s="4"/>
      <c r="F7" s="4"/>
      <c r="G7" s="4"/>
      <c r="H7" s="4" t="s">
        <v>3</v>
      </c>
      <c r="I7" s="3">
        <f>I5/I4</f>
        <v>0.29149672549117628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0.71125000000000005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47906.06</v>
      </c>
      <c r="E10" s="7">
        <f>C10-D10</f>
        <v>16593.940000000002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7180.85</v>
      </c>
      <c r="K10" s="7">
        <f>I10-J10</f>
        <v>13819.15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254606.01999999949</v>
      </c>
      <c r="E11" s="7">
        <f t="shared" ref="E11:E36" si="0">C11-D11</f>
        <v>60393.980000000505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4021.75</v>
      </c>
      <c r="K11" s="7">
        <f t="shared" ref="K11:K28" si="1">I11-J11</f>
        <v>9978.25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54</v>
      </c>
      <c r="W11" s="4">
        <f t="shared" ref="W11:W27" si="3">U11-V11</f>
        <v>18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939.83999999999992</v>
      </c>
      <c r="E12" s="7">
        <f t="shared" si="0"/>
        <v>60.160000000000082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3090.7700000000004</v>
      </c>
      <c r="K12" s="7">
        <f t="shared" si="1"/>
        <v>11129.23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34</v>
      </c>
      <c r="W12" s="4">
        <f t="shared" si="3"/>
        <v>6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76120.789999999964</v>
      </c>
      <c r="E13" s="7">
        <f t="shared" si="0"/>
        <v>3879.2100000000355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10774.330000000002</v>
      </c>
      <c r="K13" s="7">
        <f t="shared" si="1"/>
        <v>8225.6699999999983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38</v>
      </c>
      <c r="W13" s="4">
        <f t="shared" si="3"/>
        <v>20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186468.74999999985</v>
      </c>
      <c r="E14" s="7">
        <f t="shared" si="0"/>
        <v>28531.250000000146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2152.0500000000002</v>
      </c>
      <c r="K14" s="7">
        <f t="shared" si="1"/>
        <v>6097.95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18</v>
      </c>
      <c r="W14" s="4">
        <f>U14-V14</f>
        <v>11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66791.879999999976</v>
      </c>
      <c r="E15" s="7">
        <f t="shared" si="0"/>
        <v>1208.1200000000244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3755.05</v>
      </c>
      <c r="K15" s="7">
        <f t="shared" si="1"/>
        <v>21574.95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19</v>
      </c>
      <c r="W15" s="4">
        <f t="shared" si="3"/>
        <v>20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246499.13999999998</v>
      </c>
      <c r="E16" s="7">
        <f t="shared" si="0"/>
        <v>13500.860000000015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316.10000000000002</v>
      </c>
      <c r="K16" s="7">
        <f t="shared" si="1"/>
        <v>9633.9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27</v>
      </c>
      <c r="W16" s="4">
        <f t="shared" si="3"/>
        <v>17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160151.88999999984</v>
      </c>
      <c r="E17" s="7">
        <f t="shared" si="0"/>
        <v>-35151.889999999839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314.3</v>
      </c>
      <c r="K17" s="7">
        <f t="shared" si="1"/>
        <v>2875.7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754319.69999999972</v>
      </c>
      <c r="E18" s="7">
        <f t="shared" si="0"/>
        <v>45680.300000000279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1067.7</v>
      </c>
      <c r="K18" s="7">
        <f t="shared" si="1"/>
        <v>4642.3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36</v>
      </c>
      <c r="W18" s="4">
        <f t="shared" si="3"/>
        <v>13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66182.300000000047</v>
      </c>
      <c r="E19" s="7">
        <f t="shared" si="0"/>
        <v>48817.699999999953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4383.5499999999993</v>
      </c>
      <c r="K19" s="7">
        <f t="shared" si="1"/>
        <v>9616.4500000000007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70</v>
      </c>
      <c r="W19" s="4">
        <f t="shared" si="3"/>
        <v>3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401603.64999999979</v>
      </c>
      <c r="E20" s="7">
        <f t="shared" si="0"/>
        <v>98396.35000000021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1822.5</v>
      </c>
      <c r="K20" s="7">
        <f t="shared" si="1"/>
        <v>13187.5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-520661.21999999991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13</v>
      </c>
      <c r="W20" s="4">
        <f t="shared" si="3"/>
        <v>26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290386.04999999981</v>
      </c>
      <c r="E21" s="7">
        <f t="shared" si="0"/>
        <v>137113.95000000019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4347.3999999999996</v>
      </c>
      <c r="K21" s="7">
        <f t="shared" si="1"/>
        <v>5562.6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784238.57999999914</v>
      </c>
      <c r="Q21" s="7">
        <f>O21-P21</f>
        <v>-784238.57999999914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19</v>
      </c>
      <c r="W21" s="4">
        <f t="shared" si="3"/>
        <v>13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88118.979999999967</v>
      </c>
      <c r="E22" s="7">
        <f t="shared" si="0"/>
        <v>31381.020000000033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2121.1000000000004</v>
      </c>
      <c r="K22" s="7">
        <f t="shared" si="1"/>
        <v>548.89999999999964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33</v>
      </c>
      <c r="W22" s="4">
        <f t="shared" si="3"/>
        <v>14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125450.00999999966</v>
      </c>
      <c r="E23" s="7">
        <f t="shared" si="0"/>
        <v>31549.99000000034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3250.82</v>
      </c>
      <c r="K23" s="7">
        <f t="shared" si="1"/>
        <v>9649.18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136989.66000000003</v>
      </c>
      <c r="Q23" s="7">
        <f>O23-P23</f>
        <v>-136989.66000000003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28</v>
      </c>
      <c r="W23" s="4">
        <f t="shared" si="3"/>
        <v>18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97630.339999999982</v>
      </c>
      <c r="E24" s="7">
        <f t="shared" si="0"/>
        <v>22369.660000000018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1301.71</v>
      </c>
      <c r="K24" s="7">
        <f t="shared" si="1"/>
        <v>4158.29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40</v>
      </c>
      <c r="W24" s="4">
        <f t="shared" si="3"/>
        <v>13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113834.24999999939</v>
      </c>
      <c r="E25" s="7">
        <f t="shared" si="0"/>
        <v>21165.750000000611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2678.31</v>
      </c>
      <c r="K25" s="7">
        <f t="shared" si="1"/>
        <v>2131.69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62711.220000000132</v>
      </c>
      <c r="E26" s="7">
        <f t="shared" si="0"/>
        <v>27288.779999999868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1083.3600000000001</v>
      </c>
      <c r="K26" s="7">
        <f t="shared" si="1"/>
        <v>5726.6399999999994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45</v>
      </c>
      <c r="W26" s="4">
        <f t="shared" si="3"/>
        <v>-6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187922.62999999954</v>
      </c>
      <c r="E27" s="7">
        <f t="shared" si="0"/>
        <v>47077.370000000461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813.49</v>
      </c>
      <c r="K27" s="7">
        <f t="shared" si="1"/>
        <v>2276.5100000000002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18</v>
      </c>
      <c r="W27" s="4">
        <f t="shared" si="3"/>
        <v>15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257945.55499999953</v>
      </c>
      <c r="E28" s="7">
        <f t="shared" si="0"/>
        <v>44054.445000000473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3832.95</v>
      </c>
      <c r="K28" s="7">
        <f t="shared" si="1"/>
        <v>887.05000000000018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81513.11000000003</v>
      </c>
      <c r="E29" s="7">
        <f t="shared" si="0"/>
        <v>31486.88999999997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111488.68999999987</v>
      </c>
      <c r="E31" s="7">
        <f t="shared" si="0"/>
        <v>14511.310000000129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131840.09</v>
      </c>
      <c r="E32" s="7">
        <f t="shared" si="0"/>
        <v>35159.910000000003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668938.42000000051</v>
      </c>
      <c r="K32" s="7">
        <f t="shared" ref="K32:K34" si="4">I32-J32</f>
        <v>31061.579999999492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220253.17999999985</v>
      </c>
      <c r="E33" s="7">
        <f t="shared" si="0"/>
        <v>34746.820000000153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684987.49500000116</v>
      </c>
      <c r="K33" s="7">
        <f t="shared" si="4"/>
        <v>15012.504999998841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92</v>
      </c>
      <c r="W33" s="6">
        <f t="shared" ref="W33" si="5">U33-V33</f>
        <v>108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63538.499999999993</v>
      </c>
      <c r="E34" s="7">
        <f t="shared" si="0"/>
        <v>36461.500000000007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274904.98500000028</v>
      </c>
      <c r="K34" s="7">
        <f t="shared" si="4"/>
        <v>425095.01499999972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37707.970000000016</v>
      </c>
      <c r="E35" s="7">
        <f t="shared" si="0"/>
        <v>17292.029999999984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62352.049999999996</v>
      </c>
      <c r="E36" s="7">
        <f t="shared" si="0"/>
        <v>3647.9500000000044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1184379.5950000004</v>
      </c>
      <c r="E39" s="7">
        <f>C39-D39</f>
        <v>95620.404999999562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1525614.1199999913</v>
      </c>
      <c r="E40" s="7">
        <f t="shared" ref="E40:E42" si="6">C40-D40</f>
        <v>-245614.11999999126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1174744.2449999934</v>
      </c>
      <c r="E41" s="7">
        <f t="shared" si="6"/>
        <v>105255.75500000664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413063.44500000047</v>
      </c>
      <c r="E42" s="7">
        <f t="shared" si="6"/>
        <v>866936.55499999947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2026-05-26T13:56:20Z</dcterms:modified>
</cp:coreProperties>
</file>