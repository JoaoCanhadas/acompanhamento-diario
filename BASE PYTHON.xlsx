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E7BA505-5B8D-464A-A478-0BD9F627A8F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4" i="2"/>
  <c r="V31" i="2"/>
  <c r="V30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K16" i="2" s="1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J33" i="2"/>
  <c r="P23" i="2"/>
  <c r="P21" i="2"/>
  <c r="J34" i="2"/>
  <c r="J31" i="2"/>
  <c r="D42" i="2"/>
  <c r="D40" i="2"/>
  <c r="P25" i="2"/>
  <c r="P22" i="2"/>
  <c r="D41" i="2"/>
  <c r="D43" i="2"/>
  <c r="J35" i="2"/>
  <c r="P24" i="2"/>
  <c r="D39" i="2"/>
  <c r="K20" i="2" l="1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0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<sst xmlns="http://schemas.openxmlformats.org/spreadsheetml/2006/main" count="213" uniqueCount="54">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</sst>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7480.3299999999981</v>
          </cell>
          <cell r="H5" t="str">
            <v>CAMPINAS</v>
          </cell>
          <cell r="I5">
            <v>2019.55</v>
          </cell>
        </row>
        <row r="6">
          <cell r="E6" t="str">
            <v>CENTRO</v>
          </cell>
          <cell r="F6">
            <v>57626.830000000038</v>
          </cell>
          <cell r="H6" t="str">
            <v>CENTRO</v>
          </cell>
          <cell r="I6">
            <v>13981.84</v>
          </cell>
          <cell r="K6" t="str">
            <v>Contagem Distinta de COD_CLIENTE</v>
          </cell>
        </row>
        <row r="7">
          <cell r="E7" t="str">
            <v>ECOMMERCE</v>
          </cell>
          <cell r="F7">
            <v>75.12</v>
          </cell>
          <cell r="H7" t="str">
            <v>INTERLAGOS</v>
          </cell>
          <cell r="I7">
            <v>7553.6399999999994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33.020000000000003</v>
          </cell>
          <cell r="H8" t="str">
            <v>JUNDIAI</v>
          </cell>
          <cell r="I8">
            <v>6364.44</v>
          </cell>
          <cell r="K8" t="str">
            <v>CENTRO</v>
          </cell>
          <cell r="N8">
            <v>17</v>
          </cell>
        </row>
        <row r="9">
          <cell r="E9" t="str">
            <v>INDAIATUBA</v>
          </cell>
          <cell r="F9">
            <v>8818.9</v>
          </cell>
          <cell r="H9" t="str">
            <v>KEY SP</v>
          </cell>
          <cell r="I9">
            <v>2964</v>
          </cell>
          <cell r="K9" t="str">
            <v>INDAIATUBA</v>
          </cell>
          <cell r="N9">
            <v>8</v>
          </cell>
        </row>
        <row r="10">
          <cell r="E10" t="str">
            <v>INTERLAGOS</v>
          </cell>
          <cell r="F10">
            <v>26022.560000000009</v>
          </cell>
          <cell r="H10" t="str">
            <v>KEY ZL</v>
          </cell>
          <cell r="I10">
            <v>11331</v>
          </cell>
          <cell r="K10" t="str">
            <v>JUNDIAI</v>
          </cell>
          <cell r="N10">
            <v>6</v>
          </cell>
        </row>
        <row r="11">
          <cell r="E11" t="str">
            <v>JUNDIAI</v>
          </cell>
          <cell r="F11">
            <v>16561.600000000006</v>
          </cell>
          <cell r="H11" t="str">
            <v>LESTE MOOCA</v>
          </cell>
          <cell r="I11">
            <v>4935.5999999999995</v>
          </cell>
          <cell r="K11" t="str">
            <v>LESTE</v>
          </cell>
          <cell r="N11">
            <v>6</v>
          </cell>
        </row>
        <row r="12">
          <cell r="E12" t="str">
            <v>KEY ABC</v>
          </cell>
          <cell r="F12">
            <v>61613.220000000016</v>
          </cell>
          <cell r="H12" t="str">
            <v>LESTE PENHA</v>
          </cell>
          <cell r="I12">
            <v>5429.5999999999995</v>
          </cell>
          <cell r="K12" t="str">
            <v>LESTE PENHA</v>
          </cell>
          <cell r="N12">
            <v>5</v>
          </cell>
        </row>
        <row r="13">
          <cell r="E13" t="str">
            <v>KEY CASA</v>
          </cell>
          <cell r="F13">
            <v>70798.399999999994</v>
          </cell>
          <cell r="H13" t="str">
            <v>LESTE TATUAPE</v>
          </cell>
          <cell r="I13">
            <v>3237.6700000000005</v>
          </cell>
          <cell r="K13" t="str">
            <v>LESTE TATUAPE</v>
          </cell>
          <cell r="N13">
            <v>9</v>
          </cell>
        </row>
        <row r="14">
          <cell r="E14" t="str">
            <v>KEY INTERIOR</v>
          </cell>
          <cell r="F14">
            <v>58605.799999999988</v>
          </cell>
          <cell r="H14" t="str">
            <v>MOGI</v>
          </cell>
          <cell r="I14">
            <v>1302.75</v>
          </cell>
          <cell r="K14" t="str">
            <v>NORTE</v>
          </cell>
          <cell r="N14">
            <v>9</v>
          </cell>
        </row>
        <row r="15">
          <cell r="E15" t="str">
            <v>KEY SJC</v>
          </cell>
          <cell r="F15">
            <v>4900.4000000000005</v>
          </cell>
          <cell r="H15" t="str">
            <v>OSASCO</v>
          </cell>
          <cell r="I15">
            <v>9669.82</v>
          </cell>
          <cell r="K15" t="str">
            <v>OSASCO</v>
          </cell>
          <cell r="N15">
            <v>16</v>
          </cell>
        </row>
        <row r="16">
          <cell r="E16" t="str">
            <v>KEY SP</v>
          </cell>
          <cell r="F16">
            <v>15254.599999999995</v>
          </cell>
          <cell r="H16" t="str">
            <v>PIRACICABA</v>
          </cell>
          <cell r="I16">
            <v>3604.26</v>
          </cell>
          <cell r="K16" t="str">
            <v>PIRITUBA</v>
          </cell>
          <cell r="N16">
            <v>11</v>
          </cell>
        </row>
        <row r="17">
          <cell r="E17" t="str">
            <v>KEY ZL</v>
          </cell>
          <cell r="F17">
            <v>69757.400000000009</v>
          </cell>
          <cell r="H17" t="str">
            <v>PIRITUBA</v>
          </cell>
          <cell r="I17">
            <v>2849.65</v>
          </cell>
          <cell r="K17" t="str">
            <v>SANTO ANDRE</v>
          </cell>
          <cell r="N17">
            <v>4</v>
          </cell>
        </row>
        <row r="18">
          <cell r="E18" t="str">
            <v>LESTE</v>
          </cell>
          <cell r="F18">
            <v>11856.740000000002</v>
          </cell>
          <cell r="H18" t="str">
            <v>SANTO ANDRE</v>
          </cell>
          <cell r="I18">
            <v>5653.2</v>
          </cell>
          <cell r="K18" t="str">
            <v>SJC</v>
          </cell>
          <cell r="N18">
            <v>4</v>
          </cell>
        </row>
        <row r="19">
          <cell r="E19" t="str">
            <v>LESTE MOOCA</v>
          </cell>
          <cell r="F19">
            <v>18652.140000000007</v>
          </cell>
          <cell r="H19" t="str">
            <v>SBC</v>
          </cell>
          <cell r="I19">
            <v>384</v>
          </cell>
          <cell r="K19" t="str">
            <v>Total Geral</v>
          </cell>
          <cell r="N19">
            <v>95</v>
          </cell>
        </row>
        <row r="20">
          <cell r="E20" t="str">
            <v>LESTE PENHA</v>
          </cell>
          <cell r="F20">
            <v>21488.189999999995</v>
          </cell>
          <cell r="H20" t="str">
            <v>SJC/VALE</v>
          </cell>
          <cell r="I20">
            <v>1513.29</v>
          </cell>
        </row>
        <row r="21">
          <cell r="E21" t="str">
            <v>LESTE TATUAPE</v>
          </cell>
          <cell r="F21">
            <v>10992.669999999998</v>
          </cell>
          <cell r="H21" t="str">
            <v>VENDEDOR INTERNO 1</v>
          </cell>
          <cell r="I21">
            <v>7272.37</v>
          </cell>
        </row>
        <row r="22">
          <cell r="E22" t="str">
            <v>MOGI</v>
          </cell>
          <cell r="F22">
            <v>7117.0199999999968</v>
          </cell>
          <cell r="H22" t="str">
            <v>Total Geral</v>
          </cell>
          <cell r="I22">
            <v>90066.679999999935</v>
          </cell>
        </row>
        <row r="23">
          <cell r="E23" t="str">
            <v>NORTE</v>
          </cell>
          <cell r="F23">
            <v>27209.899999999998</v>
          </cell>
        </row>
        <row r="24">
          <cell r="E24" t="str">
            <v>OSASCO</v>
          </cell>
          <cell r="F24">
            <v>47926.050000000025</v>
          </cell>
        </row>
        <row r="25">
          <cell r="E25" t="str">
            <v>PIRACICABA</v>
          </cell>
          <cell r="F25">
            <v>12211.059999999998</v>
          </cell>
        </row>
        <row r="26">
          <cell r="E26" t="str">
            <v>PIRITUBA</v>
          </cell>
          <cell r="F26">
            <v>16815.25</v>
          </cell>
        </row>
        <row r="27">
          <cell r="E27" t="str">
            <v>SANTO ANDRE</v>
          </cell>
          <cell r="F27">
            <v>19899.88</v>
          </cell>
        </row>
        <row r="28">
          <cell r="E28" t="str">
            <v>SBC</v>
          </cell>
          <cell r="F28">
            <v>23533.34</v>
          </cell>
        </row>
        <row r="29">
          <cell r="E29" t="str">
            <v>SJC</v>
          </cell>
          <cell r="F29">
            <v>5681.579999999999</v>
          </cell>
        </row>
        <row r="30">
          <cell r="E30" t="str">
            <v>SJC/VALE</v>
          </cell>
          <cell r="F30">
            <v>6048.670000000001</v>
          </cell>
        </row>
        <row r="31">
          <cell r="E31" t="str">
            <v>VENDEDOR INTERNO 1</v>
          </cell>
          <cell r="F31">
            <v>15133.860000000004</v>
          </cell>
        </row>
        <row r="32">
          <cell r="E32" t="str">
            <v>Total Geral</v>
          </cell>
          <cell r="F32">
            <v>642114.53000000212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300152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642039.41</v>
      </c>
      <c r="D5" s="2"/>
      <c r="E5" s="4"/>
      <c r="F5" s="4"/>
      <c r="G5" s="4"/>
      <c r="H5" s="4" t="s">
        <v>1</v>
      </c>
      <c r="I5" s="7">
        <f>SUM(J10:J27)</f>
        <v>72167.42</v>
      </c>
      <c r="J5" s="4"/>
      <c r="K5" s="4"/>
      <c r="L5" s="4"/>
      <c r="M5" s="4"/>
      <c r="N5" s="4" t="s">
        <v>1</v>
      </c>
      <c r="O5" s="7">
        <f>SUM(P11:P17)</f>
        <v>17899.260000000002</v>
      </c>
      <c r="P5" s="4"/>
      <c r="Q5" s="4"/>
      <c r="R5" s="4"/>
      <c r="S5" s="4"/>
      <c r="T5" s="4" t="s">
        <v>1</v>
      </c>
      <c r="U5" s="4">
        <f>SUM(V10:V26)</f>
        <v>95</v>
      </c>
      <c r="V5" s="4"/>
      <c r="W5" s="4"/>
    </row>
    <row r="6" spans="1:23" x14ac:dyDescent="0.25">
      <c r="A6" s="4"/>
      <c r="B6" s="4" t="s">
        <v>2</v>
      </c>
      <c r="C6" s="2">
        <f>C4-C5</f>
        <v>4949460.59</v>
      </c>
      <c r="D6" s="2"/>
      <c r="E6" s="4"/>
      <c r="F6" s="4"/>
      <c r="G6" s="4"/>
      <c r="H6" s="4" t="s">
        <v>2</v>
      </c>
      <c r="I6" s="7">
        <f>I4-I5</f>
        <v>227984.58000000002</v>
      </c>
      <c r="J6" s="4"/>
      <c r="K6" s="4"/>
      <c r="L6" s="4"/>
      <c r="M6" s="4"/>
      <c r="N6" s="4" t="s">
        <v>2</v>
      </c>
      <c r="O6" s="7">
        <f>O4-O5</f>
        <v>-17899.260000000002</v>
      </c>
      <c r="P6" s="4"/>
      <c r="Q6" s="4"/>
      <c r="R6" s="4"/>
      <c r="S6" s="4"/>
      <c r="T6" s="4" t="s">
        <v>2</v>
      </c>
      <c r="U6" s="4">
        <f>U4-U5</f>
        <v>663</v>
      </c>
      <c r="V6" s="4"/>
      <c r="W6" s="4"/>
    </row>
    <row r="7" spans="1:23" x14ac:dyDescent="0.25">
      <c r="A7" s="4"/>
      <c r="B7" s="4" t="s">
        <v>3</v>
      </c>
      <c r="C7" s="3">
        <f>1-(C6/C4)</f>
        <v>0.11482418134668693</v>
      </c>
      <c r="D7" s="2"/>
      <c r="E7" s="4"/>
      <c r="F7" s="4"/>
      <c r="G7" s="4"/>
      <c r="H7" s="4" t="s">
        <v>3</v>
      </c>
      <c r="I7" s="3">
        <f>1-(I6/I4)</f>
        <v>0.24043624563554455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0.12532981530343013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7480.3299999999981</v>
      </c>
      <c r="E10" s="27">
        <f>Tabela13[[#This Row],[META A]]-Tabela13[[#This Row],[ATINGIDO]]</f>
        <v>57019.67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34823</v>
      </c>
      <c r="J10" s="22">
        <f>_xlfn.XLOOKUP(Tabela5[[#This Row],[VENDEDOR]],'[1]BASE PYTHON'!$H:$H,'[1]BASE PYTHON'!$I:$I,0)</f>
        <v>9669.82</v>
      </c>
      <c r="K10" s="23">
        <f>Tabela5[[#This Row],[COMPROMISSO]]-Tabela5[[#This Row],[ATINGIDO]]</f>
        <v>25153.18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57626.830000000038</v>
      </c>
      <c r="E11" s="24">
        <f>Tabela13[[#This Row],[META A]]-Tabela13[[#This Row],[ATINGIDO]]</f>
        <v>267373.17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28168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28168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17</v>
      </c>
      <c r="W11" s="19">
        <f t="shared" ref="W11:W20" si="0">U11-V11</f>
        <v>35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33.020000000000003</v>
      </c>
      <c r="E12" s="27">
        <f>Tabela13[[#This Row],[META A]]-Tabela13[[#This Row],[ATINGIDO]]</f>
        <v>966.98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12773</v>
      </c>
      <c r="J12" s="22">
        <f>_xlfn.XLOOKUP(Tabela5[[#This Row],[VENDEDOR]],'[1]BASE PYTHON'!$H:$H,'[1]BASE PYTHON'!$I:$I,0)</f>
        <v>2849.65</v>
      </c>
      <c r="K12" s="23">
        <f>Tabela5[[#This Row],[COMPROMISSO]]-Tabela5[[#This Row],[ATINGIDO]]</f>
        <v>9923.35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3604.26</v>
      </c>
      <c r="Q12" s="2">
        <f>O12-P12</f>
        <v>-3604.26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8</v>
      </c>
      <c r="W12" s="19">
        <f t="shared" si="0"/>
        <v>33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8818.9</v>
      </c>
      <c r="E13" s="24">
        <f>Tabela13[[#This Row],[META A]]-Tabela13[[#This Row],[ATINGIDO]]</f>
        <v>81181.100000000006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29550</v>
      </c>
      <c r="J13" s="22">
        <f>_xlfn.XLOOKUP(Tabela5[[#This Row],[VENDEDOR]],'[1]BASE PYTHON'!$H:$H,'[1]BASE PYTHON'!$I:$I,0)</f>
        <v>384</v>
      </c>
      <c r="K13" s="23">
        <f>Tabela5[[#This Row],[COMPROMISSO]]-Tabela5[[#This Row],[ATINGIDO]]</f>
        <v>29166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11331</v>
      </c>
      <c r="Q13" s="2">
        <f t="shared" ref="Q13:Q17" si="1">O13-P13</f>
        <v>-11331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26022.560000000009</v>
      </c>
      <c r="E14" s="27">
        <f>Tabela13[[#This Row],[META A]]-Tabela13[[#This Row],[ATINGIDO]]</f>
        <v>246977.44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21709</v>
      </c>
      <c r="J14" s="22">
        <f>_xlfn.XLOOKUP(Tabela5[[#This Row],[VENDEDOR]],'[1]BASE PYTHON'!$H:$H,'[1]BASE PYTHON'!$I:$I,0)</f>
        <v>3237.6700000000005</v>
      </c>
      <c r="K14" s="23">
        <f>Tabela5[[#This Row],[COMPROMISSO]]-Tabela5[[#This Row],[ATINGIDO]]</f>
        <v>18471.329999999998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6</v>
      </c>
      <c r="W14" s="19">
        <f t="shared" si="0"/>
        <v>21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16561.600000000006</v>
      </c>
      <c r="E15" s="24">
        <f>Tabela13[[#This Row],[META A]]-Tabela13[[#This Row],[ATINGIDO]]</f>
        <v>61438.399999999994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32806</v>
      </c>
      <c r="J15" s="22">
        <f>_xlfn.XLOOKUP(Tabela5[[#This Row],[VENDEDOR]],'[1]BASE PYTHON'!$H:$H,'[1]BASE PYTHON'!$I:$I,0)</f>
        <v>13981.84</v>
      </c>
      <c r="K15" s="23">
        <f>Tabela5[[#This Row],[COMPROMISSO]]-Tabela5[[#This Row],[ATINGIDO]]</f>
        <v>18824.16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2964</v>
      </c>
      <c r="Q15" s="2">
        <f t="shared" si="1"/>
        <v>-2964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6</v>
      </c>
      <c r="W15" s="19">
        <f>U15-V15</f>
        <v>42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61613.220000000016</v>
      </c>
      <c r="E16" s="27">
        <f>Tabela13[[#This Row],[META A]]-Tabela13[[#This Row],[ATINGIDO]]</f>
        <v>263386.77999999997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16187</v>
      </c>
      <c r="J16" s="22">
        <f>_xlfn.XLOOKUP(Tabela5[[#This Row],[VENDEDOR]],'[1]BASE PYTHON'!$H:$H,'[1]BASE PYTHON'!$I:$I,0)</f>
        <v>5653.2</v>
      </c>
      <c r="K16" s="23">
        <f>Tabela5[[#This Row],[COMPROMISSO]]-Tabela5[[#This Row],[ATINGIDO]]</f>
        <v>10533.8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70798.399999999994</v>
      </c>
      <c r="E17" s="24">
        <f>Tabela13[[#This Row],[META A]]-Tabela13[[#This Row],[ATINGIDO]]</f>
        <v>99201.600000000006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4976</v>
      </c>
      <c r="J17" s="22">
        <f>_xlfn.XLOOKUP(Tabela5[[#This Row],[VENDEDOR]],'[1]BASE PYTHON'!$H:$H,'[1]BASE PYTHON'!$I:$I,0)</f>
        <v>1302.75</v>
      </c>
      <c r="K17" s="23">
        <f>Tabela5[[#This Row],[COMPROMISSO]]-Tabela5[[#This Row],[ATINGIDO]]</f>
        <v>3673.25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58605.799999999988</v>
      </c>
      <c r="E18" s="27">
        <f>Tabela13[[#This Row],[META A]]-Tabela13[[#This Row],[ATINGIDO]]</f>
        <v>891394.2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14530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14530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9</v>
      </c>
      <c r="W18" s="19">
        <f t="shared" si="0"/>
        <v>36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4900.4000000000005</v>
      </c>
      <c r="E19" s="24">
        <f>Tabela13[[#This Row],[META A]]-Tabela13[[#This Row],[ATINGIDO]]</f>
        <v>125099.6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16828</v>
      </c>
      <c r="J19" s="22">
        <f>_xlfn.XLOOKUP(Tabela5[[#This Row],[VENDEDOR]],'[1]BASE PYTHON'!$H:$H,'[1]BASE PYTHON'!$I:$I,0)</f>
        <v>4935.5999999999995</v>
      </c>
      <c r="K19" s="23">
        <f>Tabela5[[#This Row],[COMPROMISSO]]-Tabela5[[#This Row],[ATINGIDO]]</f>
        <v>11892.400000000001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16</v>
      </c>
      <c r="W19" s="19">
        <f t="shared" si="0"/>
        <v>45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15254.599999999995</v>
      </c>
      <c r="E20" s="27">
        <f>Tabela13[[#This Row],[META A]]-Tabela13[[#This Row],[ATINGIDO]]</f>
        <v>544745.4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21245</v>
      </c>
      <c r="J20" s="22">
        <f>_xlfn.XLOOKUP(Tabela5[[#This Row],[VENDEDOR]],'[1]BASE PYTHON'!$H:$H,'[1]BASE PYTHON'!$I:$I,0)</f>
        <v>7553.6399999999994</v>
      </c>
      <c r="K20" s="23">
        <f>Tabela5[[#This Row],[COMPROMISSO]]-Tabela5[[#This Row],[ATINGIDO]]</f>
        <v>13691.36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5</v>
      </c>
      <c r="W20" s="19">
        <f t="shared" si="0"/>
        <v>34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69757.400000000009</v>
      </c>
      <c r="E21" s="24">
        <f>Tabela13[[#This Row],[META A]]-Tabela13[[#This Row],[ATINGIDO]]</f>
        <v>345242.6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6246</v>
      </c>
      <c r="J21" s="22">
        <f>_xlfn.XLOOKUP(Tabela5[[#This Row],[VENDEDOR]],'[1]BASE PYTHON'!$H:$H,'[1]BASE PYTHON'!$I:$I,0)</f>
        <v>6364.44</v>
      </c>
      <c r="K21" s="23">
        <f>Tabela5[[#This Row],[COMPROMISSO]]-Tabela5[[#This Row],[ATINGIDO]]</f>
        <v>-118.4399999999996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11</v>
      </c>
      <c r="W21" s="19">
        <f t="shared" ref="W21:W26" si="2">U21-V21</f>
        <v>33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11856.740000000002</v>
      </c>
      <c r="E22" s="27">
        <f>Tabela13[[#This Row],[META A]]-Tabela13[[#This Row],[ATINGIDO]]</f>
        <v>110143.26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14716</v>
      </c>
      <c r="J22" s="22">
        <f>_xlfn.XLOOKUP(Tabela5[[#This Row],[VENDEDOR]],'[1]BASE PYTHON'!$H:$H,'[1]BASE PYTHON'!$I:$I,0)</f>
        <v>5429.5999999999995</v>
      </c>
      <c r="K22" s="23">
        <f>Tabela5[[#This Row],[COMPROMISSO]]-Tabela5[[#This Row],[ATINGIDO]]</f>
        <v>9286.4000000000015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17899.259999999998</v>
      </c>
      <c r="Q22" s="7">
        <f>O22-P22</f>
        <v>477555.28545454546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4</v>
      </c>
      <c r="W22" s="19">
        <f t="shared" si="2"/>
        <v>36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18652.140000000007</v>
      </c>
      <c r="E23" s="24">
        <f>Tabela13[[#This Row],[META A]]-Tabela13[[#This Row],[ATINGIDO]]</f>
        <v>176347.86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12001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12001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619318.18181818188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21488.189999999995</v>
      </c>
      <c r="E24" s="27">
        <f>Tabela13[[#This Row],[META A]]-Tabela13[[#This Row],[ATINGIDO]]</f>
        <v>118511.81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10474</v>
      </c>
      <c r="J24" s="22">
        <f>_xlfn.XLOOKUP(Tabela5[[#This Row],[VENDEDOR]],'[1]BASE PYTHON'!$H:$H,'[1]BASE PYTHON'!$I:$I,0)</f>
        <v>7272.37</v>
      </c>
      <c r="K24" s="23">
        <f>Tabela5[[#This Row],[COMPROMISSO]]-Tabela5[[#This Row],[ATINGIDO]]</f>
        <v>3201.63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4</v>
      </c>
      <c r="W24" s="19">
        <f t="shared" si="2"/>
        <v>33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10992.669999999998</v>
      </c>
      <c r="E25" s="24">
        <f>Tabela13[[#This Row],[META A]]-Tabela13[[#This Row],[ATINGIDO]]</f>
        <v>131507.33000000002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11553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11553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9</v>
      </c>
      <c r="W25" s="19">
        <f t="shared" si="2"/>
        <v>42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7117.0199999999968</v>
      </c>
      <c r="E26" s="27">
        <f>Tabela13[[#This Row],[META A]]-Tabela13[[#This Row],[ATINGIDO]]</f>
        <v>82882.98000000001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5351</v>
      </c>
      <c r="J26" s="22">
        <f>_xlfn.XLOOKUP(Tabela5[[#This Row],[VENDEDOR]],'[1]BASE PYTHON'!$H:$H,'[1]BASE PYTHON'!$I:$I,0)</f>
        <v>1513.29</v>
      </c>
      <c r="K26" s="23">
        <f>Tabela5[[#This Row],[COMPROMISSO]]-Tabela5[[#This Row],[ATINGIDO]]</f>
        <v>3837.71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27209.899999999998</v>
      </c>
      <c r="E27" s="24">
        <f>Tabela13[[#This Row],[META A]]-Tabela13[[#This Row],[ATINGIDO]]</f>
        <v>210290.1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6216</v>
      </c>
      <c r="J27" s="22">
        <f>_xlfn.XLOOKUP(Tabela5[[#This Row],[VENDEDOR]],'[1]BASE PYTHON'!$H:$H,'[1]BASE PYTHON'!$I:$I,0)</f>
        <v>2019.55</v>
      </c>
      <c r="K27" s="23">
        <f>Tabela5[[#This Row],[COMPROMISSO]]-Tabela5[[#This Row],[ATINGIDO]]</f>
        <v>4196.45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47926.050000000025</v>
      </c>
      <c r="E28" s="27">
        <f>Tabela13[[#This Row],[META A]]-Tabela13[[#This Row],[ATINGIDO]]</f>
        <v>270573.94999999995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12211.059999999998</v>
      </c>
      <c r="E29" s="24">
        <f>Tabela13[[#This Row],[META A]]-Tabela13[[#This Row],[ATINGIDO]]</f>
        <v>162788.94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16815.25</v>
      </c>
      <c r="E30" s="27">
        <f>Tabela13[[#This Row],[META A]]-Tabela13[[#This Row],[ATINGIDO]]</f>
        <v>117684.75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81</v>
      </c>
      <c r="W30" s="6">
        <f>U30-V30</f>
        <v>22.36363636363636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19899.88</v>
      </c>
      <c r="E31" s="24">
        <f>Tabela13[[#This Row],[META A]]-Tabela13[[#This Row],[ATINGIDO]]</f>
        <v>147100.12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262981.54999999987</v>
      </c>
      <c r="K31" s="7">
        <f>I31-J31</f>
        <v>127768.45000000013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14</v>
      </c>
      <c r="W31" s="6">
        <f t="shared" ref="W31:W33" si="3">U31-V31</f>
        <v>123.81818181818181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23533.34</v>
      </c>
      <c r="E32" s="27">
        <f>Tabela13[[#This Row],[META A]]-Tabela13[[#This Row],[ATINGIDO]]</f>
        <v>236466.66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67231.819999999992</v>
      </c>
      <c r="K32" s="7">
        <f t="shared" ref="K32:K34" si="4">I32-J32</f>
        <v>453768.18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3"/>
        <v>172.27272727272725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5681.579999999999</v>
      </c>
      <c r="E33" s="24">
        <f>Tabela13[[#This Row],[META A]]-Tabela13[[#This Row],[ATINGIDO]]</f>
        <v>94318.42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0</v>
      </c>
      <c r="K33" s="7">
        <f t="shared" si="4"/>
        <v>651250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6048.670000000001</v>
      </c>
      <c r="E34" s="27">
        <f>Tabela13[[#This Row],[META A]]-Tabela13[[#This Row],[ATINGIDO]]</f>
        <v>48951.33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15133.860000000004</v>
      </c>
      <c r="E35" s="24">
        <f>Tabela13[[#This Row],[META A]]-Tabela13[[#This Row],[ATINGIDO]]</f>
        <v>57866.14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552047.85000000172</v>
      </c>
      <c r="E39" s="7">
        <f>C39-D39</f>
        <v>-161297.85000000172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90066.679999999935</v>
      </c>
      <c r="E40" s="7">
        <f t="shared" ref="E40:E42" si="5">C40-D40</f>
        <v>430933.32000000007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0</v>
      </c>
      <c r="E41" s="7">
        <f t="shared" si="5"/>
        <v>651250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2026-07-06T13:55:00Z</dcterms:modified>
</cp:coreProperties>
</file>