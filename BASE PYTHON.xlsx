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098102FB-0048-4D4A-B24F-725C9F230EB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E36" i="2" s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4" i="2"/>
  <c r="V33" i="2"/>
  <c r="V30" i="2"/>
  <c r="V32" i="2"/>
  <c r="V31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2" i="2"/>
  <c r="D40" i="2"/>
  <c r="J34" i="2"/>
  <c r="P23" i="2"/>
  <c r="P24" i="2"/>
  <c r="P22" i="2"/>
  <c r="D41" i="2"/>
  <c r="D44" i="2"/>
  <c r="P21" i="2"/>
  <c r="J31" i="2"/>
  <c r="D42" i="2"/>
  <c r="J33" i="2"/>
  <c r="D43" i="2"/>
  <c r="P25" i="2"/>
  <c r="J35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E44" i="2" l="1"/>
  <c r="I5" i="2" l="1"/>
  <c r="O4" i="2"/>
  <c r="O5" i="2"/>
  <c r="C6" i="2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2" i="2"/>
  <c r="E43" i="2"/>
  <c r="E40" i="2"/>
  <c r="E41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17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<sst xmlns="http://schemas.openxmlformats.org/spreadsheetml/2006/main" count="215" uniqueCount="54">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</sst>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17/07/2026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28954.370000000006</v>
          </cell>
          <cell r="H5" t="str">
            <v>CAMPINAS</v>
          </cell>
          <cell r="I5">
            <v>2023.62</v>
          </cell>
        </row>
        <row r="6">
          <cell r="E6" t="str">
            <v>CENTRO</v>
          </cell>
          <cell r="F6">
            <v>192119.4199999999</v>
          </cell>
          <cell r="H6" t="str">
            <v>CENTRO</v>
          </cell>
          <cell r="I6">
            <v>5016.05</v>
          </cell>
          <cell r="K6" t="str">
            <v>Contagem Distinta de COD_CLIENTE</v>
          </cell>
        </row>
        <row r="7">
          <cell r="E7" t="str">
            <v>ECOMMERCE</v>
          </cell>
          <cell r="F7">
            <v>828.94</v>
          </cell>
          <cell r="H7" t="str">
            <v>INDAIATUBA</v>
          </cell>
          <cell r="I7">
            <v>1325.15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5399.95</v>
          </cell>
          <cell r="K8" t="str">
            <v>CENTRO</v>
          </cell>
          <cell r="N8">
            <v>35</v>
          </cell>
        </row>
        <row r="9">
          <cell r="E9" t="str">
            <v>INDAIATUBA</v>
          </cell>
          <cell r="F9">
            <v>39691.460000000014</v>
          </cell>
          <cell r="H9" t="str">
            <v>JUNDIAI</v>
          </cell>
          <cell r="I9">
            <v>1699</v>
          </cell>
          <cell r="K9" t="str">
            <v>INDAIATUBA</v>
          </cell>
          <cell r="N9">
            <v>30</v>
          </cell>
        </row>
        <row r="10">
          <cell r="E10" t="str">
            <v>INTERLAGOS</v>
          </cell>
          <cell r="F10">
            <v>130910.1299999999</v>
          </cell>
          <cell r="H10" t="str">
            <v>KEY ZL</v>
          </cell>
          <cell r="I10">
            <v>2006.24</v>
          </cell>
          <cell r="K10" t="str">
            <v>JUNDIAI</v>
          </cell>
          <cell r="N10">
            <v>16</v>
          </cell>
        </row>
        <row r="11">
          <cell r="E11" t="str">
            <v>JUNDIAI</v>
          </cell>
          <cell r="F11">
            <v>42594.590000000047</v>
          </cell>
          <cell r="H11" t="str">
            <v>LESTE MOOCA</v>
          </cell>
          <cell r="I11">
            <v>529.79999999999995</v>
          </cell>
          <cell r="K11" t="str">
            <v>LESTE</v>
          </cell>
          <cell r="N11">
            <v>25</v>
          </cell>
        </row>
        <row r="12">
          <cell r="E12" t="str">
            <v>KEY ABC</v>
          </cell>
          <cell r="F12">
            <v>189681.72</v>
          </cell>
          <cell r="H12" t="str">
            <v>LESTE PENHA</v>
          </cell>
          <cell r="I12">
            <v>913.27</v>
          </cell>
          <cell r="K12" t="str">
            <v>LESTE PENHA</v>
          </cell>
          <cell r="N12">
            <v>19</v>
          </cell>
        </row>
        <row r="13">
          <cell r="E13" t="str">
            <v>KEY CASA</v>
          </cell>
          <cell r="F13">
            <v>161512.55999999997</v>
          </cell>
          <cell r="H13" t="str">
            <v>LESTE TATUAPE</v>
          </cell>
          <cell r="I13">
            <v>5336</v>
          </cell>
          <cell r="K13" t="str">
            <v>LESTE TATUAPE</v>
          </cell>
          <cell r="N13">
            <v>25</v>
          </cell>
        </row>
        <row r="14">
          <cell r="E14" t="str">
            <v>KEY INTERIOR</v>
          </cell>
          <cell r="F14">
            <v>513142.70000000019</v>
          </cell>
          <cell r="H14" t="str">
            <v>MOGI</v>
          </cell>
          <cell r="I14">
            <v>1356.2900000000002</v>
          </cell>
          <cell r="K14" t="str">
            <v>NORTE</v>
          </cell>
          <cell r="N14">
            <v>35</v>
          </cell>
        </row>
        <row r="15">
          <cell r="E15" t="str">
            <v>KEY PIRACICABA</v>
          </cell>
          <cell r="F15">
            <v>60082.260000000017</v>
          </cell>
          <cell r="H15" t="str">
            <v>OSASCO</v>
          </cell>
          <cell r="I15">
            <v>1760.92</v>
          </cell>
          <cell r="K15" t="str">
            <v>OSASCO</v>
          </cell>
          <cell r="N15">
            <v>49</v>
          </cell>
        </row>
        <row r="16">
          <cell r="E16" t="str">
            <v>KEY SJC</v>
          </cell>
          <cell r="F16">
            <v>42315.899999999994</v>
          </cell>
          <cell r="H16" t="str">
            <v>PIRITUBA</v>
          </cell>
          <cell r="I16">
            <v>139.9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193562.72000000015</v>
          </cell>
          <cell r="H17" t="str">
            <v>SBC</v>
          </cell>
          <cell r="I17">
            <v>6275.3</v>
          </cell>
          <cell r="K17" t="str">
            <v>SANTO ANDRE</v>
          </cell>
          <cell r="N17">
            <v>22</v>
          </cell>
        </row>
        <row r="18">
          <cell r="E18" t="str">
            <v>KEY ZL</v>
          </cell>
          <cell r="F18">
            <v>208911.12</v>
          </cell>
          <cell r="H18" t="str">
            <v>SJC</v>
          </cell>
          <cell r="I18">
            <v>1462.54</v>
          </cell>
          <cell r="K18" t="str">
            <v>SJC</v>
          </cell>
          <cell r="N18">
            <v>19</v>
          </cell>
        </row>
        <row r="19">
          <cell r="E19" t="str">
            <v>LESTE</v>
          </cell>
          <cell r="F19">
            <v>52276.960000000014</v>
          </cell>
          <cell r="H19" t="str">
            <v>SJC/VALE</v>
          </cell>
          <cell r="I19">
            <v>529.79999999999995</v>
          </cell>
          <cell r="K19" t="str">
            <v>Total Geral</v>
          </cell>
          <cell r="N19">
            <v>302</v>
          </cell>
        </row>
        <row r="20">
          <cell r="E20" t="str">
            <v>LESTE MOOCA</v>
          </cell>
          <cell r="F20">
            <v>92187.919999999882</v>
          </cell>
          <cell r="H20" t="str">
            <v>VENDEDOR INTERNO 1</v>
          </cell>
          <cell r="I20">
            <v>2193.2399999999998</v>
          </cell>
        </row>
        <row r="21">
          <cell r="E21" t="str">
            <v>LESTE PENHA</v>
          </cell>
          <cell r="F21">
            <v>67671.900000000009</v>
          </cell>
          <cell r="H21" t="str">
            <v>Total Geral</v>
          </cell>
          <cell r="I21">
            <v>37967.07</v>
          </cell>
        </row>
        <row r="22">
          <cell r="E22" t="str">
            <v>LESTE TATUAPE</v>
          </cell>
          <cell r="F22">
            <v>59295.710000000094</v>
          </cell>
        </row>
        <row r="23">
          <cell r="E23" t="str">
            <v>MOGI</v>
          </cell>
          <cell r="F23">
            <v>35615.780000000057</v>
          </cell>
        </row>
        <row r="24">
          <cell r="E24" t="str">
            <v>NORTE</v>
          </cell>
          <cell r="F24">
            <v>131431.81999999983</v>
          </cell>
        </row>
        <row r="25">
          <cell r="E25" t="str">
            <v>OSASCO</v>
          </cell>
          <cell r="F25">
            <v>178715.14000000004</v>
          </cell>
        </row>
        <row r="26">
          <cell r="E26" t="str">
            <v>PIRITUBA</v>
          </cell>
          <cell r="F26">
            <v>69584.389999999956</v>
          </cell>
        </row>
        <row r="27">
          <cell r="E27" t="str">
            <v>SANTO ANDRE</v>
          </cell>
          <cell r="F27">
            <v>84980.229999999967</v>
          </cell>
        </row>
        <row r="28">
          <cell r="E28" t="str">
            <v>SBC</v>
          </cell>
          <cell r="F28">
            <v>134773.89999999985</v>
          </cell>
        </row>
        <row r="29">
          <cell r="E29" t="str">
            <v>SJC</v>
          </cell>
          <cell r="F29">
            <v>45921.020000000055</v>
          </cell>
        </row>
        <row r="30">
          <cell r="E30" t="str">
            <v>SJC/VALE</v>
          </cell>
          <cell r="F30">
            <v>22385.670000000002</v>
          </cell>
        </row>
        <row r="31">
          <cell r="E31" t="str">
            <v>VENDEDOR INTERNO 1</v>
          </cell>
          <cell r="F31">
            <v>39650.000000000015</v>
          </cell>
        </row>
        <row r="32">
          <cell r="E32" t="str">
            <v>Total Geral</v>
          </cell>
          <cell r="F32">
            <v>2818949.4199999906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A13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2818949.4200000004</v>
      </c>
      <c r="D5" s="2"/>
      <c r="E5" s="4"/>
      <c r="F5" s="4"/>
      <c r="G5" s="4"/>
      <c r="H5" s="4" t="s">
        <v>1</v>
      </c>
      <c r="I5" s="7">
        <f>SUM(J10:J27)</f>
        <v>35960.830000000009</v>
      </c>
      <c r="J5" s="4"/>
      <c r="K5" s="4"/>
      <c r="L5" s="4"/>
      <c r="M5" s="4"/>
      <c r="N5" s="4" t="s">
        <v>1</v>
      </c>
      <c r="O5" s="7">
        <f>SUM(P11:P17)</f>
        <v>2006.24</v>
      </c>
      <c r="P5" s="4"/>
      <c r="Q5" s="4"/>
      <c r="R5" s="4"/>
      <c r="S5" s="4"/>
      <c r="T5" s="4" t="s">
        <v>1</v>
      </c>
      <c r="U5" s="4">
        <f>SUM(V10:V26)</f>
        <v>302</v>
      </c>
      <c r="V5" s="4"/>
      <c r="W5" s="4"/>
    </row>
    <row r="6" spans="1:23" x14ac:dyDescent="0.25">
      <c r="A6" s="4"/>
      <c r="B6" s="4" t="s">
        <v>2</v>
      </c>
      <c r="C6" s="2">
        <f>C4-C5</f>
        <v>2773550.5799999996</v>
      </c>
      <c r="D6" s="2"/>
      <c r="E6" s="4"/>
      <c r="F6" s="4"/>
      <c r="G6" s="4"/>
      <c r="H6" s="4" t="s">
        <v>2</v>
      </c>
      <c r="I6" s="7">
        <f>I4-I5</f>
        <v>94039.169999999984</v>
      </c>
      <c r="J6" s="4"/>
      <c r="K6" s="4"/>
      <c r="L6" s="4"/>
      <c r="M6" s="4"/>
      <c r="N6" s="4" t="s">
        <v>2</v>
      </c>
      <c r="O6" s="7">
        <f>O4-O5</f>
        <v>-2006.24</v>
      </c>
      <c r="P6" s="4"/>
      <c r="Q6" s="4"/>
      <c r="R6" s="4"/>
      <c r="S6" s="4"/>
      <c r="T6" s="4" t="s">
        <v>2</v>
      </c>
      <c r="U6" s="4">
        <f>U4-U5</f>
        <v>456</v>
      </c>
      <c r="V6" s="4"/>
      <c r="W6" s="4"/>
    </row>
    <row r="7" spans="1:23" x14ac:dyDescent="0.25">
      <c r="A7" s="4"/>
      <c r="B7" s="4" t="s">
        <v>3</v>
      </c>
      <c r="C7" s="3">
        <f>1-(C6/C4)</f>
        <v>0.50405890388913732</v>
      </c>
      <c r="D7" s="2"/>
      <c r="E7" s="4"/>
      <c r="F7" s="4"/>
      <c r="G7" s="4"/>
      <c r="H7" s="4" t="s">
        <v>3</v>
      </c>
      <c r="I7" s="3">
        <f>1-(I6/I4)</f>
        <v>0.27662176923076931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0.39841688654353558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28954.370000000006</v>
      </c>
      <c r="E10" s="27">
        <f>Tabela13[[#This Row],[META A]]-Tabela13[[#This Row],[ATINGIDO]]</f>
        <v>35545.62999999999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13500</v>
      </c>
      <c r="J10" s="22">
        <f>_xlfn.XLOOKUP(Tabela5[[#This Row],[VENDEDOR]],'[1]BASE PYTHON'!$H:$H,'[1]BASE PYTHON'!$I:$I,0)</f>
        <v>1760.92</v>
      </c>
      <c r="K10" s="23">
        <f>Tabela5[[#This Row],[COMPROMISSO]]-Tabela5[[#This Row],[ATINGIDO]]</f>
        <v>11739.08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192119.4199999999</v>
      </c>
      <c r="E11" s="24">
        <f>Tabela13[[#This Row],[META A]]-Tabela13[[#This Row],[ATINGIDO]]</f>
        <v>132880.5800000001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6500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6500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35</v>
      </c>
      <c r="W11" s="19">
        <f t="shared" ref="W11:W20" si="0">U11-V11</f>
        <v>17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4520</v>
      </c>
      <c r="J12" s="22">
        <f>_xlfn.XLOOKUP(Tabela5[[#This Row],[VENDEDOR]],'[1]BASE PYTHON'!$H:$H,'[1]BASE PYTHON'!$I:$I,0)</f>
        <v>139.9</v>
      </c>
      <c r="K12" s="23">
        <f>Tabela5[[#This Row],[COMPROMISSO]]-Tabela5[[#This Row],[ATINGIDO]]</f>
        <v>4380.1000000000004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30</v>
      </c>
      <c r="W12" s="19">
        <f t="shared" si="0"/>
        <v>11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39691.460000000014</v>
      </c>
      <c r="E13" s="24">
        <f>Tabela13[[#This Row],[META A]]-Tabela13[[#This Row],[ATINGIDO]]</f>
        <v>50308.539999999986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7850</v>
      </c>
      <c r="J13" s="22">
        <f>_xlfn.XLOOKUP(Tabela5[[#This Row],[VENDEDOR]],'[1]BASE PYTHON'!$H:$H,'[1]BASE PYTHON'!$I:$I,0)</f>
        <v>6275.3</v>
      </c>
      <c r="K13" s="23">
        <f>Tabela5[[#This Row],[COMPROMISSO]]-Tabela5[[#This Row],[ATINGIDO]]</f>
        <v>1574.6999999999998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2006.24</v>
      </c>
      <c r="Q13" s="2">
        <f t="shared" ref="Q13:Q17" si="1">O13-P13</f>
        <v>-2006.24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130910.1299999999</v>
      </c>
      <c r="E14" s="27">
        <f>Tabela13[[#This Row],[META A]]-Tabela13[[#This Row],[ATINGIDO]]</f>
        <v>142089.87000000011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6500</v>
      </c>
      <c r="J14" s="22">
        <f>_xlfn.XLOOKUP(Tabela5[[#This Row],[VENDEDOR]],'[1]BASE PYTHON'!$H:$H,'[1]BASE PYTHON'!$I:$I,0)</f>
        <v>5336</v>
      </c>
      <c r="K14" s="23">
        <f>Tabela5[[#This Row],[COMPROMISSO]]-Tabela5[[#This Row],[ATINGIDO]]</f>
        <v>1164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16</v>
      </c>
      <c r="W14" s="19">
        <f t="shared" si="0"/>
        <v>11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42594.590000000047</v>
      </c>
      <c r="E15" s="24">
        <f>Tabela13[[#This Row],[META A]]-Tabela13[[#This Row],[ATINGIDO]]</f>
        <v>35405.409999999953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12500</v>
      </c>
      <c r="J15" s="22">
        <f>_xlfn.XLOOKUP(Tabela5[[#This Row],[VENDEDOR]],'[1]BASE PYTHON'!$H:$H,'[1]BASE PYTHON'!$I:$I,0)</f>
        <v>5016.05</v>
      </c>
      <c r="K15" s="23">
        <f>Tabela5[[#This Row],[COMPROMISSO]]-Tabela5[[#This Row],[ATINGIDO]]</f>
        <v>7483.95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25</v>
      </c>
      <c r="W15" s="19">
        <f>U15-V15</f>
        <v>23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189681.72</v>
      </c>
      <c r="E16" s="27">
        <f>Tabela13[[#This Row],[META A]]-Tabela13[[#This Row],[ATINGIDO]]</f>
        <v>135318.28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4240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4240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161512.55999999997</v>
      </c>
      <c r="E17" s="24">
        <f>Tabela13[[#This Row],[META A]]-Tabela13[[#This Row],[ATINGIDO]]</f>
        <v>8487.4400000000314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8290</v>
      </c>
      <c r="J17" s="22">
        <f>_xlfn.XLOOKUP(Tabela5[[#This Row],[VENDEDOR]],'[1]BASE PYTHON'!$H:$H,'[1]BASE PYTHON'!$I:$I,0)</f>
        <v>1356.2900000000002</v>
      </c>
      <c r="K17" s="23">
        <f>Tabela5[[#This Row],[COMPROMISSO]]-Tabela5[[#This Row],[ATINGIDO]]</f>
        <v>6933.71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513142.70000000019</v>
      </c>
      <c r="E18" s="27">
        <f>Tabela13[[#This Row],[META A]]-Tabela13[[#This Row],[ATINGIDO]]</f>
        <v>436857.29999999981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8500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8500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35</v>
      </c>
      <c r="W18" s="19">
        <f t="shared" si="0"/>
        <v>10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42315.899999999994</v>
      </c>
      <c r="E19" s="24">
        <f>Tabela13[[#This Row],[META A]]-Tabela13[[#This Row],[ATINGIDO]]</f>
        <v>87684.1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8500</v>
      </c>
      <c r="J19" s="22">
        <f>_xlfn.XLOOKUP(Tabela5[[#This Row],[VENDEDOR]],'[1]BASE PYTHON'!$H:$H,'[1]BASE PYTHON'!$I:$I,0)</f>
        <v>529.79999999999995</v>
      </c>
      <c r="K19" s="23">
        <f>Tabela5[[#This Row],[COMPROMISSO]]-Tabela5[[#This Row],[ATINGIDO]]</f>
        <v>7970.2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49</v>
      </c>
      <c r="W19" s="19">
        <f t="shared" si="0"/>
        <v>12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193562.72000000015</v>
      </c>
      <c r="E20" s="27">
        <f>Tabela13[[#This Row],[META A]]-Tabela13[[#This Row],[ATINGIDO]]</f>
        <v>366437.27999999985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11500</v>
      </c>
      <c r="J20" s="22">
        <f>_xlfn.XLOOKUP(Tabela5[[#This Row],[VENDEDOR]],'[1]BASE PYTHON'!$H:$H,'[1]BASE PYTHON'!$I:$I,0)</f>
        <v>5399.95</v>
      </c>
      <c r="K20" s="23">
        <f>Tabela5[[#This Row],[COMPROMISSO]]-Tabela5[[#This Row],[ATINGIDO]]</f>
        <v>6100.05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19</v>
      </c>
      <c r="W20" s="19">
        <f t="shared" si="0"/>
        <v>20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208911.12</v>
      </c>
      <c r="E21" s="24">
        <f>Tabela13[[#This Row],[META A]]-Tabela13[[#This Row],[ATINGIDO]]</f>
        <v>206088.88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5500</v>
      </c>
      <c r="J21" s="22">
        <f>_xlfn.XLOOKUP(Tabela5[[#This Row],[VENDEDOR]],'[1]BASE PYTHON'!$H:$H,'[1]BASE PYTHON'!$I:$I,0)</f>
        <v>1699</v>
      </c>
      <c r="K21" s="23">
        <f>Tabela5[[#This Row],[COMPROMISSO]]-Tabela5[[#This Row],[ATINGIDO]]</f>
        <v>3801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266634.81999999983</v>
      </c>
      <c r="Q21" s="7">
        <f>O21-P21</f>
        <v>104956.08909090929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52276.960000000014</v>
      </c>
      <c r="E22" s="27">
        <f>Tabela13[[#This Row],[META A]]-Tabela13[[#This Row],[ATINGIDO]]</f>
        <v>69723.039999999979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4000</v>
      </c>
      <c r="J22" s="22">
        <f>_xlfn.XLOOKUP(Tabela5[[#This Row],[VENDEDOR]],'[1]BASE PYTHON'!$H:$H,'[1]BASE PYTHON'!$I:$I,0)</f>
        <v>913.27</v>
      </c>
      <c r="K22" s="23">
        <f>Tabela5[[#This Row],[COMPROMISSO]]-Tabela5[[#This Row],[ATINGIDO]]</f>
        <v>3086.73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519801.59000000026</v>
      </c>
      <c r="Q22" s="7">
        <f>O22-P22</f>
        <v>-24347.044545454788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22</v>
      </c>
      <c r="W22" s="19">
        <f t="shared" si="2"/>
        <v>18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92187.919999999882</v>
      </c>
      <c r="E23" s="24">
        <f>Tabela13[[#This Row],[META A]]-Tabela13[[#This Row],[ATINGIDO]]</f>
        <v>102812.08000000012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5500</v>
      </c>
      <c r="J23" s="22">
        <f>_xlfn.XLOOKUP(Tabela5[[#This Row],[VENDEDOR]],'[1]BASE PYTHON'!$H:$H,'[1]BASE PYTHON'!$I:$I,0)</f>
        <v>1325.15</v>
      </c>
      <c r="K23" s="23">
        <f>Tabela5[[#This Row],[COMPROMISSO]]-Tabela5[[#This Row],[ATINGIDO]]</f>
        <v>4174.8500000000004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522690.31</v>
      </c>
      <c r="Q23" s="7">
        <f>O23-P23</f>
        <v>96627.871818181884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67671.900000000009</v>
      </c>
      <c r="E24" s="27">
        <f>Tabela13[[#This Row],[META A]]-Tabela13[[#This Row],[ATINGIDO]]</f>
        <v>72328.099999999991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2193.2399999999998</v>
      </c>
      <c r="K24" s="23">
        <f>Tabela5[[#This Row],[COMPROMISSO]]-Tabela5[[#This Row],[ATINGIDO]]</f>
        <v>2506.7600000000002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19</v>
      </c>
      <c r="W24" s="19">
        <f t="shared" si="2"/>
        <v>18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59295.710000000094</v>
      </c>
      <c r="E25" s="24">
        <f>Tabela13[[#This Row],[META A]]-Tabela13[[#This Row],[ATINGIDO]]</f>
        <v>83204.289999999906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6080</v>
      </c>
      <c r="J25" s="22">
        <f>_xlfn.XLOOKUP(Tabela5[[#This Row],[VENDEDOR]],'[1]BASE PYTHON'!$H:$H,'[1]BASE PYTHON'!$I:$I,0)</f>
        <v>1462.54</v>
      </c>
      <c r="K25" s="23">
        <f>Tabela5[[#This Row],[COMPROMISSO]]-Tabela5[[#This Row],[ATINGIDO]]</f>
        <v>4617.46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25</v>
      </c>
      <c r="W25" s="19">
        <f t="shared" si="2"/>
        <v>26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35615.780000000057</v>
      </c>
      <c r="E26" s="27">
        <f>Tabela13[[#This Row],[META A]]-Tabela13[[#This Row],[ATINGIDO]]</f>
        <v>54384.219999999943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5500</v>
      </c>
      <c r="J26" s="22">
        <f>_xlfn.XLOOKUP(Tabela5[[#This Row],[VENDEDOR]],'[1]BASE PYTHON'!$H:$H,'[1]BASE PYTHON'!$I:$I,0)</f>
        <v>529.79999999999995</v>
      </c>
      <c r="K26" s="23">
        <f>Tabela5[[#This Row],[COMPROMISSO]]-Tabela5[[#This Row],[ATINGIDO]]</f>
        <v>4970.2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131431.81999999983</v>
      </c>
      <c r="E27" s="24">
        <f>Tabela13[[#This Row],[META A]]-Tabela13[[#This Row],[ATINGIDO]]</f>
        <v>106068.18000000017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6320</v>
      </c>
      <c r="J27" s="22">
        <f>_xlfn.XLOOKUP(Tabela5[[#This Row],[VENDEDOR]],'[1]BASE PYTHON'!$H:$H,'[1]BASE PYTHON'!$I:$I,0)</f>
        <v>2023.62</v>
      </c>
      <c r="K27" s="23">
        <f>Tabela5[[#This Row],[COMPROMISSO]]-Tabela5[[#This Row],[ATINGIDO]]</f>
        <v>4296.38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178715.14000000004</v>
      </c>
      <c r="E28" s="27">
        <f>Tabela13[[#This Row],[META A]]-Tabela13[[#This Row],[ATINGIDO]]</f>
        <v>139784.85999999996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60082.260000000017</v>
      </c>
      <c r="E29" s="24">
        <f>Tabela13[[#This Row],[META A]]-Tabela13[[#This Row],[ATINGIDO]]</f>
        <v>114917.73999999999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69584.389999999956</v>
      </c>
      <c r="E30" s="27">
        <f>Tabela13[[#This Row],[META A]]-Tabela13[[#This Row],[ATINGIDO]]</f>
        <v>64915.610000000044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84980.229999999967</v>
      </c>
      <c r="E31" s="24">
        <f>Tabela13[[#This Row],[META A]]-Tabela13[[#This Row],[ATINGIDO]]</f>
        <v>82019.770000000033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256617.49999999983</v>
      </c>
      <c r="K31" s="7">
        <f>I31-J31</f>
        <v>134132.50000000017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134773.89999999985</v>
      </c>
      <c r="E32" s="27">
        <f>Tabela13[[#This Row],[META A]]-Tabela13[[#This Row],[ATINGIDO]]</f>
        <v>125226.10000000015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501687.34000000305</v>
      </c>
      <c r="K32" s="7">
        <f t="shared" ref="K32:K34" si="4">I32-J32</f>
        <v>19312.659999996948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171</v>
      </c>
      <c r="W32" s="6">
        <f t="shared" si="3"/>
        <v>1.2727272727272521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45921.020000000055</v>
      </c>
      <c r="E33" s="24">
        <f>Tabela13[[#This Row],[META A]]-Tabela13[[#This Row],[ATINGIDO]]</f>
        <v>54078.979999999945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598267.65000000386</v>
      </c>
      <c r="K33" s="7">
        <f t="shared" si="4"/>
        <v>52982.349999996135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22385.670000000002</v>
      </c>
      <c r="E34" s="27">
        <f>Tabela13[[#This Row],[META A]]-Tabela13[[#This Row],[ATINGIDO]]</f>
        <v>32614.329999999998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39650.000000000015</v>
      </c>
      <c r="E35" s="24">
        <f>Tabela13[[#This Row],[META A]]-Tabela13[[#This Row],[ATINGIDO]]</f>
        <v>33349.999999999985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828.94</v>
      </c>
      <c r="E36" s="24">
        <f>Tabela13[[#This Row],[META A]]-Tabela13[[#This Row],[ATINGIDO]]</f>
        <v>171.05999999999995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1103755.3899999959</v>
      </c>
      <c r="E41" s="7">
        <f t="shared" ref="E41:E43" si="5">C41-D41</f>
        <v>-582755.38999999594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1169510.229999996</v>
      </c>
      <c r="E42" s="7">
        <f t="shared" si="5"/>
        <v>-518260.22999999602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0</v>
      </c>
      <c r="E43" s="7">
        <f t="shared" si="5"/>
        <v>651250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2026-07-17T13:54:34Z</dcterms:modified>
</cp:coreProperties>
</file>