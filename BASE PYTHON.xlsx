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2308E18-A2B8-471F-BBB6-97D6EC8FD7B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C38" i="2" l="1" a="1"/>
  <c r="C38" i="2" s="1"/>
  <c r="D35" i="2" l="1"/>
  <c r="J10" i="2"/>
  <c r="U5" i="2" l="1"/>
  <c r="P17" i="2"/>
  <c r="P16" i="2"/>
  <c r="P15" i="2"/>
  <c r="P14" i="2"/>
  <c r="P13" i="2"/>
  <c r="P12" i="2"/>
  <c r="P11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0" i="2" a="1"/>
  <c r="C40" i="2" s="1"/>
  <c r="C41" i="2" a="1"/>
  <c r="C41" i="2" s="1"/>
  <c r="U29" i="2" a="1"/>
  <c r="U29" i="2" s="1"/>
  <c r="O16" i="2" a="1"/>
  <c r="O16" i="2" s="1"/>
  <c r="I33" i="2" a="1"/>
  <c r="I33" i="2" s="1"/>
  <c r="I30" i="2" a="1"/>
  <c r="I30" i="2" s="1"/>
  <c r="O17" i="2" a="1"/>
  <c r="O17" i="2" s="1"/>
  <c r="U30" i="2" a="1"/>
  <c r="U30" i="2" s="1"/>
  <c r="C39" i="2" a="1"/>
  <c r="C39" i="2" s="1"/>
  <c r="U32" i="2" a="1"/>
  <c r="U32" i="2" s="1"/>
  <c r="I32" i="2" a="1"/>
  <c r="I32" i="2" s="1"/>
  <c r="U31" i="2" a="1"/>
  <c r="U31" i="2" s="1"/>
  <c r="I31" i="2" a="1"/>
  <c r="I31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J30" i="2"/>
  <c r="J31" i="2"/>
  <c r="D39" i="2"/>
  <c r="V32" i="2"/>
  <c r="V30" i="2"/>
  <c r="P22" i="2"/>
  <c r="P23" i="2"/>
  <c r="V29" i="2"/>
  <c r="J33" i="2"/>
  <c r="P20" i="2"/>
  <c r="D41" i="2"/>
  <c r="V31" i="2"/>
  <c r="J32" i="2"/>
  <c r="P21" i="2"/>
  <c r="D40" i="2"/>
  <c r="D38" i="2"/>
  <c r="C5" i="2" l="1"/>
  <c r="E38" i="2"/>
  <c r="W30" i="2"/>
  <c r="W31" i="2"/>
  <c r="W29" i="2"/>
  <c r="I5" i="2"/>
  <c r="U4" i="2"/>
  <c r="U6" i="2" s="1"/>
  <c r="O5" i="2"/>
  <c r="O4" i="2"/>
  <c r="C4" i="2"/>
  <c r="W32" i="2"/>
  <c r="K33" i="2"/>
  <c r="K31" i="2"/>
  <c r="K32" i="2"/>
  <c r="E40" i="2"/>
  <c r="E41" i="2"/>
  <c r="K30" i="2"/>
  <c r="W18" i="2"/>
  <c r="O7" i="2" l="1"/>
  <c r="C7" i="2"/>
  <c r="U7" i="2"/>
  <c r="O6" i="2"/>
  <c r="C6" i="2"/>
  <c r="E35" i="2"/>
  <c r="W19" i="2" l="1"/>
  <c r="W23" i="2"/>
  <c r="W11" i="2"/>
  <c r="W12" i="2"/>
  <c r="W22" i="2"/>
  <c r="W21" i="2"/>
  <c r="W25" i="2"/>
  <c r="W24" i="2"/>
  <c r="W15" i="2"/>
  <c r="W26" i="2"/>
  <c r="W17" i="2"/>
  <c r="W20" i="2"/>
  <c r="W13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10" i="2"/>
  <c r="Q12" i="2" l="1"/>
  <c r="Q13" i="2"/>
  <c r="Q14" i="2"/>
  <c r="Q15" i="2"/>
  <c r="Q16" i="2"/>
  <c r="Q17" i="2"/>
  <c r="Q11" i="2" l="1"/>
  <c r="E39" i="2" l="1"/>
  <c r="K25" i="2" l="1"/>
  <c r="K26" i="2"/>
  <c r="K20" i="2"/>
  <c r="K16" i="2"/>
  <c r="K12" i="2"/>
  <c r="K15" i="2"/>
  <c r="K14" i="2"/>
  <c r="K22" i="2"/>
  <c r="K19" i="2"/>
  <c r="K18" i="2"/>
  <c r="K13" i="2"/>
  <c r="K11" i="2"/>
  <c r="K21" i="2"/>
  <c r="K24" i="2"/>
  <c r="K23" i="2"/>
  <c r="K17" i="2"/>
  <c r="K27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6-2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<sst xmlns="http://schemas.openxmlformats.org/spreadsheetml/2006/main" count="209" uniqueCount="53">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</sst>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25/06/2026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(vazio)</v>
          </cell>
          <cell r="F5">
            <v>0</v>
          </cell>
          <cell r="H5" t="str">
            <v>CAMPINAS</v>
          </cell>
          <cell r="I5">
            <v>510.9</v>
          </cell>
        </row>
        <row r="6">
          <cell r="E6" t="str">
            <v>CAMPINAS</v>
          </cell>
          <cell r="F6">
            <v>52841.079999999987</v>
          </cell>
          <cell r="H6" t="str">
            <v>CENTRO</v>
          </cell>
          <cell r="I6">
            <v>7483.76</v>
          </cell>
          <cell r="K6" t="str">
            <v>Contagem Distinta de COD_CLIENTE</v>
          </cell>
        </row>
        <row r="7">
          <cell r="E7" t="str">
            <v>CENTRO</v>
          </cell>
          <cell r="F7">
            <v>297627.2399999997</v>
          </cell>
          <cell r="H7" t="str">
            <v>INDAIATUBA</v>
          </cell>
          <cell r="I7">
            <v>2872.65</v>
          </cell>
          <cell r="K7" t="str">
            <v>Rótulos de Linha</v>
          </cell>
        </row>
        <row r="8">
          <cell r="E8" t="str">
            <v>ECOMMERCE</v>
          </cell>
          <cell r="F8">
            <v>1237.53</v>
          </cell>
          <cell r="H8" t="str">
            <v>INTERLAGOS</v>
          </cell>
          <cell r="I8">
            <v>17938.599999999995</v>
          </cell>
          <cell r="K8" t="str">
            <v>CAMPINAS</v>
          </cell>
        </row>
        <row r="9">
          <cell r="E9" t="str">
            <v>INDAIATUBA</v>
          </cell>
          <cell r="F9">
            <v>77213.75999999982</v>
          </cell>
          <cell r="H9" t="str">
            <v>JUNDIAI</v>
          </cell>
          <cell r="I9">
            <v>4099</v>
          </cell>
          <cell r="K9" t="str">
            <v>CENTRO</v>
          </cell>
        </row>
        <row r="10">
          <cell r="E10" t="str">
            <v>INTERLAGOS</v>
          </cell>
          <cell r="F10">
            <v>236353.43999999954</v>
          </cell>
          <cell r="H10" t="str">
            <v>LESTE</v>
          </cell>
          <cell r="I10">
            <v>2848.92</v>
          </cell>
          <cell r="K10" t="str">
            <v>INDAIATUBA</v>
          </cell>
        </row>
        <row r="11">
          <cell r="E11" t="str">
            <v>JUNDIAI</v>
          </cell>
          <cell r="F11">
            <v>66356.810000000027</v>
          </cell>
          <cell r="H11" t="str">
            <v>LESTE MOOCA</v>
          </cell>
          <cell r="I11">
            <v>5896.35</v>
          </cell>
          <cell r="K11" t="str">
            <v>INTERLAGOS</v>
          </cell>
        </row>
        <row r="12">
          <cell r="E12" t="str">
            <v>KEY ABC</v>
          </cell>
          <cell r="F12">
            <v>258678.93</v>
          </cell>
          <cell r="H12" t="str">
            <v>LESTE PENHA</v>
          </cell>
          <cell r="I12">
            <v>1610.95</v>
          </cell>
          <cell r="K12" t="str">
            <v>JUNDIAI</v>
          </cell>
        </row>
        <row r="13">
          <cell r="E13" t="str">
            <v>KEY CASA</v>
          </cell>
          <cell r="F13">
            <v>239000.78999999995</v>
          </cell>
          <cell r="H13" t="str">
            <v>LESTE TATUAPE</v>
          </cell>
          <cell r="I13">
            <v>4573.8999999999996</v>
          </cell>
          <cell r="K13" t="str">
            <v>LESTE</v>
          </cell>
        </row>
        <row r="14">
          <cell r="E14" t="str">
            <v>KEY INTERIOR</v>
          </cell>
          <cell r="F14">
            <v>779822.08000000007</v>
          </cell>
          <cell r="H14" t="str">
            <v>MOGI</v>
          </cell>
          <cell r="I14">
            <v>2509.0800000000004</v>
          </cell>
          <cell r="K14" t="str">
            <v>LESTE MOOCA</v>
          </cell>
        </row>
        <row r="15">
          <cell r="E15" t="str">
            <v>KEY SJC</v>
          </cell>
          <cell r="F15">
            <v>111572.95000000007</v>
          </cell>
          <cell r="H15" t="str">
            <v>NORTE</v>
          </cell>
          <cell r="I15">
            <v>13421.870000000006</v>
          </cell>
          <cell r="K15" t="str">
            <v>LESTE PENHA</v>
          </cell>
        </row>
        <row r="16">
          <cell r="E16" t="str">
            <v>KEY SP</v>
          </cell>
          <cell r="F16">
            <v>531685.79000000039</v>
          </cell>
          <cell r="H16" t="str">
            <v>OSASCO</v>
          </cell>
          <cell r="I16">
            <v>8801.0499999999993</v>
          </cell>
          <cell r="K16" t="str">
            <v>LESTE TATUAPE</v>
          </cell>
        </row>
        <row r="17">
          <cell r="E17" t="str">
            <v>KEY ZL</v>
          </cell>
          <cell r="F17">
            <v>389719.22000000038</v>
          </cell>
          <cell r="H17" t="str">
            <v>PIRITUBA</v>
          </cell>
          <cell r="I17">
            <v>4171.75</v>
          </cell>
          <cell r="K17" t="str">
            <v>MOGI</v>
          </cell>
        </row>
        <row r="18">
          <cell r="E18" t="str">
            <v>LESTE</v>
          </cell>
          <cell r="F18">
            <v>115679.6399999998</v>
          </cell>
          <cell r="H18" t="str">
            <v>SANTO ANDRE</v>
          </cell>
          <cell r="I18">
            <v>3062.47</v>
          </cell>
          <cell r="K18" t="str">
            <v>NORTE</v>
          </cell>
        </row>
        <row r="19">
          <cell r="E19" t="str">
            <v>LESTE MOOCA</v>
          </cell>
          <cell r="F19">
            <v>179836.22999999972</v>
          </cell>
          <cell r="H19" t="str">
            <v>SBC</v>
          </cell>
          <cell r="I19">
            <v>11167.14</v>
          </cell>
          <cell r="K19" t="str">
            <v>OSASCO</v>
          </cell>
        </row>
        <row r="20">
          <cell r="E20" t="str">
            <v>LESTE PENHA</v>
          </cell>
          <cell r="F20">
            <v>113177.64999999991</v>
          </cell>
          <cell r="H20" t="str">
            <v>SJC</v>
          </cell>
          <cell r="I20">
            <v>1172.0600000000002</v>
          </cell>
          <cell r="K20" t="str">
            <v>PIRITUBA</v>
          </cell>
        </row>
        <row r="21">
          <cell r="E21" t="str">
            <v>LESTE TATUAPE</v>
          </cell>
          <cell r="F21">
            <v>111494.7899999996</v>
          </cell>
          <cell r="H21" t="str">
            <v>SJC/VALE</v>
          </cell>
          <cell r="I21">
            <v>2387.7000000000007</v>
          </cell>
          <cell r="K21" t="str">
            <v>SANTO ANDRE</v>
          </cell>
        </row>
        <row r="22">
          <cell r="E22" t="str">
            <v>MOGI</v>
          </cell>
          <cell r="F22">
            <v>58166.910000000113</v>
          </cell>
          <cell r="H22" t="str">
            <v>VENDEDOR INTERNO 1</v>
          </cell>
          <cell r="I22">
            <v>5396.91</v>
          </cell>
          <cell r="K22" t="str">
            <v>SBC</v>
          </cell>
        </row>
        <row r="23">
          <cell r="E23" t="str">
            <v>NORTE</v>
          </cell>
          <cell r="F23">
            <v>210407.45999999944</v>
          </cell>
          <cell r="H23" t="str">
            <v>Total Geral</v>
          </cell>
          <cell r="I23">
            <v>99925.060000000012</v>
          </cell>
          <cell r="K23" t="str">
            <v>SJC</v>
          </cell>
        </row>
        <row r="24">
          <cell r="E24" t="str">
            <v>OSASCO</v>
          </cell>
          <cell r="F24">
            <v>297412.17000000016</v>
          </cell>
          <cell r="K24" t="str">
            <v>SJC/VALE</v>
          </cell>
        </row>
        <row r="25">
          <cell r="E25" t="str">
            <v>PIRACICABA</v>
          </cell>
          <cell r="F25">
            <v>155370.25999999998</v>
          </cell>
          <cell r="K25" t="str">
            <v>Total Geral</v>
          </cell>
        </row>
        <row r="26">
          <cell r="E26" t="str">
            <v>PIRITUBA</v>
          </cell>
          <cell r="F26">
            <v>122958.22999999979</v>
          </cell>
        </row>
        <row r="27">
          <cell r="E27" t="str">
            <v>SANTO ANDRE</v>
          </cell>
          <cell r="F27">
            <v>142794.87999999989</v>
          </cell>
        </row>
        <row r="28">
          <cell r="E28" t="str">
            <v>SBC</v>
          </cell>
          <cell r="F28">
            <v>255366.7399999997</v>
          </cell>
        </row>
        <row r="29">
          <cell r="E29" t="str">
            <v>SJC</v>
          </cell>
          <cell r="F29">
            <v>69502.410000000033</v>
          </cell>
        </row>
        <row r="30">
          <cell r="E30" t="str">
            <v>SJC/VALE</v>
          </cell>
          <cell r="F30">
            <v>47169.730000000069</v>
          </cell>
        </row>
        <row r="31">
          <cell r="E31" t="str">
            <v>VENDEDOR INTERNO 1</v>
          </cell>
          <cell r="F31">
            <v>72817.384999999951</v>
          </cell>
        </row>
        <row r="32">
          <cell r="E32" t="str">
            <v>Total Geral</v>
          </cell>
          <cell r="F32">
            <v>4994264.1049999278</v>
          </cell>
          <cell r="P32" t="str">
            <v>Soma de TOTAL</v>
          </cell>
        </row>
        <row r="34">
          <cell r="P34" t="str">
            <v>KEY ABC</v>
          </cell>
          <cell r="R34">
            <v>72929.350000000006</v>
          </cell>
        </row>
        <row r="35">
          <cell r="P35" t="str">
            <v>KEY CASA</v>
          </cell>
          <cell r="R35">
            <v>49116.749999999993</v>
          </cell>
        </row>
        <row r="36">
          <cell r="P36" t="str">
            <v>KEY INTERIOR</v>
          </cell>
          <cell r="R36">
            <v>216157.5</v>
          </cell>
        </row>
        <row r="37">
          <cell r="P37" t="str">
            <v>KEY SJC</v>
          </cell>
          <cell r="R37">
            <v>25347.399999999994</v>
          </cell>
        </row>
        <row r="38">
          <cell r="P38" t="str">
            <v>KEY SP</v>
          </cell>
          <cell r="R38">
            <v>113281.61999999997</v>
          </cell>
        </row>
        <row r="39">
          <cell r="P39" t="str">
            <v>KEY ZL</v>
          </cell>
          <cell r="R39">
            <v>154624.23999999993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57</v>
          </cell>
        </row>
        <row r="64">
          <cell r="A64" t="str">
            <v>NORTE</v>
          </cell>
          <cell r="B64">
            <v>41</v>
          </cell>
        </row>
        <row r="65">
          <cell r="A65" t="str">
            <v>PIRITUBA</v>
          </cell>
          <cell r="B65">
            <v>40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47</v>
          </cell>
        </row>
        <row r="68">
          <cell r="A68" t="str">
            <v>CENTRO</v>
          </cell>
          <cell r="B68">
            <v>52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44</v>
          </cell>
        </row>
        <row r="72">
          <cell r="A72" t="str">
            <v>LESTE MOOCA</v>
          </cell>
          <cell r="B72">
            <v>45</v>
          </cell>
        </row>
        <row r="73">
          <cell r="A73" t="str">
            <v>INTERLAGOS</v>
          </cell>
          <cell r="B73">
            <v>55</v>
          </cell>
        </row>
        <row r="74">
          <cell r="A74" t="str">
            <v>JUNDIAI</v>
          </cell>
          <cell r="B74">
            <v>23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37</v>
          </cell>
        </row>
        <row r="77">
          <cell r="A77" t="str">
            <v>SJC</v>
          </cell>
          <cell r="B77">
            <v>33</v>
          </cell>
        </row>
        <row r="78">
          <cell r="A78" t="str">
            <v>SJC/VALE</v>
          </cell>
          <cell r="B78">
            <v>31</v>
          </cell>
        </row>
        <row r="79">
          <cell r="A79" t="str">
            <v>CAMPINAS</v>
          </cell>
          <cell r="B79">
            <v>36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5" totalsRowShown="0" headerRowDxfId="65" dataDxfId="64">
  <autoFilter ref="A9:E35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7:E41" totalsRowShown="0" headerRowDxfId="58" dataDxfId="57">
  <autoFilter ref="B37:E41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IFERROR(_xlfn.XLOOKUP(B38,[1]!Tabela7[[#All],[Coluna1]],[1]!Tabela7[[#All],[Coluna2]]),0)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C38-D38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7" totalsRowShown="0" headerRowDxfId="47" dataDxfId="46">
  <autoFilter ref="G9:K27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29:K33" totalsRowShown="0" headerRowDxfId="40" dataDxfId="39">
  <autoFilter ref="H29:K33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IFERROR(_xlfn.XLOOKUP(H30,[1]!Tabela9[[#All],[Coluna1]],[1]!Tabela9[[#All],[Coluna2]]),0)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I30-J30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6" totalsRowShown="0" headerRowDxfId="12" dataDxfId="11">
  <autoFilter ref="S9:W26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6">
    <sortCondition ref="T10:T26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8:W32" totalsRowShown="0" headerRowDxfId="5" dataDxfId="4">
  <autoFilter ref="T28:W32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IFERROR(_xlfn.XLOOKUP(T29,[1]!Tabela11[[#All],[Coluna1]],[1]!Tabela11[[#All],[Coluna2]]),0)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U29-V29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E26" sqref="E26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50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5507000</v>
      </c>
      <c r="D4" s="2"/>
      <c r="E4" s="4"/>
      <c r="F4" s="4"/>
      <c r="G4" s="4"/>
      <c r="H4" s="4" t="s">
        <v>0</v>
      </c>
      <c r="I4" s="7">
        <f>SUM(I10:I27)</f>
        <v>150020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706</v>
      </c>
      <c r="V4" s="4"/>
      <c r="W4" s="4"/>
    </row>
    <row r="5" spans="1:23" x14ac:dyDescent="0.25">
      <c r="A5" s="4"/>
      <c r="B5" s="4" t="s">
        <v>1</v>
      </c>
      <c r="C5" s="2">
        <f>SUM(D10:D35)</f>
        <v>4994264.1049999977</v>
      </c>
      <c r="D5" s="2"/>
      <c r="E5" s="4"/>
      <c r="F5" s="4"/>
      <c r="G5" s="4"/>
      <c r="H5" s="4" t="s">
        <v>1</v>
      </c>
      <c r="I5" s="7">
        <f>SUM(J10:J27)</f>
        <v>99925.059999999983</v>
      </c>
      <c r="J5" s="4"/>
      <c r="K5" s="4"/>
      <c r="L5" s="4"/>
      <c r="M5" s="4"/>
      <c r="N5" s="4" t="s">
        <v>1</v>
      </c>
      <c r="O5" s="7">
        <f>SUM(P11:P17)</f>
        <v>631456.86</v>
      </c>
      <c r="P5" s="4"/>
      <c r="Q5" s="4"/>
      <c r="R5" s="4"/>
      <c r="S5" s="4"/>
      <c r="T5" s="4" t="s">
        <v>1</v>
      </c>
      <c r="U5" s="4">
        <f>SUM(Tabela11[ATINGIDO])</f>
        <v>0</v>
      </c>
      <c r="V5" s="4"/>
      <c r="W5" s="4"/>
    </row>
    <row r="6" spans="1:23" x14ac:dyDescent="0.25">
      <c r="A6" s="4"/>
      <c r="B6" s="4" t="s">
        <v>2</v>
      </c>
      <c r="C6" s="2">
        <f>C4-C5</f>
        <v>512735.89500000235</v>
      </c>
      <c r="D6" s="2"/>
      <c r="E6" s="4"/>
      <c r="F6" s="4"/>
      <c r="G6" s="4"/>
      <c r="H6" s="4" t="s">
        <v>2</v>
      </c>
      <c r="I6" s="7">
        <f>I4-I5</f>
        <v>50094.940000000017</v>
      </c>
      <c r="J6" s="4"/>
      <c r="K6" s="4"/>
      <c r="L6" s="4"/>
      <c r="M6" s="4"/>
      <c r="N6" s="4" t="s">
        <v>2</v>
      </c>
      <c r="O6" s="7">
        <f>O4-O5</f>
        <v>-631456.86</v>
      </c>
      <c r="P6" s="4"/>
      <c r="Q6" s="4"/>
      <c r="R6" s="4"/>
      <c r="S6" s="4"/>
      <c r="T6" s="4" t="s">
        <v>2</v>
      </c>
      <c r="U6" s="4">
        <f>U4-U5</f>
        <v>706</v>
      </c>
      <c r="V6" s="4"/>
      <c r="W6" s="4"/>
    </row>
    <row r="7" spans="1:23" x14ac:dyDescent="0.25">
      <c r="A7" s="4"/>
      <c r="B7" s="4" t="s">
        <v>3</v>
      </c>
      <c r="C7" s="3">
        <f>C5/C4</f>
        <v>0.90689379063010667</v>
      </c>
      <c r="D7" s="2"/>
      <c r="E7" s="4"/>
      <c r="F7" s="4"/>
      <c r="G7" s="4"/>
      <c r="H7" s="4" t="s">
        <v>3</v>
      </c>
      <c r="I7" s="3">
        <f>I5/I4</f>
        <v>0.66607825623250227</v>
      </c>
      <c r="J7" s="4"/>
      <c r="K7" s="4"/>
      <c r="L7" s="4"/>
      <c r="M7" s="4"/>
      <c r="N7" s="4" t="s">
        <v>3</v>
      </c>
      <c r="O7" s="3" t="e">
        <f>O5/O4</f>
        <v>#DIV/0!</v>
      </c>
      <c r="P7" s="4"/>
      <c r="Q7" s="4"/>
      <c r="R7" s="4"/>
      <c r="S7" s="4"/>
      <c r="T7" s="4" t="s">
        <v>3</v>
      </c>
      <c r="U7" s="3">
        <f>U5/U4</f>
        <v>0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46</v>
      </c>
      <c r="B9" s="4" t="s">
        <v>5</v>
      </c>
      <c r="C9" s="2" t="s">
        <v>33</v>
      </c>
      <c r="D9" s="2" t="s">
        <v>1</v>
      </c>
      <c r="E9" s="4" t="s">
        <v>2</v>
      </c>
      <c r="F9" s="4"/>
      <c r="G9" s="4" t="s">
        <v>46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52</v>
      </c>
      <c r="P9" s="4"/>
      <c r="Q9" s="4"/>
      <c r="R9" s="4"/>
      <c r="S9" s="4" t="s">
        <v>47</v>
      </c>
      <c r="T9" s="4" t="s">
        <v>5</v>
      </c>
      <c r="U9" s="4" t="s">
        <v>33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52841.079999999987</v>
      </c>
      <c r="E10" s="7">
        <f>C10-D10</f>
        <v>11658.920000000013</v>
      </c>
      <c r="F10" s="4"/>
      <c r="G10" s="4" t="s">
        <v>18</v>
      </c>
      <c r="H10" s="4" t="s">
        <v>18</v>
      </c>
      <c r="I10" s="2">
        <f>_xlfn.XLOOKUP(G10,[1]!Tabela1[VENDEDOR],[1]!Tabela1[VALOR])</f>
        <v>14620</v>
      </c>
      <c r="J10" s="2">
        <f>IFERROR(_xlfn.XLOOKUP(G10,'[1]BASE PYTHON'!$H:$H,'[1]BASE PYTHON'!$I:$I),0)</f>
        <v>8801.0499999999993</v>
      </c>
      <c r="K10" s="7">
        <f>I10-J10</f>
        <v>5818.9500000000007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36</v>
      </c>
      <c r="V10" s="4">
        <f>IFERROR(_xlfn.XLOOKUP(S10,'[1]BASE PYTHON'!$K:$K,'[1]BASE PYTHON'!$N:$N),0)</f>
        <v>0</v>
      </c>
      <c r="W10" s="4">
        <f>U10-V10</f>
        <v>36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320000</v>
      </c>
      <c r="D11" s="2">
        <f>IFERROR(_xlfn.XLOOKUP(A11,'[1]BASE PYTHON'!$E:$E,'[1]BASE PYTHON'!$F:$F),0)</f>
        <v>297627.2399999997</v>
      </c>
      <c r="E11" s="7">
        <f t="shared" ref="E11:E35" si="0">C11-D11</f>
        <v>22372.7600000003</v>
      </c>
      <c r="F11" s="4"/>
      <c r="G11" s="4" t="s">
        <v>17</v>
      </c>
      <c r="H11" s="4" t="s">
        <v>17</v>
      </c>
      <c r="I11" s="2">
        <f>_xlfn.XLOOKUP(G11,[1]!Tabela1[VENDEDOR],[1]!Tabela1[VALOR])</f>
        <v>17000</v>
      </c>
      <c r="J11" s="2">
        <f>IFERROR(_xlfn.XLOOKUP(G11,'[1]BASE PYTHON'!$H:$H,'[1]BASE PYTHON'!$I:$I),0)</f>
        <v>13421.870000000006</v>
      </c>
      <c r="K11" s="7">
        <f t="shared" ref="K11:K27" si="1">I11-J11</f>
        <v>3578.1299999999937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72929.350000000006</v>
      </c>
      <c r="Q11" s="2">
        <f t="shared" ref="Q11:Q17" si="2">O11-P11</f>
        <v>-72929.350000000006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52</v>
      </c>
      <c r="V11" s="4">
        <f>IFERROR(_xlfn.XLOOKUP(S11,'[1]BASE PYTHON'!$K:$K,'[1]BASE PYTHON'!$N:$N),0)</f>
        <v>0</v>
      </c>
      <c r="W11" s="4">
        <f t="shared" ref="W11:W26" si="3">U11-V11</f>
        <v>52</v>
      </c>
    </row>
    <row r="12" spans="1:23" x14ac:dyDescent="0.25">
      <c r="A12" s="4" t="s">
        <v>39</v>
      </c>
      <c r="B12" s="4" t="s">
        <v>39</v>
      </c>
      <c r="C12" s="2">
        <f>_xlfn.XLOOKUP(A12,[1]!Tabela4[VENDEDOR],[1]!Tabela4[META A])</f>
        <v>1000</v>
      </c>
      <c r="D12" s="2">
        <f>IFERROR(_xlfn.XLOOKUP(A12,'[1]BASE PYTHON'!$E:$E,'[1]BASE PYTHON'!$F:$F),0)</f>
        <v>1237.53</v>
      </c>
      <c r="E12" s="7">
        <f t="shared" si="0"/>
        <v>-237.52999999999997</v>
      </c>
      <c r="F12" s="4"/>
      <c r="G12" s="4" t="s">
        <v>19</v>
      </c>
      <c r="H12" s="4" t="s">
        <v>19</v>
      </c>
      <c r="I12" s="2">
        <f>_xlfn.XLOOKUP(G12,[1]!Tabela1[VENDEDOR],[1]!Tabela1[VALOR])</f>
        <v>5790</v>
      </c>
      <c r="J12" s="2">
        <f>IFERROR(_xlfn.XLOOKUP(G12,'[1]BASE PYTHON'!$H:$H,'[1]BASE PYTHON'!$I:$I),0)</f>
        <v>4171.75</v>
      </c>
      <c r="K12" s="7">
        <f t="shared" si="1"/>
        <v>1618.25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IFERROR(_xlfn.XLOOKUP(Tabela8[[#This Row],[REFERENCIA]],'[1]BASE PYTHON'!$P$34:$P$39,'[1]BASE PYTHON'!$R$34:$R$39),0)</f>
        <v>0</v>
      </c>
      <c r="Q12" s="2">
        <f t="shared" si="2"/>
        <v>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37</v>
      </c>
      <c r="V12" s="4">
        <f>IFERROR(_xlfn.XLOOKUP(S12,'[1]BASE PYTHON'!$K:$K,'[1]BASE PYTHON'!$N:$N),0)</f>
        <v>0</v>
      </c>
      <c r="W12" s="4">
        <f t="shared" si="3"/>
        <v>37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89000</v>
      </c>
      <c r="D13" s="2">
        <f>IFERROR(_xlfn.XLOOKUP(A13,'[1]BASE PYTHON'!$E:$E,'[1]BASE PYTHON'!$F:$F),0)</f>
        <v>77213.75999999982</v>
      </c>
      <c r="E13" s="7">
        <f t="shared" si="0"/>
        <v>11786.24000000018</v>
      </c>
      <c r="F13" s="4"/>
      <c r="G13" s="4" t="s">
        <v>21</v>
      </c>
      <c r="H13" s="4" t="s">
        <v>21</v>
      </c>
      <c r="I13" s="2">
        <f>_xlfn.XLOOKUP(G13,[1]!Tabela1[VENDEDOR],[1]!Tabela1[VALOR])</f>
        <v>13850</v>
      </c>
      <c r="J13" s="2">
        <f>IFERROR(_xlfn.XLOOKUP(G13,'[1]BASE PYTHON'!$H:$H,'[1]BASE PYTHON'!$I:$I),0)</f>
        <v>11167.14</v>
      </c>
      <c r="K13" s="7">
        <f t="shared" si="1"/>
        <v>2682.8600000000006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IFERROR(_xlfn.XLOOKUP(Tabela8[[#This Row],[REFERENCIA]],'[1]BASE PYTHON'!$P$34:$P$39,'[1]BASE PYTHON'!$R$34:$R$39),0)</f>
        <v>154624.23999999993</v>
      </c>
      <c r="Q13" s="2">
        <f t="shared" si="2"/>
        <v>-154624.23999999993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55</v>
      </c>
      <c r="V13" s="4">
        <f>IFERROR(_xlfn.XLOOKUP(S13,'[1]BASE PYTHON'!$K:$K,'[1]BASE PYTHON'!$N:$N),0)</f>
        <v>0</v>
      </c>
      <c r="W13" s="4">
        <f t="shared" si="3"/>
        <v>55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270000</v>
      </c>
      <c r="D14" s="2">
        <f>IFERROR(_xlfn.XLOOKUP(A14,'[1]BASE PYTHON'!$E:$E,'[1]BASE PYTHON'!$F:$F),0)</f>
        <v>236353.43999999954</v>
      </c>
      <c r="E14" s="7">
        <f t="shared" si="0"/>
        <v>33646.560000000463</v>
      </c>
      <c r="F14" s="4"/>
      <c r="G14" s="4" t="s">
        <v>15</v>
      </c>
      <c r="H14" s="4" t="s">
        <v>43</v>
      </c>
      <c r="I14" s="2">
        <f>_xlfn.XLOOKUP(G14,[1]!Tabela1[VENDEDOR],[1]!Tabela1[VALOR])</f>
        <v>7690</v>
      </c>
      <c r="J14" s="2">
        <f>IFERROR(_xlfn.XLOOKUP(G14,'[1]BASE PYTHON'!$H:$H,'[1]BASE PYTHON'!$I:$I),0)</f>
        <v>4573.8999999999996</v>
      </c>
      <c r="K14" s="7">
        <f t="shared" si="1"/>
        <v>3116.1000000000004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IFERROR(_xlfn.XLOOKUP(Tabela8[[#This Row],[REFERENCIA]],'[1]BASE PYTHON'!$P$34:$P$39,'[1]BASE PYTHON'!$R$34:$R$39),0)</f>
        <v>216157.5</v>
      </c>
      <c r="Q14" s="2">
        <f t="shared" si="2"/>
        <v>-216157.5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23</v>
      </c>
      <c r="V14" s="4">
        <f>IFERROR(_xlfn.XLOOKUP(S14,'[1]BASE PYTHON'!$K:$K,'[1]BASE PYTHON'!$N:$N),0)</f>
        <v>0</v>
      </c>
      <c r="W14" s="4">
        <f>U14-V14</f>
        <v>23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77000</v>
      </c>
      <c r="D15" s="2">
        <f>IFERROR(_xlfn.XLOOKUP(A15,'[1]BASE PYTHON'!$E:$E,'[1]BASE PYTHON'!$F:$F),0)</f>
        <v>66356.810000000027</v>
      </c>
      <c r="E15" s="7">
        <f t="shared" si="0"/>
        <v>10643.189999999973</v>
      </c>
      <c r="F15" s="4"/>
      <c r="G15" s="4" t="s">
        <v>8</v>
      </c>
      <c r="H15" s="4" t="s">
        <v>8</v>
      </c>
      <c r="I15" s="2">
        <f>_xlfn.XLOOKUP(G15,[1]!Tabela1[VENDEDOR],[1]!Tabela1[VALOR])</f>
        <v>18000</v>
      </c>
      <c r="J15" s="2">
        <f>IFERROR(_xlfn.XLOOKUP(G15,'[1]BASE PYTHON'!$H:$H,'[1]BASE PYTHON'!$I:$I),0)</f>
        <v>7483.76</v>
      </c>
      <c r="K15" s="7">
        <f t="shared" si="1"/>
        <v>10516.24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IFERROR(_xlfn.XLOOKUP(Tabela8[[#This Row],[REFERENCIA]],'[1]BASE PYTHON'!$P$34:$P$39,'[1]BASE PYTHON'!$R$34:$R$39),0)</f>
        <v>113281.61999999997</v>
      </c>
      <c r="Q15" s="2">
        <f t="shared" si="2"/>
        <v>-113281.61999999997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44</v>
      </c>
      <c r="V15" s="4">
        <f>IFERROR(_xlfn.XLOOKUP(S15,'[1]BASE PYTHON'!$K:$K,'[1]BASE PYTHON'!$N:$N),0)</f>
        <v>0</v>
      </c>
      <c r="W15" s="4">
        <f t="shared" si="3"/>
        <v>44</v>
      </c>
    </row>
    <row r="16" spans="1:23" x14ac:dyDescent="0.25">
      <c r="A16" s="4" t="s">
        <v>26</v>
      </c>
      <c r="B16" s="4" t="s">
        <v>26</v>
      </c>
      <c r="C16" s="2">
        <f>_xlfn.XLOOKUP(A16,[1]!Tabela4[VENDEDOR],[1]!Tabela4[META A])</f>
        <v>325000</v>
      </c>
      <c r="D16" s="2">
        <f>IFERROR(_xlfn.XLOOKUP(A16,'[1]BASE PYTHON'!$E:$E,'[1]BASE PYTHON'!$F:$F),0)</f>
        <v>258678.93</v>
      </c>
      <c r="E16" s="7">
        <f t="shared" si="0"/>
        <v>66321.070000000007</v>
      </c>
      <c r="F16" s="4"/>
      <c r="G16" s="4" t="s">
        <v>20</v>
      </c>
      <c r="H16" s="4" t="s">
        <v>20</v>
      </c>
      <c r="I16" s="2">
        <f>_xlfn.XLOOKUP(G16,[1]!Tabela1[VENDEDOR],[1]!Tabela1[VALOR])</f>
        <v>7290</v>
      </c>
      <c r="J16" s="2">
        <f>IFERROR(_xlfn.XLOOKUP(G16,'[1]BASE PYTHON'!$H:$H,'[1]BASE PYTHON'!$I:$I),0)</f>
        <v>3062.47</v>
      </c>
      <c r="K16" s="7">
        <f t="shared" si="1"/>
        <v>4227.5300000000007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IFERROR(_xlfn.XLOOKUP(Tabela8[[#This Row],[REFERENCIA]],'[1]BASE PYTHON'!$P$34:$P$39,'[1]BASE PYTHON'!$R$34:$R$39),0)</f>
        <v>25347.399999999994</v>
      </c>
      <c r="Q16" s="2">
        <f t="shared" si="2"/>
        <v>-25347.399999999994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35</v>
      </c>
      <c r="V16" s="4">
        <f>IFERROR(_xlfn.XLOOKUP(S16,'[1]BASE PYTHON'!$K:$K,'[1]BASE PYTHON'!$N:$N),0)</f>
        <v>0</v>
      </c>
      <c r="W16" s="4">
        <f t="shared" si="3"/>
        <v>35</v>
      </c>
    </row>
    <row r="17" spans="1:23" x14ac:dyDescent="0.25">
      <c r="A17" s="4" t="s">
        <v>32</v>
      </c>
      <c r="B17" s="4" t="s">
        <v>32</v>
      </c>
      <c r="C17" s="2">
        <f>_xlfn.XLOOKUP(A17,[1]!Tabela4[VENDEDOR],[1]!Tabela4[META A])</f>
        <v>160000</v>
      </c>
      <c r="D17" s="2">
        <f>IFERROR(_xlfn.XLOOKUP(A17,'[1]BASE PYTHON'!$E:$E,'[1]BASE PYTHON'!$F:$F),0)</f>
        <v>239000.78999999995</v>
      </c>
      <c r="E17" s="7">
        <f t="shared" si="0"/>
        <v>-79000.78999999995</v>
      </c>
      <c r="F17" s="4"/>
      <c r="G17" s="4" t="s">
        <v>16</v>
      </c>
      <c r="H17" s="4" t="s">
        <v>16</v>
      </c>
      <c r="I17" s="2">
        <f>_xlfn.XLOOKUP(G17,[1]!Tabela1[VENDEDOR],[1]!Tabela1[VALOR])</f>
        <v>5920</v>
      </c>
      <c r="J17" s="2">
        <f>IFERROR(_xlfn.XLOOKUP(G17,'[1]BASE PYTHON'!$H:$H,'[1]BASE PYTHON'!$I:$I),0)</f>
        <v>2509.0800000000004</v>
      </c>
      <c r="K17" s="7">
        <f t="shared" si="1"/>
        <v>3410.9199999999996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49116.749999999993</v>
      </c>
      <c r="Q17" s="2">
        <f t="shared" si="2"/>
        <v>-49116.749999999993</v>
      </c>
      <c r="R17" s="2"/>
      <c r="S17" s="4" t="s">
        <v>13</v>
      </c>
      <c r="T17" s="4" t="s">
        <v>41</v>
      </c>
      <c r="U17" s="4">
        <f>_xlfn.XLOOKUP(S17,'[1]BASE PYTHON'!$A$63:$A$80,'[1]BASE PYTHON'!$B$63:$B$80)</f>
        <v>45</v>
      </c>
      <c r="V17" s="4">
        <f>IFERROR(_xlfn.XLOOKUP(S17,'[1]BASE PYTHON'!$K:$K,'[1]BASE PYTHON'!$N:$N),0)</f>
        <v>0</v>
      </c>
      <c r="W17" s="4">
        <f t="shared" si="3"/>
        <v>45</v>
      </c>
    </row>
    <row r="18" spans="1:23" x14ac:dyDescent="0.25">
      <c r="A18" s="4" t="s">
        <v>29</v>
      </c>
      <c r="B18" s="4" t="s">
        <v>29</v>
      </c>
      <c r="C18" s="2">
        <f>_xlfn.XLOOKUP(A18,[1]!Tabela4[VENDEDOR],[1]!Tabela4[META A])</f>
        <v>950000</v>
      </c>
      <c r="D18" s="2">
        <f>IFERROR(_xlfn.XLOOKUP(A18,'[1]BASE PYTHON'!$E:$E,'[1]BASE PYTHON'!$F:$F),0)</f>
        <v>779822.08000000007</v>
      </c>
      <c r="E18" s="7">
        <f t="shared" si="0"/>
        <v>170177.91999999993</v>
      </c>
      <c r="F18" s="4"/>
      <c r="G18" s="4" t="s">
        <v>12</v>
      </c>
      <c r="H18" s="4" t="s">
        <v>12</v>
      </c>
      <c r="I18" s="2">
        <f>_xlfn.XLOOKUP(G18,[1]!Tabela1[VENDEDOR],[1]!Tabela1[VALOR])</f>
        <v>6690</v>
      </c>
      <c r="J18" s="2">
        <f>IFERROR(_xlfn.XLOOKUP(G18,'[1]BASE PYTHON'!$H:$H,'[1]BASE PYTHON'!$I:$I),0)</f>
        <v>2848.92</v>
      </c>
      <c r="K18" s="7">
        <f t="shared" si="1"/>
        <v>3841.08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41</v>
      </c>
      <c r="V18" s="4">
        <f>IFERROR(_xlfn.XLOOKUP(S18,'[1]BASE PYTHON'!$K:$K,'[1]BASE PYTHON'!$N:$N),0)</f>
        <v>0</v>
      </c>
      <c r="W18" s="4">
        <f t="shared" si="3"/>
        <v>41</v>
      </c>
    </row>
    <row r="19" spans="1:23" x14ac:dyDescent="0.25">
      <c r="A19" s="4" t="s">
        <v>31</v>
      </c>
      <c r="B19" s="4" t="s">
        <v>31</v>
      </c>
      <c r="C19" s="2">
        <f>_xlfn.XLOOKUP(A19,[1]!Tabela4[VENDEDOR],[1]!Tabela4[META A])</f>
        <v>125000</v>
      </c>
      <c r="D19" s="2">
        <f>IFERROR(_xlfn.XLOOKUP(A19,'[1]BASE PYTHON'!$E:$E,'[1]BASE PYTHON'!$F:$F),0)</f>
        <v>111572.95000000007</v>
      </c>
      <c r="E19" s="7">
        <f t="shared" si="0"/>
        <v>13427.04999999993</v>
      </c>
      <c r="F19" s="4"/>
      <c r="G19" s="4" t="s">
        <v>13</v>
      </c>
      <c r="H19" s="4" t="s">
        <v>41</v>
      </c>
      <c r="I19" s="2">
        <f>_xlfn.XLOOKUP(G19,[1]!Tabela1[VENDEDOR],[1]!Tabela1[VALOR])</f>
        <v>11000</v>
      </c>
      <c r="J19" s="2">
        <f>IFERROR(_xlfn.XLOOKUP(G19,'[1]BASE PYTHON'!$H:$H,'[1]BASE PYTHON'!$I:$I),0)</f>
        <v>5896.35</v>
      </c>
      <c r="K19" s="7">
        <f t="shared" si="1"/>
        <v>5103.6499999999996</v>
      </c>
      <c r="L19" s="4"/>
      <c r="M19" s="4"/>
      <c r="N19" s="4" t="s">
        <v>48</v>
      </c>
      <c r="O19" s="4" t="s">
        <v>25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57</v>
      </c>
      <c r="V19" s="4">
        <f>IFERROR(_xlfn.XLOOKUP(S19,'[1]BASE PYTHON'!$K:$K,'[1]BASE PYTHON'!$N:$N),0)</f>
        <v>0</v>
      </c>
      <c r="W19" s="4">
        <f t="shared" si="3"/>
        <v>57</v>
      </c>
    </row>
    <row r="20" spans="1:23" x14ac:dyDescent="0.25">
      <c r="A20" s="4" t="s">
        <v>30</v>
      </c>
      <c r="B20" s="4" t="s">
        <v>30</v>
      </c>
      <c r="C20" s="2">
        <f>_xlfn.XLOOKUP(A20,[1]!Tabela4[VENDEDOR],[1]!Tabela4[META A])</f>
        <v>540000</v>
      </c>
      <c r="D20" s="2">
        <f>IFERROR(_xlfn.XLOOKUP(A20,'[1]BASE PYTHON'!$E:$E,'[1]BASE PYTHON'!$F:$F),0)</f>
        <v>531685.79000000039</v>
      </c>
      <c r="E20" s="7">
        <f t="shared" si="0"/>
        <v>8314.2099999996135</v>
      </c>
      <c r="F20" s="4"/>
      <c r="G20" s="4" t="s">
        <v>10</v>
      </c>
      <c r="H20" s="4" t="s">
        <v>10</v>
      </c>
      <c r="I20" s="2">
        <f>_xlfn.XLOOKUP(G20,[1]!Tabela1[VENDEDOR],[1]!Tabela1[VALOR])</f>
        <v>14860</v>
      </c>
      <c r="J20" s="2">
        <f>IFERROR(_xlfn.XLOOKUP(G20,'[1]BASE PYTHON'!$H:$H,'[1]BASE PYTHON'!$I:$I),0)</f>
        <v>17938.599999999995</v>
      </c>
      <c r="K20" s="7">
        <f t="shared" si="1"/>
        <v>-3078.5999999999949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656771.87000000046</v>
      </c>
      <c r="Q20" s="7">
        <f>O20-P20</f>
        <v>-656771.87000000046</v>
      </c>
      <c r="R20" s="4"/>
      <c r="S20" s="4" t="s">
        <v>14</v>
      </c>
      <c r="T20" s="4" t="s">
        <v>42</v>
      </c>
      <c r="U20" s="4">
        <f>_xlfn.XLOOKUP(S20,'[1]BASE PYTHON'!$A$63:$A$80,'[1]BASE PYTHON'!$B$63:$B$80)</f>
        <v>35</v>
      </c>
      <c r="V20" s="4">
        <f>IFERROR(_xlfn.XLOOKUP(S20,'[1]BASE PYTHON'!$K:$K,'[1]BASE PYTHON'!$N:$N),0)</f>
        <v>0</v>
      </c>
      <c r="W20" s="4">
        <f t="shared" si="3"/>
        <v>35</v>
      </c>
    </row>
    <row r="21" spans="1:23" x14ac:dyDescent="0.25">
      <c r="A21" s="4" t="s">
        <v>28</v>
      </c>
      <c r="B21" s="4" t="s">
        <v>28</v>
      </c>
      <c r="C21" s="2">
        <f>_xlfn.XLOOKUP(A21,[1]!Tabela4[VENDEDOR],[1]!Tabela4[META A])</f>
        <v>410000</v>
      </c>
      <c r="D21" s="2">
        <f>IFERROR(_xlfn.XLOOKUP(A21,'[1]BASE PYTHON'!$E:$E,'[1]BASE PYTHON'!$F:$F),0)</f>
        <v>389719.22000000038</v>
      </c>
      <c r="E21" s="7">
        <f t="shared" si="0"/>
        <v>20280.77999999962</v>
      </c>
      <c r="F21" s="4"/>
      <c r="G21" s="4" t="s">
        <v>11</v>
      </c>
      <c r="H21" s="4" t="s">
        <v>11</v>
      </c>
      <c r="I21" s="2">
        <f>_xlfn.XLOOKUP(G21,[1]!Tabela1[VENDEDOR],[1]!Tabela1[VALOR])</f>
        <v>3710</v>
      </c>
      <c r="J21" s="2">
        <f>IFERROR(_xlfn.XLOOKUP(G21,'[1]BASE PYTHON'!$H:$H,'[1]BASE PYTHON'!$I:$I),0)</f>
        <v>4099</v>
      </c>
      <c r="K21" s="7">
        <f t="shared" si="1"/>
        <v>-389</v>
      </c>
      <c r="L21" s="4"/>
      <c r="M21" s="4"/>
      <c r="N21" s="4" t="s">
        <v>49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623685.80999999982</v>
      </c>
      <c r="Q21" s="7">
        <f>O21-P21</f>
        <v>-623685.80999999982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40</v>
      </c>
      <c r="V21" s="4">
        <f>IFERROR(_xlfn.XLOOKUP(S21,'[1]BASE PYTHON'!$K:$K,'[1]BASE PYTHON'!$N:$N),0)</f>
        <v>0</v>
      </c>
      <c r="W21" s="4">
        <f t="shared" si="3"/>
        <v>40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115679.6399999998</v>
      </c>
      <c r="E22" s="7">
        <f t="shared" si="0"/>
        <v>3820.3600000002043</v>
      </c>
      <c r="F22" s="4"/>
      <c r="G22" s="4" t="s">
        <v>14</v>
      </c>
      <c r="H22" s="4" t="s">
        <v>14</v>
      </c>
      <c r="I22" s="2">
        <f>_xlfn.XLOOKUP(G22,[1]!Tabela1[VENDEDOR],[1]!Tabela1[VALOR])</f>
        <v>5520</v>
      </c>
      <c r="J22" s="2">
        <f>IFERROR(_xlfn.XLOOKUP(G22,'[1]BASE PYTHON'!$H:$H,'[1]BASE PYTHON'!$I:$I),0)</f>
        <v>1610.95</v>
      </c>
      <c r="K22" s="7">
        <f t="shared" si="1"/>
        <v>3909.05</v>
      </c>
      <c r="L22" s="4"/>
      <c r="M22" s="4"/>
      <c r="N22" s="4" t="s">
        <v>51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689881.14000000013</v>
      </c>
      <c r="Q22" s="7">
        <f>O22-P22</f>
        <v>-689881.14000000013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40</v>
      </c>
      <c r="V22" s="4">
        <f>IFERROR(_xlfn.XLOOKUP(S22,'[1]BASE PYTHON'!$K:$K,'[1]BASE PYTHON'!$N:$N),0)</f>
        <v>0</v>
      </c>
      <c r="W22" s="4">
        <f t="shared" si="3"/>
        <v>40</v>
      </c>
    </row>
    <row r="23" spans="1:23" x14ac:dyDescent="0.25">
      <c r="A23" s="4" t="s">
        <v>13</v>
      </c>
      <c r="B23" s="4" t="s">
        <v>41</v>
      </c>
      <c r="C23" s="2">
        <f>_xlfn.XLOOKUP(A23,[1]!Tabela4[VENDEDOR],[1]!Tabela4[META A])</f>
        <v>190000</v>
      </c>
      <c r="D23" s="2">
        <f>IFERROR(_xlfn.XLOOKUP(A23,'[1]BASE PYTHON'!$E:$E,'[1]BASE PYTHON'!$F:$F),0)</f>
        <v>179836.22999999972</v>
      </c>
      <c r="E23" s="7">
        <f t="shared" si="0"/>
        <v>10163.770000000281</v>
      </c>
      <c r="F23" s="4"/>
      <c r="G23" s="4" t="s">
        <v>9</v>
      </c>
      <c r="H23" s="4" t="s">
        <v>9</v>
      </c>
      <c r="I23" s="2">
        <f>_xlfn.XLOOKUP(G23,[1]!Tabela1[VENDEDOR],[1]!Tabela1[VALOR])</f>
        <v>4990</v>
      </c>
      <c r="J23" s="2">
        <f>IFERROR(_xlfn.XLOOKUP(G23,'[1]BASE PYTHON'!$H:$H,'[1]BASE PYTHON'!$I:$I),0)</f>
        <v>2872.65</v>
      </c>
      <c r="K23" s="7">
        <f t="shared" si="1"/>
        <v>2117.35</v>
      </c>
      <c r="L23" s="4"/>
      <c r="M23" s="4"/>
      <c r="N23" s="4" t="s">
        <v>52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0</v>
      </c>
      <c r="Q23" s="7">
        <f>O23-P23</f>
        <v>0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55</v>
      </c>
      <c r="V23" s="4">
        <f>IFERROR(_xlfn.XLOOKUP(S23,'[1]BASE PYTHON'!$K:$K,'[1]BASE PYTHON'!$N:$N),0)</f>
        <v>0</v>
      </c>
      <c r="W23" s="4">
        <f t="shared" si="3"/>
        <v>55</v>
      </c>
    </row>
    <row r="24" spans="1:23" x14ac:dyDescent="0.25">
      <c r="A24" s="4" t="s">
        <v>14</v>
      </c>
      <c r="B24" s="4" t="s">
        <v>42</v>
      </c>
      <c r="C24" s="2">
        <f>_xlfn.XLOOKUP(A24,[1]!Tabela4[VENDEDOR],[1]!Tabela4[META A])</f>
        <v>140000</v>
      </c>
      <c r="D24" s="2">
        <f>IFERROR(_xlfn.XLOOKUP(A24,'[1]BASE PYTHON'!$E:$E,'[1]BASE PYTHON'!$F:$F),0)</f>
        <v>113177.64999999991</v>
      </c>
      <c r="E24" s="7">
        <f t="shared" si="0"/>
        <v>26822.350000000093</v>
      </c>
      <c r="F24" s="4"/>
      <c r="G24" s="4" t="s">
        <v>24</v>
      </c>
      <c r="H24" s="4" t="s">
        <v>45</v>
      </c>
      <c r="I24" s="2">
        <f>_xlfn.XLOOKUP(G24,[1]!Tabela1[VENDEDOR],[1]!Tabela1[VALOR])</f>
        <v>3800</v>
      </c>
      <c r="J24" s="2">
        <f>IFERROR(_xlfn.XLOOKUP(G24,'[1]BASE PYTHON'!$H:$H,'[1]BASE PYTHON'!$I:$I),0)</f>
        <v>5396.91</v>
      </c>
      <c r="K24" s="7">
        <f t="shared" si="1"/>
        <v>-1596.9099999999999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33</v>
      </c>
      <c r="V24" s="4">
        <f>IFERROR(_xlfn.XLOOKUP(S24,'[1]BASE PYTHON'!$K:$K,'[1]BASE PYTHON'!$N:$N),0)</f>
        <v>0</v>
      </c>
      <c r="W24" s="4">
        <f t="shared" si="3"/>
        <v>33</v>
      </c>
    </row>
    <row r="25" spans="1:23" x14ac:dyDescent="0.25">
      <c r="A25" s="4" t="s">
        <v>15</v>
      </c>
      <c r="B25" s="4" t="s">
        <v>43</v>
      </c>
      <c r="C25" s="2">
        <f>_xlfn.XLOOKUP(A25,[1]!Tabela4[VENDEDOR],[1]!Tabela4[META A])</f>
        <v>140000</v>
      </c>
      <c r="D25" s="2">
        <f>IFERROR(_xlfn.XLOOKUP(A25,'[1]BASE PYTHON'!$E:$E,'[1]BASE PYTHON'!$F:$F),0)</f>
        <v>111494.7899999996</v>
      </c>
      <c r="E25" s="7">
        <f t="shared" si="0"/>
        <v>28505.210000000399</v>
      </c>
      <c r="F25" s="4"/>
      <c r="G25" s="4" t="s">
        <v>22</v>
      </c>
      <c r="H25" s="4" t="s">
        <v>22</v>
      </c>
      <c r="I25" s="2">
        <f>_xlfn.XLOOKUP(G25,[1]!Tabela1[VENDEDOR],[1]!Tabela1[VALOR])</f>
        <v>2900</v>
      </c>
      <c r="J25" s="2">
        <f>IFERROR(_xlfn.XLOOKUP(G25,'[1]BASE PYTHON'!$H:$H,'[1]BASE PYTHON'!$I:$I),0)</f>
        <v>1172.0600000000002</v>
      </c>
      <c r="K25" s="7">
        <f t="shared" si="1"/>
        <v>1727.9399999999998</v>
      </c>
      <c r="L25" s="4"/>
      <c r="M25" s="4"/>
      <c r="N25" s="4"/>
      <c r="O25" s="4"/>
      <c r="P25" s="4"/>
      <c r="Q25" s="4"/>
      <c r="R25" s="4"/>
      <c r="S25" s="4" t="s">
        <v>15</v>
      </c>
      <c r="T25" s="4" t="s">
        <v>43</v>
      </c>
      <c r="U25" s="4">
        <f>_xlfn.XLOOKUP(S25,'[1]BASE PYTHON'!$A$63:$A$80,'[1]BASE PYTHON'!$B$63:$B$80)</f>
        <v>47</v>
      </c>
      <c r="V25" s="4">
        <f>IFERROR(_xlfn.XLOOKUP(S25,'[1]BASE PYTHON'!$K:$K,'[1]BASE PYTHON'!$N:$N),0)</f>
        <v>0</v>
      </c>
      <c r="W25" s="4">
        <f t="shared" si="3"/>
        <v>47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58166.910000000113</v>
      </c>
      <c r="E26" s="7">
        <f t="shared" si="0"/>
        <v>31833.089999999887</v>
      </c>
      <c r="F26" s="4"/>
      <c r="G26" s="4" t="s">
        <v>23</v>
      </c>
      <c r="H26" s="4" t="s">
        <v>44</v>
      </c>
      <c r="I26" s="2">
        <f>_xlfn.XLOOKUP(G26,[1]!Tabela1[VENDEDOR],[1]!Tabela1[VALOR])</f>
        <v>3530</v>
      </c>
      <c r="J26" s="2">
        <f>IFERROR(_xlfn.XLOOKUP(G26,'[1]BASE PYTHON'!$H:$H,'[1]BASE PYTHON'!$I:$I),0)</f>
        <v>2387.7000000000007</v>
      </c>
      <c r="K26" s="7">
        <f t="shared" si="1"/>
        <v>1142.2999999999993</v>
      </c>
      <c r="L26" s="4"/>
      <c r="M26" s="4"/>
      <c r="N26" s="4"/>
      <c r="O26" s="2"/>
      <c r="P26" s="4"/>
      <c r="Q26" s="4"/>
      <c r="R26" s="4"/>
      <c r="S26" s="4" t="s">
        <v>23</v>
      </c>
      <c r="T26" s="4" t="s">
        <v>44</v>
      </c>
      <c r="U26" s="4">
        <f>_xlfn.XLOOKUP(S26,'[1]BASE PYTHON'!$A$63:$A$80,'[1]BASE PYTHON'!$B$63:$B$80)</f>
        <v>31</v>
      </c>
      <c r="V26" s="4">
        <f>IFERROR(_xlfn.XLOOKUP(S26,'[1]BASE PYTHON'!$K:$K,'[1]BASE PYTHON'!$N:$N),0)</f>
        <v>0</v>
      </c>
      <c r="W26" s="4">
        <f t="shared" si="3"/>
        <v>31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210407.45999999944</v>
      </c>
      <c r="E27" s="7">
        <f t="shared" si="0"/>
        <v>24592.540000000561</v>
      </c>
      <c r="F27" s="4"/>
      <c r="G27" s="4" t="s">
        <v>7</v>
      </c>
      <c r="H27" s="4" t="s">
        <v>7</v>
      </c>
      <c r="I27" s="2">
        <f>_xlfn.XLOOKUP(G27,[1]!Tabela1[VENDEDOR],[1]!Tabela1[VALOR])</f>
        <v>2860</v>
      </c>
      <c r="J27" s="2">
        <f>IFERROR(_xlfn.XLOOKUP(G27,'[1]BASE PYTHON'!$H:$H,'[1]BASE PYTHON'!$I:$I),0)</f>
        <v>510.9</v>
      </c>
      <c r="K27" s="7">
        <f t="shared" si="1"/>
        <v>2349.1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315000</v>
      </c>
      <c r="D28" s="2">
        <f>IFERROR(_xlfn.XLOOKUP(A28,'[1]BASE PYTHON'!$E:$E,'[1]BASE PYTHON'!$F:$F),0)</f>
        <v>297412.17000000016</v>
      </c>
      <c r="E28" s="7">
        <f t="shared" si="0"/>
        <v>17587.829999999842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 t="s">
        <v>48</v>
      </c>
      <c r="U28" s="4" t="s">
        <v>25</v>
      </c>
      <c r="V28" s="4" t="s">
        <v>3</v>
      </c>
      <c r="W28" s="4" t="s">
        <v>2</v>
      </c>
    </row>
    <row r="29" spans="1:23" x14ac:dyDescent="0.25">
      <c r="A29" s="4" t="s">
        <v>40</v>
      </c>
      <c r="B29" s="4" t="s">
        <v>27</v>
      </c>
      <c r="C29" s="2">
        <f>_xlfn.XLOOKUP(A29,[1]!Tabela4[VENDEDOR],[1]!Tabela4[META A])</f>
        <v>167000</v>
      </c>
      <c r="D29" s="2">
        <f>IFERROR(_xlfn.XLOOKUP(A29,'[1]BASE PYTHON'!$E:$E,'[1]BASE PYTHON'!$F:$F),0)</f>
        <v>155370.25999999998</v>
      </c>
      <c r="E29" s="7">
        <f t="shared" si="0"/>
        <v>11629.74000000002</v>
      </c>
      <c r="F29" s="4"/>
      <c r="G29" s="4"/>
      <c r="H29" s="4" t="s">
        <v>48</v>
      </c>
      <c r="I29" s="4" t="s">
        <v>25</v>
      </c>
      <c r="J29" s="4" t="s">
        <v>3</v>
      </c>
      <c r="K29" s="4" t="s">
        <v>2</v>
      </c>
      <c r="L29" s="4"/>
      <c r="M29" s="4"/>
      <c r="N29" s="4"/>
      <c r="O29" s="4"/>
      <c r="P29" s="4"/>
      <c r="Q29" s="4"/>
      <c r="R29" s="4"/>
      <c r="S29" s="4"/>
      <c r="T29" s="4" t="s">
        <v>4</v>
      </c>
      <c r="U29" s="5" cm="1">
        <f t="array" ref="U29">IFERROR(_xlfn.XLOOKUP(T29,[1]!Tabela11[[#All],[Coluna1]],[1]!Tabela11[[#All],[Coluna2]]),0)</f>
        <v>185</v>
      </c>
      <c r="V29" s="5">
        <f>IFERROR(GETPIVOTDATA("[Measures].[Contagem Distinta de COD_CLIENTE]",'[1]BASE PYTHON'!$P$85,"[Intervalo 2].[SEMANA]","[Intervalo 2].[SEMANA].&amp;[2]"),0)</f>
        <v>285</v>
      </c>
      <c r="W29" s="6">
        <f>U29-V29</f>
        <v>-100</v>
      </c>
    </row>
    <row r="30" spans="1:23" x14ac:dyDescent="0.25">
      <c r="A30" s="4" t="s">
        <v>19</v>
      </c>
      <c r="B30" s="4" t="s">
        <v>19</v>
      </c>
      <c r="C30" s="2">
        <f>_xlfn.XLOOKUP(A30,[1]!Tabela4[VENDEDOR],[1]!Tabela4[META A])</f>
        <v>132000</v>
      </c>
      <c r="D30" s="2">
        <f>IFERROR(_xlfn.XLOOKUP(A30,'[1]BASE PYTHON'!$E:$E,'[1]BASE PYTHON'!$F:$F),0)</f>
        <v>122958.22999999979</v>
      </c>
      <c r="E30" s="7">
        <f t="shared" si="0"/>
        <v>9041.7700000002078</v>
      </c>
      <c r="F30" s="4"/>
      <c r="G30" s="4"/>
      <c r="H30" s="4" t="s">
        <v>4</v>
      </c>
      <c r="I30" s="2" cm="1">
        <f t="array" ref="I30">IFERROR(_xlfn.XLOOKUP(H30,[1]!Tabela9[[#All],[Coluna1]],[1]!Tabela9[[#All],[Coluna2]]),0)</f>
        <v>700000</v>
      </c>
      <c r="J30" s="2">
        <f>IFERROR(GETPIVOTDATA("[Measures].[Soma de TOTAL 3]",'[1]BASE PYTHON'!$P$4,"[Intervalo 2].[SEMANA]","[Intervalo 2].[SEMANA].&amp;[2]"),0)</f>
        <v>663421.19500000414</v>
      </c>
      <c r="K30" s="7">
        <f>I30-J30</f>
        <v>36578.80499999586</v>
      </c>
      <c r="L30" s="4"/>
      <c r="M30" s="4"/>
      <c r="N30" s="4"/>
      <c r="O30" s="4"/>
      <c r="P30" s="4"/>
      <c r="Q30" s="4"/>
      <c r="R30" s="4"/>
      <c r="S30" s="4"/>
      <c r="T30" s="4" t="s">
        <v>49</v>
      </c>
      <c r="U30" s="5" cm="1">
        <f t="array" ref="U30">IFERROR(_xlfn.XLOOKUP(T30,[1]!Tabela11[[#All],[Coluna1]],[1]!Tabela11[[#All],[Coluna2]]),0)</f>
        <v>185</v>
      </c>
      <c r="V30" s="6">
        <f>IFERROR(GETPIVOTDATA("[Measures].[Contagem Distinta de COD_CLIENTE]",'[1]BASE PYTHON'!$P$85,"[Intervalo 2].[SEMANA]","[Intervalo 2].[SEMANA].&amp;[3]"),0)</f>
        <v>244</v>
      </c>
      <c r="W30" s="6">
        <f>U30-V30</f>
        <v>-59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167000</v>
      </c>
      <c r="D31" s="2">
        <f>IFERROR(_xlfn.XLOOKUP(A31,'[1]BASE PYTHON'!$E:$E,'[1]BASE PYTHON'!$F:$F),0)</f>
        <v>142794.87999999989</v>
      </c>
      <c r="E31" s="7">
        <f t="shared" si="0"/>
        <v>24205.120000000112</v>
      </c>
      <c r="F31" s="4"/>
      <c r="G31" s="4"/>
      <c r="H31" s="4" t="s">
        <v>49</v>
      </c>
      <c r="I31" s="2" cm="1">
        <f t="array" ref="I31">IFERROR(_xlfn.XLOOKUP(H31,[1]!Tabela9[[#All],[Coluna1]],[1]!Tabela9[[#All],[Coluna2]]),0)</f>
        <v>700000</v>
      </c>
      <c r="J31" s="7">
        <f>IFERROR(GETPIVOTDATA("[Measures].[Soma de TOTAL 3]",'[1]BASE PYTHON'!$P$4,"[Intervalo 2].[SEMANA]","[Intervalo 2].[SEMANA].&amp;[3]"),0)</f>
        <v>656169.61500000302</v>
      </c>
      <c r="K31" s="7">
        <f t="shared" ref="K31:K33" si="4">I31-J31</f>
        <v>43830.384999996983</v>
      </c>
      <c r="L31" s="4"/>
      <c r="M31" s="4"/>
      <c r="N31" s="4"/>
      <c r="O31" s="4"/>
      <c r="P31" s="4"/>
      <c r="Q31" s="4"/>
      <c r="R31" s="4"/>
      <c r="S31" s="4"/>
      <c r="T31" s="4" t="s">
        <v>51</v>
      </c>
      <c r="U31" s="5" cm="1">
        <f t="array" ref="U31">IFERROR(_xlfn.XLOOKUP(T31,[1]!Tabela11[[#All],[Coluna1]],[1]!Tabela11[[#All],[Coluna2]]),0)</f>
        <v>185</v>
      </c>
      <c r="V31" s="6">
        <f>IFERROR(GETPIVOTDATA("[Measures].[Contagem Distinta de COD_CLIENTE]",'[1]BASE PYTHON'!$P$85,"[Intervalo 2].[SEMANA]","[Intervalo 2].[SEMANA].&amp;[4]"),0)</f>
        <v>264</v>
      </c>
      <c r="W31" s="6">
        <f>U31-V31</f>
        <v>-79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255000</v>
      </c>
      <c r="D32" s="2">
        <f>IFERROR(_xlfn.XLOOKUP(A32,'[1]BASE PYTHON'!$E:$E,'[1]BASE PYTHON'!$F:$F),0)</f>
        <v>255366.7399999997</v>
      </c>
      <c r="E32" s="7">
        <f t="shared" si="0"/>
        <v>-366.73999999969965</v>
      </c>
      <c r="F32" s="4"/>
      <c r="G32" s="4"/>
      <c r="H32" s="4" t="s">
        <v>51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2].[SEMANA].&amp;[4]"),0)</f>
        <v>638943.71500000253</v>
      </c>
      <c r="K32" s="7">
        <f t="shared" si="4"/>
        <v>61056.284999997471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185</v>
      </c>
      <c r="V32" s="6">
        <f>IFERROR(GETPIVOTDATA("[Measures].[Contagem Distinta de COD_CLIENTE]",'[1]BASE PYTHON'!$P$85,"[Intervalo 2].[SEMANA]","[Intervalo 2].[SEMANA].&amp;[5]"),0)</f>
        <v>0</v>
      </c>
      <c r="W32" s="6">
        <f t="shared" ref="W32" si="5">U32-V32</f>
        <v>185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100000</v>
      </c>
      <c r="D33" s="2">
        <f>IFERROR(_xlfn.XLOOKUP(A33,'[1]BASE PYTHON'!$E:$E,'[1]BASE PYTHON'!$F:$F),0)</f>
        <v>69502.410000000033</v>
      </c>
      <c r="E33" s="7">
        <f t="shared" si="0"/>
        <v>30497.589999999967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2].[SEMANA].&amp;[5]"),0)</f>
        <v>0</v>
      </c>
      <c r="K33" s="7">
        <f t="shared" si="4"/>
        <v>700000</v>
      </c>
      <c r="L33" s="4"/>
      <c r="M33" s="4"/>
      <c r="N33" s="4"/>
      <c r="O33" s="4"/>
      <c r="P33" s="4"/>
      <c r="Q33" s="4"/>
      <c r="R33" s="4"/>
      <c r="S33" s="4"/>
      <c r="T33" s="4"/>
      <c r="U33" s="2"/>
      <c r="V33" s="4"/>
      <c r="W33" s="4"/>
    </row>
    <row r="34" spans="1:23" x14ac:dyDescent="0.25">
      <c r="A34" s="4" t="s">
        <v>23</v>
      </c>
      <c r="B34" s="4" t="s">
        <v>44</v>
      </c>
      <c r="C34" s="2">
        <f>_xlfn.XLOOKUP(A34,[1]!Tabela4[VENDEDOR],[1]!Tabela4[META A])</f>
        <v>55000</v>
      </c>
      <c r="D34" s="2">
        <f>IFERROR(_xlfn.XLOOKUP(A34,'[1]BASE PYTHON'!$E:$E,'[1]BASE PYTHON'!$F:$F),0)</f>
        <v>47169.730000000069</v>
      </c>
      <c r="E34" s="7">
        <f t="shared" si="0"/>
        <v>7830.2699999999313</v>
      </c>
      <c r="F34" s="4"/>
      <c r="G34" s="4"/>
      <c r="H34" s="4"/>
      <c r="I34" s="2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70000</v>
      </c>
      <c r="D35" s="2">
        <f>IFERROR(_xlfn.XLOOKUP(A35,'[1]BASE PYTHON'!$E:$E,'[1]BASE PYTHON'!$F:$F),0)</f>
        <v>72817.384999999951</v>
      </c>
      <c r="E35" s="7">
        <f t="shared" si="0"/>
        <v>-2817.3849999999511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/>
      <c r="B36" s="4"/>
      <c r="D36" s="2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x14ac:dyDescent="0.25">
      <c r="A37" s="4"/>
      <c r="B37" s="4" t="s">
        <v>48</v>
      </c>
      <c r="C37" s="4" t="s">
        <v>25</v>
      </c>
      <c r="D37" s="4" t="s">
        <v>3</v>
      </c>
      <c r="E37" s="4" t="s">
        <v>2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</v>
      </c>
      <c r="C38" s="2" cm="1">
        <f t="array" ref="C38">IFERROR(_xlfn.XLOOKUP(B38,[1]!Tabela7[[#All],[Coluna1]],[1]!Tabela7[[#All],[Coluna2]]),0)</f>
        <v>1377500</v>
      </c>
      <c r="D38" s="2">
        <f>IFERROR(GETPIVOTDATA("[Measures].[Soma de TOTAL 3]",'[1]BASE PYTHON'!$P$47,"[Intervalo 2].[SEMANA]","[Intervalo 2].[SEMANA].&amp;[2]"),0)</f>
        <v>1320649.5449999932</v>
      </c>
      <c r="E38" s="7">
        <f>C38-D38</f>
        <v>56850.455000006827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49</v>
      </c>
      <c r="C39" s="2" cm="1">
        <f t="array" ref="C39">IFERROR(_xlfn.XLOOKUP(B39,[1]!Tabela7[[#All],[Coluna1]],[1]!Tabela7[[#All],[Coluna2]]),0)</f>
        <v>1377500</v>
      </c>
      <c r="D39" s="2">
        <f>IFERROR(GETPIVOTDATA("[Measures].[Soma de TOTAL 3]",'[1]BASE PYTHON'!$P$47,"[Intervalo 2].[SEMANA]","[Intervalo 2].[SEMANA].&amp;[3]"),0)</f>
        <v>1280088.9749999936</v>
      </c>
      <c r="E39" s="7">
        <f t="shared" ref="E39:E41" si="6">C39-D39</f>
        <v>97411.025000006426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51</v>
      </c>
      <c r="C40" s="2" cm="1">
        <f t="array" ref="C40">IFERROR(_xlfn.XLOOKUP(B40,[1]!Tabela7[[#All],[Coluna1]],[1]!Tabela7[[#All],[Coluna2]]),0)</f>
        <v>1377500</v>
      </c>
      <c r="D40" s="2">
        <f>IFERROR(GETPIVOTDATA("[Measures].[Soma de TOTAL 3]",'[1]BASE PYTHON'!$P$47,"[Intervalo 2].[SEMANA]","[Intervalo 2].[SEMANA].&amp;[4]"),0)</f>
        <v>1329222.1149999904</v>
      </c>
      <c r="E40" s="7">
        <f t="shared" si="6"/>
        <v>48277.885000009555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1377500</v>
      </c>
      <c r="D41" s="2">
        <f>IFERROR(GETPIVOTDATA("[Measures].[Soma de TOTAL 3]",'[1]BASE PYTHON'!$P$47,"[Intervalo 2].[SEMANA]","[Intervalo 2].[SEMANA].&amp;[5]"),0)</f>
        <v>0</v>
      </c>
      <c r="E41" s="7">
        <f t="shared" si="6"/>
        <v>1377500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F42" s="4"/>
      <c r="L42" s="4"/>
      <c r="M42" s="4"/>
      <c r="N42" s="4"/>
      <c r="O42" s="4"/>
      <c r="P42" s="4"/>
      <c r="Q42" s="4"/>
      <c r="R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2026-06-29T10:37:52Z</dcterms:modified>
</cp:coreProperties>
</file>