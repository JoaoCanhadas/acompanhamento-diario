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097C234-B68D-488F-8BD8-2DA9745D3EF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1" i="2"/>
  <c r="P13" i="2"/>
  <c r="V34" i="2"/>
  <c r="P17" i="2"/>
  <c r="P11" i="2"/>
  <c r="P16" i="2"/>
  <c r="V30" i="2"/>
  <c r="P22" i="2"/>
  <c r="P15" i="2"/>
  <c r="P23" i="2"/>
  <c r="V31" i="2"/>
  <c r="P24" i="2"/>
  <c r="V32" i="2"/>
  <c r="P14" i="2"/>
  <c r="P25" i="2"/>
  <c r="P12" i="2"/>
  <c r="V33" i="2"/>
  <c r="Q11" i="2" l="1"/>
  <c r="Q17" i="2"/>
  <c r="Q16" i="2"/>
  <c r="Q15" i="2"/>
  <c r="Q14" i="2"/>
  <c r="Q13" i="2"/>
  <c r="Q12" i="2"/>
  <c r="E36" i="2"/>
  <c r="U5" i="2"/>
  <c r="C10" i="2"/>
  <c r="D10" i="2"/>
  <c r="E12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J32" i="2"/>
  <c r="D42" i="2"/>
  <c r="D41" i="2"/>
  <c r="J31" i="2"/>
  <c r="J34" i="2"/>
  <c r="J35" i="2"/>
  <c r="D43" i="2"/>
  <c r="J33" i="2"/>
  <c r="D44" i="2"/>
  <c r="D40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O21" i="2" l="1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I31" i="2" a="1"/>
  <c r="I31" i="2" s="1"/>
  <c r="K31" i="2" s="1"/>
  <c r="I33" i="2" a="1"/>
  <c r="I33" i="2" s="1"/>
  <c r="K33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19" i="2" l="1"/>
  <c r="W19" i="2" s="1"/>
  <c r="U18" i="2"/>
  <c r="W18" i="2" s="1"/>
  <c r="U21" i="2"/>
  <c r="W21" i="2" s="1"/>
  <c r="U23" i="2"/>
  <c r="W23" i="2" s="1"/>
  <c r="U25" i="2"/>
  <c r="W25" i="2" s="1"/>
  <c r="U11" i="2"/>
  <c r="W11" i="2" s="1"/>
  <c r="U22" i="2"/>
  <c r="W22" i="2" s="1"/>
  <c r="U16" i="2"/>
  <c r="W16" i="2" s="1"/>
  <c r="U15" i="2"/>
  <c r="W15" i="2" s="1"/>
  <c r="U17" i="2"/>
  <c r="W17" i="2" s="1"/>
  <c r="U13" i="2"/>
  <c r="W13" i="2" s="1"/>
  <c r="U14" i="2"/>
  <c r="W14" i="2" s="1"/>
  <c r="U20" i="2"/>
  <c r="W20" i="2" s="1"/>
  <c r="U12" i="2"/>
  <c r="W12" i="2" s="1"/>
  <c r="U24" i="2"/>
  <c r="W24" i="2" s="1"/>
  <c r="U26" i="2"/>
  <c r="W26" i="2" s="1"/>
  <c r="U10" i="2"/>
  <c r="W10" i="2" l="1"/>
  <c r="U4" i="2"/>
  <c r="U6" i="2" s="1"/>
  <c r="U7" i="2" s="1"/>
  <c r="O25" i="2" l="1" a="1"/>
  <c r="O25" i="2" s="1"/>
  <c r="Q25" i="2" s="1"/>
  <c r="I35" i="2" a="1"/>
  <c r="I35" i="2" s="1"/>
  <c r="K35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<sst xmlns="http://schemas.openxmlformats.org/spreadsheetml/2006/main" count="215" uniqueCount="54">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</sst>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5208.12</v>
          </cell>
        </row>
        <row r="6">
          <cell r="E6" t="str">
            <v>CENTRO</v>
          </cell>
          <cell r="F6">
            <v>47490.390000000029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0</v>
          </cell>
          <cell r="K8" t="str">
            <v>CENTRO</v>
          </cell>
        </row>
        <row r="9">
          <cell r="E9" t="str">
            <v>INDAIATUBA</v>
          </cell>
          <cell r="F9">
            <v>16162.360000000002</v>
          </cell>
          <cell r="K9" t="str">
            <v>INDAIATUBA</v>
          </cell>
        </row>
        <row r="10">
          <cell r="E10" t="str">
            <v>INTERLAGOS</v>
          </cell>
          <cell r="F10">
            <v>28409.340000000011</v>
          </cell>
          <cell r="K10" t="str">
            <v>INTERLAGOS</v>
          </cell>
        </row>
        <row r="11">
          <cell r="E11" t="str">
            <v>JUNDIAI</v>
          </cell>
          <cell r="F11">
            <v>10823.599999999999</v>
          </cell>
          <cell r="K11" t="str">
            <v>JUNDIAI</v>
          </cell>
        </row>
        <row r="12">
          <cell r="E12" t="str">
            <v>KEY ABC</v>
          </cell>
          <cell r="F12">
            <v>11521.5</v>
          </cell>
          <cell r="K12" t="str">
            <v>LESTE MOOCA</v>
          </cell>
        </row>
        <row r="13">
          <cell r="E13" t="str">
            <v>KEY CASA</v>
          </cell>
          <cell r="F13">
            <v>73565.290000000023</v>
          </cell>
          <cell r="K13" t="str">
            <v>LESTE PENHA</v>
          </cell>
        </row>
        <row r="14">
          <cell r="E14" t="str">
            <v>KEY INTERIOR</v>
          </cell>
          <cell r="F14">
            <v>152169.9</v>
          </cell>
          <cell r="K14" t="str">
            <v>LESTE TATUAPE</v>
          </cell>
        </row>
        <row r="15">
          <cell r="E15" t="str">
            <v>KEY PIRACICABA</v>
          </cell>
          <cell r="F15">
            <v>0</v>
          </cell>
          <cell r="K15" t="str">
            <v>MOGI</v>
          </cell>
        </row>
        <row r="16">
          <cell r="E16" t="str">
            <v>KEY SJC</v>
          </cell>
          <cell r="F16">
            <v>1785.3999999999999</v>
          </cell>
          <cell r="K16" t="str">
            <v>NORTE</v>
          </cell>
        </row>
        <row r="17">
          <cell r="E17" t="str">
            <v>KEY SP</v>
          </cell>
          <cell r="F17">
            <v>31364.199999999997</v>
          </cell>
          <cell r="K17" t="str">
            <v>OSASCO</v>
          </cell>
        </row>
        <row r="18">
          <cell r="E18" t="str">
            <v>KEY ZL</v>
          </cell>
          <cell r="F18">
            <v>41755.370000000003</v>
          </cell>
          <cell r="K18" t="str">
            <v>PIRITUBA</v>
          </cell>
        </row>
        <row r="19">
          <cell r="E19" t="str">
            <v>LESTE</v>
          </cell>
          <cell r="F19">
            <v>10319.129999999999</v>
          </cell>
          <cell r="K19" t="str">
            <v>SANTO ANDRE</v>
          </cell>
        </row>
        <row r="20">
          <cell r="E20" t="str">
            <v>LESTE MOOCA</v>
          </cell>
          <cell r="F20">
            <v>22072.120000000003</v>
          </cell>
          <cell r="K20" t="str">
            <v>SBC</v>
          </cell>
        </row>
        <row r="21">
          <cell r="E21" t="str">
            <v>LESTE PENHA</v>
          </cell>
          <cell r="F21">
            <v>10992.83</v>
          </cell>
          <cell r="K21" t="str">
            <v>SJC</v>
          </cell>
        </row>
        <row r="22">
          <cell r="E22" t="str">
            <v>LESTE TATUAPE</v>
          </cell>
          <cell r="F22">
            <v>10565.189999999999</v>
          </cell>
          <cell r="K22" t="str">
            <v>SJC/VALE</v>
          </cell>
        </row>
        <row r="23">
          <cell r="E23" t="str">
            <v>MOGI</v>
          </cell>
          <cell r="F23">
            <v>4552.17</v>
          </cell>
          <cell r="K23" t="str">
            <v>Total Geral</v>
          </cell>
        </row>
        <row r="24">
          <cell r="E24" t="str">
            <v>NORTE</v>
          </cell>
          <cell r="F24">
            <v>40396.260000000024</v>
          </cell>
        </row>
        <row r="25">
          <cell r="E25" t="str">
            <v>OSASCO</v>
          </cell>
          <cell r="F25">
            <v>40740.69000000001</v>
          </cell>
        </row>
        <row r="26">
          <cell r="E26" t="str">
            <v>PIRITUBA</v>
          </cell>
          <cell r="F26">
            <v>15043.06</v>
          </cell>
        </row>
        <row r="27">
          <cell r="E27" t="str">
            <v>SANTO ANDRE</v>
          </cell>
          <cell r="F27">
            <v>22028.690000000006</v>
          </cell>
        </row>
        <row r="28">
          <cell r="E28" t="str">
            <v>SBC</v>
          </cell>
          <cell r="F28">
            <v>36686.350000000013</v>
          </cell>
        </row>
        <row r="29">
          <cell r="E29" t="str">
            <v>SJC</v>
          </cell>
          <cell r="F29">
            <v>7732.9699999999984</v>
          </cell>
        </row>
        <row r="30">
          <cell r="E30" t="str">
            <v>SJC/VALE</v>
          </cell>
          <cell r="F30">
            <v>7507.2</v>
          </cell>
        </row>
        <row r="31">
          <cell r="E31" t="str">
            <v>VENDEDOR INTERNO 1</v>
          </cell>
          <cell r="F31">
            <v>12732.099999999999</v>
          </cell>
        </row>
        <row r="32">
          <cell r="E32" t="str">
            <v>Total Geral</v>
          </cell>
          <cell r="F32">
            <v>662268.51000000269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4">
          <cell r="E94">
            <v>0</v>
          </cell>
          <cell r="F94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Row],[REFERENCIA]],'[1]BASE PYTHON'!$A$63:$A$79,[1]!#REF!)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T17" sqref="T17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130680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662268.51000000024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126842.16000000003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5122231.49</v>
      </c>
      <c r="D6" s="2"/>
      <c r="E6" s="4"/>
      <c r="F6" s="4"/>
      <c r="G6" s="4"/>
      <c r="H6" s="4" t="s">
        <v>2</v>
      </c>
      <c r="I6" s="7">
        <f>I4-I5</f>
        <v>130680</v>
      </c>
      <c r="J6" s="4"/>
      <c r="K6" s="4"/>
      <c r="L6" s="4"/>
      <c r="M6" s="4"/>
      <c r="N6" s="4" t="s">
        <v>2</v>
      </c>
      <c r="O6" s="7">
        <f>O4-O5</f>
        <v>-126842.16000000003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0.11449019102774649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A])</f>
        <v>64500</v>
      </c>
      <c r="D10" s="28">
        <f>_xlfn.XLOOKUP(Tabela13[[#This Row],[REFERENCIA]],'[1]BASE PYTHON'!$E:$E,'[1]BASE PYTHON'!$F:$F,0)</f>
        <v>5208.12</v>
      </c>
      <c r="E10" s="25">
        <f>Tabela13[[#This Row],[META A]]-Tabela13[[#This Row],[ATINGIDO]]</f>
        <v>59291.88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15870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15870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A])</f>
        <v>330000</v>
      </c>
      <c r="D11" s="28">
        <f>_xlfn.XLOOKUP(Tabela13[[#This Row],[REFERENCIA]],'[1]BASE PYTHON'!$E:$E,'[1]BASE PYTHON'!$F:$F,0)</f>
        <v>47490.390000000029</v>
      </c>
      <c r="E11" s="23">
        <f>Tabela13[[#This Row],[META A]]-Tabela13[[#This Row],[ATINGIDO]]</f>
        <v>282509.61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14840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14840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11521.5</v>
      </c>
      <c r="Q11" s="2">
        <f>Tabela8[[#This Row],[COMPROMISSO]]-Tabela8[[#This Row],[ATINGIDO]]</f>
        <v>-11521.5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8740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8740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A])</f>
        <v>90000</v>
      </c>
      <c r="D13" s="28">
        <f>_xlfn.XLOOKUP(Tabela13[[#This Row],[REFERENCIA]],'[1]BASE PYTHON'!$E:$E,'[1]BASE PYTHON'!$F:$F,0)</f>
        <v>16162.360000000002</v>
      </c>
      <c r="E13" s="23">
        <f>Tabela13[[#This Row],[META A]]-Tabela13[[#This Row],[ATINGIDO]]</f>
        <v>73837.64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12070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12070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41755.370000000003</v>
      </c>
      <c r="Q13" s="2">
        <f>Tabela8[[#This Row],[COMPROMISSO]]-Tabela8[[#This Row],[ATINGIDO]]</f>
        <v>-41755.370000000003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A])</f>
        <v>273000</v>
      </c>
      <c r="D14" s="28">
        <f>_xlfn.XLOOKUP(Tabela13[[#This Row],[REFERENCIA]],'[1]BASE PYTHON'!$E:$E,'[1]BASE PYTHON'!$F:$F,0)</f>
        <v>28409.340000000011</v>
      </c>
      <c r="E14" s="25">
        <f>Tabela13[[#This Row],[META A]]-Tabela13[[#This Row],[ATINGIDO]]</f>
        <v>244590.65999999997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3240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3240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A])</f>
        <v>78000</v>
      </c>
      <c r="D15" s="28">
        <f>_xlfn.XLOOKUP(Tabela13[[#This Row],[REFERENCIA]],'[1]BASE PYTHON'!$E:$E,'[1]BASE PYTHON'!$F:$F,0)</f>
        <v>10823.599999999999</v>
      </c>
      <c r="E15" s="23">
        <f>Tabela13[[#This Row],[META A]]-Tabela13[[#This Row],[ATINGIDO]]</f>
        <v>67176.399999999994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16930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16930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A])</f>
        <v>350000</v>
      </c>
      <c r="D16" s="28">
        <f>_xlfn.XLOOKUP(Tabela13[[#This Row],[REFERENCIA]],'[1]BASE PYTHON'!$E:$E,'[1]BASE PYTHON'!$F:$F,0)</f>
        <v>11521.5</v>
      </c>
      <c r="E16" s="25">
        <f>Tabela13[[#This Row],[META A]]-Tabela13[[#This Row],[ATINGIDO]]</f>
        <v>338478.5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10910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10910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A])</f>
        <v>420000</v>
      </c>
      <c r="D17" s="28">
        <f>_xlfn.XLOOKUP(Tabela13[[#This Row],[REFERENCIA]],'[1]BASE PYTHON'!$E:$E,'[1]BASE PYTHON'!$F:$F,0)</f>
        <v>73565.290000000023</v>
      </c>
      <c r="E17" s="23">
        <f>Tabela13[[#This Row],[META A]]-Tabela13[[#This Row],[ATINGIDO]]</f>
        <v>346434.70999999996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3650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3650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73565.290000000023</v>
      </c>
      <c r="Q17" s="2">
        <f>Tabela8[[#This Row],[COMPROMISSO]]-Tabela8[[#This Row],[ATINGIDO]]</f>
        <v>-73565.290000000023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A])</f>
        <v>980000</v>
      </c>
      <c r="D18" s="28">
        <f>_xlfn.XLOOKUP(Tabela13[[#This Row],[REFERENCIA]],'[1]BASE PYTHON'!$E:$E,'[1]BASE PYTHON'!$F:$F,0)</f>
        <v>152169.9</v>
      </c>
      <c r="E18" s="25">
        <f>Tabela13[[#This Row],[META A]]-Tabela13[[#This Row],[ATINGIDO]]</f>
        <v>827830.1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3800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3800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9620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9620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A])</f>
        <v>560000</v>
      </c>
      <c r="D20" s="28">
        <f>_xlfn.XLOOKUP(Tabela13[[#This Row],[REFERENCIA]],'[1]BASE PYTHON'!$E:$E,'[1]BASE PYTHON'!$F:$F,0)</f>
        <v>31364.199999999997</v>
      </c>
      <c r="E20" s="25">
        <f>Tabela13[[#This Row],[META A]]-Tabela13[[#This Row],[ATINGIDO]]</f>
        <v>528635.80000000005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10440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10440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A])</f>
        <v>425000</v>
      </c>
      <c r="D21" s="28">
        <f>_xlfn.XLOOKUP(Tabela13[[#This Row],[REFERENCIA]],'[1]BASE PYTHON'!$E:$E,'[1]BASE PYTHON'!$F:$F,0)</f>
        <v>41755.370000000003</v>
      </c>
      <c r="E21" s="23">
        <f>Tabela13[[#This Row],[META A]]-Tabela13[[#This Row],[ATINGIDO]]</f>
        <v>383244.63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4030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4030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126842.16000000005</v>
      </c>
      <c r="Q21" s="7">
        <f>O21-P21</f>
        <v>558157.84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A])</f>
        <v>122000</v>
      </c>
      <c r="D22" s="28">
        <f>_xlfn.XLOOKUP(Tabela13[[#This Row],[REFERENCIA]],'[1]BASE PYTHON'!$E:$E,'[1]BASE PYTHON'!$F:$F,0)</f>
        <v>10319.129999999999</v>
      </c>
      <c r="E22" s="25">
        <f>Tabela13[[#This Row],[META A]]-Tabela13[[#This Row],[ATINGIDO]]</f>
        <v>111680.87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4070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4070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A])</f>
        <v>200000</v>
      </c>
      <c r="D23" s="28">
        <f>_xlfn.XLOOKUP(Tabela13[[#This Row],[REFERENCIA]],'[1]BASE PYTHON'!$E:$E,'[1]BASE PYTHON'!$F:$F,0)</f>
        <v>22072.120000000003</v>
      </c>
      <c r="E23" s="23">
        <f>Tabela13[[#This Row],[META A]]-Tabela13[[#This Row],[ATINGIDO]]</f>
        <v>177927.88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3200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3200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A])</f>
        <v>145000</v>
      </c>
      <c r="D24" s="28">
        <f>_xlfn.XLOOKUP(Tabela13[[#This Row],[REFERENCIA]],'[1]BASE PYTHON'!$E:$E,'[1]BASE PYTHON'!$F:$F,0)</f>
        <v>10992.83</v>
      </c>
      <c r="E24" s="25">
        <f>Tabela13[[#This Row],[META A]]-Tabela13[[#This Row],[ATINGIDO]]</f>
        <v>134007.17000000001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1980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1980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A])</f>
        <v>147000</v>
      </c>
      <c r="D25" s="28">
        <f>_xlfn.XLOOKUP(Tabela13[[#This Row],[REFERENCIA]],'[1]BASE PYTHON'!$E:$E,'[1]BASE PYTHON'!$F:$F,0)</f>
        <v>10565.189999999999</v>
      </c>
      <c r="E25" s="23">
        <f>Tabela13[[#This Row],[META A]]-Tabela13[[#This Row],[ATINGIDO]]</f>
        <v>136434.81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3660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A])</f>
        <v>90000</v>
      </c>
      <c r="D26" s="28">
        <f>_xlfn.XLOOKUP(Tabela13[[#This Row],[REFERENCIA]],'[1]BASE PYTHON'!$E:$E,'[1]BASE PYTHON'!$F:$F,0)</f>
        <v>4552.17</v>
      </c>
      <c r="E26" s="25">
        <f>Tabela13[[#This Row],[META A]]-Tabela13[[#This Row],[ATINGIDO]]</f>
        <v>85447.83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1090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1090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A])</f>
        <v>242000</v>
      </c>
      <c r="D27" s="28">
        <f>_xlfn.XLOOKUP(Tabela13[[#This Row],[REFERENCIA]],'[1]BASE PYTHON'!$E:$E,'[1]BASE PYTHON'!$F:$F,0)</f>
        <v>40396.260000000024</v>
      </c>
      <c r="E27" s="23">
        <f>Tabela13[[#This Row],[META A]]-Tabela13[[#This Row],[ATINGIDO]]</f>
        <v>201603.74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2540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2540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A])</f>
        <v>323500</v>
      </c>
      <c r="D28" s="28">
        <f>_xlfn.XLOOKUP(Tabela13[[#This Row],[REFERENCIA]],'[1]BASE PYTHON'!$E:$E,'[1]BASE PYTHON'!$F:$F,0)</f>
        <v>40740.69000000001</v>
      </c>
      <c r="E28" s="25">
        <f>Tabela13[[#This Row],[META A]]-Tabela13[[#This Row],[ATINGIDO]]</f>
        <v>282759.31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A])</f>
        <v>139500</v>
      </c>
      <c r="D30" s="28">
        <f>_xlfn.XLOOKUP(Tabela13[[#This Row],[REFERENCIA]],'[1]BASE PYTHON'!$E:$E,'[1]BASE PYTHON'!$F:$F,0)</f>
        <v>15043.06</v>
      </c>
      <c r="E30" s="25">
        <f>Tabela13[[#This Row],[META A]]-Tabela13[[#This Row],[ATINGIDO]]</f>
        <v>124456.94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111</v>
      </c>
      <c r="W30" s="6">
        <f>U30-V30</f>
        <v>75.428571428571416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A])</f>
        <v>167000</v>
      </c>
      <c r="D31" s="28">
        <f>_xlfn.XLOOKUP(Tabela13[[#This Row],[REFERENCIA]],'[1]BASE PYTHON'!$E:$E,'[1]BASE PYTHON'!$F:$F,0)</f>
        <v>22028.690000000006</v>
      </c>
      <c r="E31" s="23">
        <f>Tabela13[[#This Row],[META A]]-Tabela13[[#This Row],[ATINGIDO]]</f>
        <v>144971.31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333935.320000001</v>
      </c>
      <c r="K31" s="7">
        <f>I31-J31</f>
        <v>358088.48952380847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A])</f>
        <v>265000</v>
      </c>
      <c r="D32" s="28">
        <f>_xlfn.XLOOKUP(Tabela13[[#This Row],[REFERENCIA]],'[1]BASE PYTHON'!$E:$E,'[1]BASE PYTHON'!$F:$F,0)</f>
        <v>36686.350000000013</v>
      </c>
      <c r="E32" s="25">
        <f>Tabela13[[#This Row],[META A]]-Tabela13[[#This Row],[ATINGIDO]]</f>
        <v>228313.65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A])</f>
        <v>100000</v>
      </c>
      <c r="D33" s="28">
        <f>_xlfn.XLOOKUP(Tabela13[[#This Row],[REFERENCIA]],'[1]BASE PYTHON'!$E:$E,'[1]BASE PYTHON'!$F:$F,0)</f>
        <v>7732.9699999999984</v>
      </c>
      <c r="E33" s="23">
        <f>Tabela13[[#This Row],[META A]]-Tabela13[[#This Row],[ATINGIDO]]</f>
        <v>92267.03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A])</f>
        <v>55000</v>
      </c>
      <c r="D34" s="28">
        <f>_xlfn.XLOOKUP(Tabela13[[#This Row],[REFERENCIA]],'[1]BASE PYTHON'!$E:$E,'[1]BASE PYTHON'!$F:$F,0)</f>
        <v>7507.2</v>
      </c>
      <c r="E34" s="25">
        <f>Tabela13[[#This Row],[META A]]-Tabela13[[#This Row],[ATINGIDO]]</f>
        <v>47492.800000000003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A])</f>
        <v>75000</v>
      </c>
      <c r="D35" s="28">
        <f>_xlfn.XLOOKUP(Tabela13[[#This Row],[REFERENCIA]],'[1]BASE PYTHON'!$E:$E,'[1]BASE PYTHON'!$F:$F,0)</f>
        <v>12732.099999999999</v>
      </c>
      <c r="E35" s="23">
        <f>Tabela13[[#This Row],[META A]]-Tabela13[[#This Row],[ATINGIDO]]</f>
        <v>62267.9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662268.51000000269</v>
      </c>
      <c r="E40" s="7">
        <f>C40-D40</f>
        <v>714993.39476190216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2026-08-05T10:37:40Z</dcterms:modified>
</cp:coreProperties>
</file>