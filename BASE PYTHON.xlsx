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F8D2C76F-2286-40A2-8765-49D13EBCD4C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1" i="2"/>
  <c r="P16" i="2"/>
  <c r="V31" i="2"/>
  <c r="V30" i="2"/>
  <c r="V34" i="2"/>
  <c r="P11" i="2"/>
  <c r="J35" i="2"/>
  <c r="V32" i="2"/>
  <c r="D40" i="2"/>
  <c r="P24" i="2"/>
  <c r="J31" i="2"/>
  <c r="J34" i="2"/>
  <c r="J33" i="2"/>
  <c r="D41" i="2"/>
  <c r="P12" i="2"/>
  <c r="P25" i="2"/>
  <c r="V33" i="2"/>
  <c r="P17" i="2"/>
  <c r="D42" i="2"/>
  <c r="P14" i="2"/>
  <c r="D43" i="2"/>
  <c r="P15" i="2"/>
  <c r="P23" i="2"/>
  <c r="J32" i="2"/>
  <c r="D44" i="2"/>
  <c r="P13" i="2"/>
  <c r="P22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<sst xmlns="http://schemas.openxmlformats.org/spreadsheetml/2006/main" count="215" uniqueCount="54">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</sst>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22124.100000000006</v>
          </cell>
        </row>
        <row r="6">
          <cell r="E6" t="str">
            <v>CENTRO</v>
          </cell>
          <cell r="F6">
            <v>152957.19999999995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</row>
        <row r="8">
          <cell r="E8" t="str">
            <v>IATAGAM JUNIOR</v>
          </cell>
          <cell r="F8">
            <v>89</v>
          </cell>
          <cell r="K8" t="str">
            <v>CAMPINAS</v>
          </cell>
        </row>
        <row r="9">
          <cell r="E9" t="str">
            <v>INDAIATUBA</v>
          </cell>
          <cell r="F9">
            <v>34002.525000000009</v>
          </cell>
          <cell r="K9" t="str">
            <v>CENTRO</v>
          </cell>
        </row>
        <row r="10">
          <cell r="E10" t="str">
            <v>INTERLAGOS</v>
          </cell>
          <cell r="F10">
            <v>89307.35999999987</v>
          </cell>
          <cell r="K10" t="str">
            <v>INDAIATUBA</v>
          </cell>
        </row>
        <row r="11">
          <cell r="E11" t="str">
            <v>JUNDIAI</v>
          </cell>
          <cell r="F11">
            <v>34847.280000000006</v>
          </cell>
          <cell r="K11" t="str">
            <v>INTERLAGOS</v>
          </cell>
        </row>
        <row r="12">
          <cell r="E12" t="str">
            <v>KEY ABC</v>
          </cell>
          <cell r="F12">
            <v>83872.040000000008</v>
          </cell>
          <cell r="K12" t="str">
            <v>JUNDIAI</v>
          </cell>
        </row>
        <row r="13">
          <cell r="E13" t="str">
            <v>KEY CASA</v>
          </cell>
          <cell r="F13">
            <v>168660.31999999992</v>
          </cell>
          <cell r="K13" t="str">
            <v>LESTE</v>
          </cell>
        </row>
        <row r="14">
          <cell r="E14" t="str">
            <v>KEY INTERIOR</v>
          </cell>
          <cell r="F14">
            <v>415456.49999999983</v>
          </cell>
          <cell r="K14" t="str">
            <v>LESTE MOOCA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</row>
        <row r="16">
          <cell r="E16" t="str">
            <v>KEY SJC</v>
          </cell>
          <cell r="F16">
            <v>4256.3499999999995</v>
          </cell>
          <cell r="K16" t="str">
            <v>LESTE TATUAPE</v>
          </cell>
        </row>
        <row r="17">
          <cell r="E17" t="str">
            <v>KEY SP</v>
          </cell>
          <cell r="F17">
            <v>133155.56000000003</v>
          </cell>
          <cell r="K17" t="str">
            <v>MOGI</v>
          </cell>
        </row>
        <row r="18">
          <cell r="E18" t="str">
            <v>KEY ZL</v>
          </cell>
          <cell r="F18">
            <v>102257.37000000001</v>
          </cell>
          <cell r="K18" t="str">
            <v>NORTE</v>
          </cell>
        </row>
        <row r="19">
          <cell r="E19" t="str">
            <v>LESTE</v>
          </cell>
          <cell r="F19">
            <v>43906.260000000046</v>
          </cell>
          <cell r="K19" t="str">
            <v>OSASCO</v>
          </cell>
        </row>
        <row r="20">
          <cell r="E20" t="str">
            <v>LESTE MOOCA</v>
          </cell>
          <cell r="F20">
            <v>70039.020000000033</v>
          </cell>
          <cell r="K20" t="str">
            <v>PIRITUBA</v>
          </cell>
        </row>
        <row r="21">
          <cell r="E21" t="str">
            <v>LESTE PENHA</v>
          </cell>
          <cell r="F21">
            <v>41347.950000000019</v>
          </cell>
          <cell r="K21" t="str">
            <v>SANTO ANDRE</v>
          </cell>
        </row>
        <row r="22">
          <cell r="E22" t="str">
            <v>LESTE TATUAPE</v>
          </cell>
          <cell r="F22">
            <v>29185.250000000055</v>
          </cell>
          <cell r="K22" t="str">
            <v>SBC</v>
          </cell>
        </row>
        <row r="23">
          <cell r="E23" t="str">
            <v>MOGI</v>
          </cell>
          <cell r="F23">
            <v>12411.01999999999</v>
          </cell>
          <cell r="K23" t="str">
            <v>SJC</v>
          </cell>
        </row>
        <row r="24">
          <cell r="E24" t="str">
            <v>NORTE</v>
          </cell>
          <cell r="F24">
            <v>82490.659999999989</v>
          </cell>
          <cell r="K24" t="str">
            <v>SJC/VALE</v>
          </cell>
        </row>
        <row r="25">
          <cell r="E25" t="str">
            <v>OSASCO</v>
          </cell>
          <cell r="F25">
            <v>117480.54500000001</v>
          </cell>
          <cell r="K25" t="str">
            <v>Total Geral</v>
          </cell>
        </row>
        <row r="26">
          <cell r="E26" t="str">
            <v>PIRITUBA</v>
          </cell>
          <cell r="F26">
            <v>43735.680000000015</v>
          </cell>
        </row>
        <row r="27">
          <cell r="E27" t="str">
            <v>SANTO ANDRE</v>
          </cell>
          <cell r="F27">
            <v>54308.640000000014</v>
          </cell>
        </row>
        <row r="28">
          <cell r="E28" t="str">
            <v>SBC</v>
          </cell>
          <cell r="F28">
            <v>87703.629999999946</v>
          </cell>
        </row>
        <row r="29">
          <cell r="E29" t="str">
            <v>SJC</v>
          </cell>
          <cell r="F29">
            <v>30065.71000000001</v>
          </cell>
        </row>
        <row r="30">
          <cell r="E30" t="str">
            <v>SJC/VALE</v>
          </cell>
          <cell r="F30">
            <v>18190.23</v>
          </cell>
        </row>
        <row r="31">
          <cell r="E31" t="str">
            <v>VENDEDOR INTERNO 1</v>
          </cell>
          <cell r="F31">
            <v>27963</v>
          </cell>
        </row>
        <row r="32">
          <cell r="E32" t="str">
            <v>Total Geral</v>
          </cell>
          <cell r="F32">
            <v>1900457.4800000051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150230</v>
      </c>
      <c r="J4" s="4"/>
      <c r="K4" s="4"/>
      <c r="L4" s="4"/>
      <c r="M4" s="4"/>
      <c r="N4" s="4" t="s">
        <v>37</v>
      </c>
      <c r="O4" s="7">
        <f>SUM(O11:O17)</f>
        <v>523000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1900457.4799999993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317938.64999999997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3884042.5200000005</v>
      </c>
      <c r="D6" s="2"/>
      <c r="E6" s="4"/>
      <c r="F6" s="4"/>
      <c r="G6" s="4"/>
      <c r="H6" s="4" t="s">
        <v>2</v>
      </c>
      <c r="I6" s="7">
        <f>I4-I5</f>
        <v>150230</v>
      </c>
      <c r="J6" s="4"/>
      <c r="K6" s="4"/>
      <c r="L6" s="4"/>
      <c r="M6" s="4"/>
      <c r="N6" s="4" t="s">
        <v>2</v>
      </c>
      <c r="O6" s="7">
        <f>O4-O5</f>
        <v>205061.35000000003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</row>
    <row r="7" spans="1:23" x14ac:dyDescent="0.25">
      <c r="A7" s="4"/>
      <c r="B7" s="4" t="s">
        <v>3</v>
      </c>
      <c r="C7" s="3">
        <f>1-(C6/C4)</f>
        <v>0.32854308583282898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0.60791328871892913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22124.100000000006</v>
      </c>
      <c r="E10" s="25">
        <f>Tabela13[[#This Row],[META A]]-Tabela13[[#This Row],[ATINGIDO]]</f>
        <v>42375.899999999994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16640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16640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152957.19999999995</v>
      </c>
      <c r="E11" s="23">
        <f>Tabela13[[#This Row],[META A]]-Tabela13[[#This Row],[ATINGIDO]]</f>
        <v>177042.80000000005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15820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15820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24706.799999999999</v>
      </c>
      <c r="Q11" s="2">
        <f>Tabela8[[#This Row],[COMPROMISSO]]-Tabela8[[#This Row],[ATINGIDO]]</f>
        <v>44793.2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10190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10190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34002.525000000009</v>
      </c>
      <c r="E13" s="23">
        <f>Tabela13[[#This Row],[META A]]-Tabela13[[#This Row],[ATINGIDO]]</f>
        <v>55997.474999999991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13800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13800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99000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34362.959999999999</v>
      </c>
      <c r="Q13" s="2">
        <f>Tabela8[[#This Row],[COMPROMISSO]]-Tabela8[[#This Row],[ATINGIDO]]</f>
        <v>64637.04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89307.35999999987</v>
      </c>
      <c r="E14" s="25">
        <f>Tabela13[[#This Row],[META A]]-Tabela13[[#This Row],[ATINGIDO]]</f>
        <v>183692.64000000013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6090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6090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181682.4</v>
      </c>
      <c r="Q14" s="2">
        <f>Tabela8[[#This Row],[COMPROMISSO]]-Tabela8[[#This Row],[ATINGIDO]]</f>
        <v>-21682.399999999994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34847.280000000006</v>
      </c>
      <c r="E15" s="23">
        <f>Tabela13[[#This Row],[META A]]-Tabela13[[#This Row],[ATINGIDO]]</f>
        <v>43152.719999999994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17760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17760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132000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32258.059999999998</v>
      </c>
      <c r="Q15" s="2">
        <f>Tabela8[[#This Row],[COMPROMISSO]]-Tabela8[[#This Row],[ATINGIDO]]</f>
        <v>99741.94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83872.040000000008</v>
      </c>
      <c r="E16" s="25">
        <f>Tabela13[[#This Row],[META A]]-Tabela13[[#This Row],[ATINGIDO]]</f>
        <v>266127.95999999996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12320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12320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2031</v>
      </c>
      <c r="Q16" s="2">
        <f>Tabela8[[#This Row],[COMPROMISSO]]-Tabela8[[#This Row],[ATINGIDO]]</f>
        <v>-2031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168660.31999999992</v>
      </c>
      <c r="E17" s="23">
        <f>Tabela13[[#This Row],[META A]]-Tabela13[[#This Row],[ATINGIDO]]</f>
        <v>251339.68000000008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5400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5400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62500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42897.429999999971</v>
      </c>
      <c r="Q17" s="2">
        <f>Tabela8[[#This Row],[COMPROMISSO]]-Tabela8[[#This Row],[ATINGIDO]]</f>
        <v>19602.570000000029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415456.49999999983</v>
      </c>
      <c r="E18" s="25">
        <f>Tabela13[[#This Row],[META A]]-Tabela13[[#This Row],[ATINGIDO]]</f>
        <v>564543.50000000023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3900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3900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4256.3499999999995</v>
      </c>
      <c r="E19" s="23">
        <f>Tabela13[[#This Row],[META A]]-Tabela13[[#This Row],[ATINGIDO]]</f>
        <v>137743.65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11580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11580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133155.56000000003</v>
      </c>
      <c r="E20" s="25">
        <f>Tabela13[[#This Row],[META A]]-Tabela13[[#This Row],[ATINGIDO]]</f>
        <v>426844.43999999994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11900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11900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102257.37000000001</v>
      </c>
      <c r="E21" s="23">
        <f>Tabela13[[#This Row],[META A]]-Tabela13[[#This Row],[ATINGIDO]]</f>
        <v>322742.63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4230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4230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43906.260000000046</v>
      </c>
      <c r="E22" s="25">
        <f>Tabela13[[#This Row],[META A]]-Tabela13[[#This Row],[ATINGIDO]]</f>
        <v>78093.739999999962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5810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5810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317938.65000000002</v>
      </c>
      <c r="Q22" s="7">
        <f>O22-P22</f>
        <v>367061.35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70039.020000000033</v>
      </c>
      <c r="E23" s="23">
        <f>Tabela13[[#This Row],[META A]]-Tabela13[[#This Row],[ATINGIDO]]</f>
        <v>129960.97999999997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3350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3350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685000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41347.950000000019</v>
      </c>
      <c r="E24" s="25">
        <f>Tabela13[[#This Row],[META A]]-Tabela13[[#This Row],[ATINGIDO]]</f>
        <v>103652.04999999999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2080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2080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29185.250000000055</v>
      </c>
      <c r="E25" s="23">
        <f>Tabela13[[#This Row],[META A]]-Tabela13[[#This Row],[ATINGIDO]]</f>
        <v>117814.74999999994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5310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5310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12411.01999999999</v>
      </c>
      <c r="E26" s="25">
        <f>Tabela13[[#This Row],[META A]]-Tabela13[[#This Row],[ATINGIDO]]</f>
        <v>77588.98000000001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1140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1140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82490.659999999989</v>
      </c>
      <c r="E27" s="23">
        <f>Tabela13[[#This Row],[META A]]-Tabela13[[#This Row],[ATINGIDO]]</f>
        <v>159509.34000000003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2910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2910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117480.54500000001</v>
      </c>
      <c r="E28" s="25">
        <f>Tabela13[[#This Row],[META A]]-Tabela13[[#This Row],[ATINGIDO]]</f>
        <v>206019.45499999999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43735.680000000015</v>
      </c>
      <c r="E30" s="25">
        <f>Tabela13[[#This Row],[META A]]-Tabela13[[#This Row],[ATINGIDO]]</f>
        <v>95764.319999999978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54308.640000000014</v>
      </c>
      <c r="E31" s="23">
        <f>Tabela13[[#This Row],[META A]]-Tabela13[[#This Row],[ATINGIDO]]</f>
        <v>112691.35999999999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575938.87000000477</v>
      </c>
      <c r="K31" s="7">
        <f>I31-J31</f>
        <v>116084.9395238047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142</v>
      </c>
      <c r="W31" s="6">
        <f t="shared" ref="W31:W33" si="2">U31-V31</f>
        <v>44.428571428571416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87703.629999999946</v>
      </c>
      <c r="E32" s="25">
        <f>Tabela13[[#This Row],[META A]]-Tabela13[[#This Row],[ATINGIDO]]</f>
        <v>177296.37000000005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346088.17000000051</v>
      </c>
      <c r="K32" s="7">
        <f t="shared" ref="K32:K34" si="3">I32-J32</f>
        <v>345935.63952380896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30065.71000000001</v>
      </c>
      <c r="E33" s="23">
        <f>Tabela13[[#This Row],[META A]]-Tabela13[[#This Row],[ATINGIDO]]</f>
        <v>69934.289999999994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18190.23</v>
      </c>
      <c r="E34" s="25">
        <f>Tabela13[[#This Row],[META A]]-Tabela13[[#This Row],[ATINGIDO]]</f>
        <v>36809.770000000004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27963</v>
      </c>
      <c r="E35" s="23">
        <f>Tabela13[[#This Row],[META A]]-Tabela13[[#This Row],[ATINGIDO]]</f>
        <v>47037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1204104.709999999</v>
      </c>
      <c r="E40" s="7">
        <f>C40-D40</f>
        <v>173157.19476190582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696352.77000000083</v>
      </c>
      <c r="E41" s="7">
        <f t="shared" ref="E41:E43" si="4">C41-D41</f>
        <v>680909.13476190402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2026-08-12T10:31:17Z</dcterms:modified>
</cp:coreProperties>
</file>