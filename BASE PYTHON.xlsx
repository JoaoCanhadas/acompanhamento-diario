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6037FBF-FE95-48F2-ADDF-703587339B5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2" l="1"/>
  <c r="C34" i="2"/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3" i="2"/>
  <c r="P25" i="2"/>
  <c r="P17" i="2"/>
  <c r="V31" i="2"/>
  <c r="P21" i="2"/>
  <c r="P16" i="2"/>
  <c r="P14" i="2"/>
  <c r="V30" i="2"/>
  <c r="V34" i="2"/>
  <c r="P12" i="2"/>
  <c r="V33" i="2"/>
  <c r="P11" i="2"/>
  <c r="P15" i="2"/>
  <c r="P13" i="2"/>
  <c r="P24" i="2"/>
  <c r="V32" i="2"/>
  <c r="P22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5" i="2"/>
  <c r="J32" i="2"/>
  <c r="D41" i="2"/>
  <c r="D43" i="2"/>
  <c r="D42" i="2"/>
  <c r="J33" i="2"/>
  <c r="J35" i="2"/>
  <c r="D44" i="2"/>
  <c r="J31" i="2"/>
  <c r="D40" i="2"/>
  <c r="J3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<sst xmlns="http://schemas.openxmlformats.org/spreadsheetml/2006/main" count="215" uniqueCount="54">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</sst>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57401.439999999995</v>
          </cell>
        </row>
        <row r="6">
          <cell r="E6" t="str">
            <v>CENTRO</v>
          </cell>
          <cell r="F6">
            <v>338134.91000000015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K8" t="str">
            <v>CAMPINAS</v>
          </cell>
          <cell r="N8">
            <v>31</v>
          </cell>
        </row>
        <row r="9">
          <cell r="E9" t="str">
            <v>INDAIATUBA</v>
          </cell>
          <cell r="F9">
            <v>74746.499999999985</v>
          </cell>
          <cell r="K9" t="str">
            <v>CENTRO</v>
          </cell>
          <cell r="N9">
            <v>52</v>
          </cell>
        </row>
        <row r="10">
          <cell r="E10" t="str">
            <v>INTERLAGOS</v>
          </cell>
          <cell r="F10">
            <v>236455.30999999979</v>
          </cell>
          <cell r="K10" t="str">
            <v>INDAIATUBA</v>
          </cell>
          <cell r="N10">
            <v>41</v>
          </cell>
        </row>
        <row r="11">
          <cell r="E11" t="str">
            <v>JUNDIAI</v>
          </cell>
          <cell r="F11">
            <v>70692.340000000011</v>
          </cell>
          <cell r="K11" t="str">
            <v>INTERLAGOS</v>
          </cell>
          <cell r="N11">
            <v>62</v>
          </cell>
        </row>
        <row r="12">
          <cell r="E12" t="str">
            <v>KEY ABC</v>
          </cell>
          <cell r="F12">
            <v>307046.27</v>
          </cell>
          <cell r="K12" t="str">
            <v>JUNDIAI</v>
          </cell>
          <cell r="N12">
            <v>28</v>
          </cell>
        </row>
        <row r="13">
          <cell r="E13" t="str">
            <v>KEY CASA</v>
          </cell>
          <cell r="F13">
            <v>301418.32000000012</v>
          </cell>
          <cell r="K13" t="str">
            <v>LESTE</v>
          </cell>
          <cell r="N13">
            <v>32</v>
          </cell>
        </row>
        <row r="14">
          <cell r="E14" t="str">
            <v>KEY INTERIOR</v>
          </cell>
          <cell r="F14">
            <v>1027556.8000000002</v>
          </cell>
          <cell r="K14" t="str">
            <v>LESTE MOOCA</v>
          </cell>
          <cell r="N14">
            <v>57</v>
          </cell>
        </row>
        <row r="15">
          <cell r="E15" t="str">
            <v>KEY PIRACICABA</v>
          </cell>
          <cell r="F15">
            <v>109098.67999999996</v>
          </cell>
          <cell r="K15" t="str">
            <v>LESTE PENHA</v>
          </cell>
          <cell r="N15">
            <v>33</v>
          </cell>
        </row>
        <row r="16">
          <cell r="E16" t="str">
            <v>KEY SJC</v>
          </cell>
          <cell r="F16">
            <v>131343.10000000006</v>
          </cell>
          <cell r="K16" t="str">
            <v>LESTE TATUAPE</v>
          </cell>
          <cell r="N16">
            <v>55</v>
          </cell>
        </row>
        <row r="17">
          <cell r="E17" t="str">
            <v>KEY SP</v>
          </cell>
          <cell r="F17">
            <v>413188.47999999986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375491.24999999988</v>
          </cell>
          <cell r="K18" t="str">
            <v>NORTE</v>
          </cell>
          <cell r="N18">
            <v>48</v>
          </cell>
        </row>
        <row r="19">
          <cell r="E19" t="str">
            <v>LESTE</v>
          </cell>
          <cell r="F19">
            <v>93763.529999999912</v>
          </cell>
          <cell r="K19" t="str">
            <v>OSASCO</v>
          </cell>
          <cell r="N19">
            <v>70</v>
          </cell>
        </row>
        <row r="20">
          <cell r="E20" t="str">
            <v>LESTE MOOCA</v>
          </cell>
          <cell r="F20">
            <v>181752.73499999929</v>
          </cell>
          <cell r="K20" t="str">
            <v>PIRITUBA</v>
          </cell>
          <cell r="N20">
            <v>28</v>
          </cell>
        </row>
        <row r="21">
          <cell r="E21" t="str">
            <v>LESTE PENHA</v>
          </cell>
          <cell r="F21">
            <v>125204.78999999995</v>
          </cell>
          <cell r="K21" t="str">
            <v>SANTO ANDRE</v>
          </cell>
          <cell r="N21">
            <v>29</v>
          </cell>
        </row>
        <row r="22">
          <cell r="E22" t="str">
            <v>LESTE TATUAPE</v>
          </cell>
          <cell r="F22">
            <v>134900.7599999996</v>
          </cell>
          <cell r="K22" t="str">
            <v>SBC</v>
          </cell>
          <cell r="N22">
            <v>43</v>
          </cell>
        </row>
        <row r="23">
          <cell r="E23" t="str">
            <v>MOGI</v>
          </cell>
          <cell r="F23">
            <v>68876.53000000013</v>
          </cell>
          <cell r="K23" t="str">
            <v>SJC</v>
          </cell>
          <cell r="N23">
            <v>28</v>
          </cell>
        </row>
        <row r="24">
          <cell r="E24" t="str">
            <v>NORTE</v>
          </cell>
          <cell r="F24">
            <v>229384.59999999919</v>
          </cell>
          <cell r="K24" t="str">
            <v>SJC/VALE</v>
          </cell>
          <cell r="N24">
            <v>36</v>
          </cell>
        </row>
        <row r="25">
          <cell r="E25" t="str">
            <v>OSASCO</v>
          </cell>
          <cell r="F25">
            <v>316342.13999999961</v>
          </cell>
          <cell r="K25" t="str">
            <v>Total Geral</v>
          </cell>
          <cell r="N25">
            <v>712</v>
          </cell>
        </row>
        <row r="26">
          <cell r="E26" t="str">
            <v>PIRITUBA</v>
          </cell>
          <cell r="F26">
            <v>121945.50999999982</v>
          </cell>
        </row>
        <row r="27">
          <cell r="E27" t="str">
            <v>SANTO ANDRE</v>
          </cell>
          <cell r="F27">
            <v>153896.08000000002</v>
          </cell>
        </row>
        <row r="28">
          <cell r="E28" t="str">
            <v>SBC</v>
          </cell>
          <cell r="F28">
            <v>250032.59</v>
          </cell>
        </row>
        <row r="29">
          <cell r="E29" t="str">
            <v>SJC</v>
          </cell>
          <cell r="F29">
            <v>77933.600000000108</v>
          </cell>
        </row>
        <row r="30">
          <cell r="E30" t="str">
            <v>SJC/VALE</v>
          </cell>
          <cell r="F30">
            <v>43217.71000000005</v>
          </cell>
        </row>
        <row r="31">
          <cell r="E31" t="str">
            <v>VENDEDOR INTERNO 1</v>
          </cell>
          <cell r="F31">
            <v>68398.600000000006</v>
          </cell>
        </row>
        <row r="32">
          <cell r="E32" t="str">
            <v>Total Geral</v>
          </cell>
          <cell r="F32">
            <v>5309522.8949999213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35000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643500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="60" zoomScaleNormal="60" workbookViewId="0">
      <selection activeCell="P38" sqref="P34:Q38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120000</v>
      </c>
      <c r="J4" s="4"/>
      <c r="K4" s="4"/>
      <c r="L4" s="4"/>
      <c r="M4" s="4"/>
      <c r="N4" s="4" t="s">
        <v>37</v>
      </c>
      <c r="O4" s="7">
        <f>SUM(O11:O17)</f>
        <v>643500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5309522.8949999977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457122.37999999995</v>
      </c>
      <c r="P5" s="4"/>
      <c r="Q5" s="4"/>
      <c r="R5" s="4"/>
      <c r="S5" s="4"/>
      <c r="T5" s="4" t="s">
        <v>1</v>
      </c>
      <c r="U5" s="4">
        <f>SUM(V10:V26)</f>
        <v>712</v>
      </c>
      <c r="V5" s="4"/>
      <c r="W5" s="4"/>
    </row>
    <row r="6" spans="1:23" x14ac:dyDescent="0.25">
      <c r="A6" s="4"/>
      <c r="B6" s="4" t="s">
        <v>2</v>
      </c>
      <c r="C6" s="2">
        <f>C4-C5</f>
        <v>282977.10500000231</v>
      </c>
      <c r="D6" s="2"/>
      <c r="E6" s="4"/>
      <c r="F6" s="4"/>
      <c r="G6" s="4"/>
      <c r="H6" s="4" t="s">
        <v>2</v>
      </c>
      <c r="I6" s="7">
        <f>I4-I5</f>
        <v>120000</v>
      </c>
      <c r="J6" s="4"/>
      <c r="K6" s="4"/>
      <c r="L6" s="4"/>
      <c r="M6" s="4"/>
      <c r="N6" s="4" t="s">
        <v>2</v>
      </c>
      <c r="O6" s="7">
        <f>O4-O5</f>
        <v>186377.62000000005</v>
      </c>
      <c r="P6" s="4"/>
      <c r="Q6" s="4"/>
      <c r="R6" s="4"/>
      <c r="S6" s="4"/>
      <c r="T6" s="4" t="s">
        <v>2</v>
      </c>
      <c r="U6" s="4">
        <f>U4-U5</f>
        <v>46</v>
      </c>
      <c r="V6" s="4"/>
      <c r="W6" s="4"/>
    </row>
    <row r="7" spans="1:23" x14ac:dyDescent="0.25">
      <c r="A7" s="4"/>
      <c r="B7" s="4" t="s">
        <v>3</v>
      </c>
      <c r="C7" s="3">
        <f>1-(C6/C4)</f>
        <v>0.94940060706303042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0.71036888888888883</v>
      </c>
      <c r="P7" s="4"/>
      <c r="Q7" s="4"/>
      <c r="R7" s="4"/>
      <c r="S7" s="4"/>
      <c r="T7" s="4" t="s">
        <v>3</v>
      </c>
      <c r="U7" s="3">
        <f>1-(U6/U4)</f>
        <v>0.93931398416886547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57401.439999999995</v>
      </c>
      <c r="E10" s="27">
        <f>Tabela13[[#This Row],[META A]]-Tabela13[[#This Row],[ATINGIDO]]</f>
        <v>7098.5600000000049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12300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12300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31</v>
      </c>
      <c r="W10" s="19">
        <f>U10-V10</f>
        <v>5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338134.91000000015</v>
      </c>
      <c r="E11" s="24">
        <f>Tabela13[[#This Row],[META A]]-Tabela13[[#This Row],[ATINGIDO]]</f>
        <v>-13134.910000000149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10230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10230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35000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46389.649999999994</v>
      </c>
      <c r="Q11" s="2">
        <f>Tabela8[[#This Row],[COMPROMISSO]]-Tabela8[[#This Row],[ATINGIDO]]</f>
        <v>-11389.649999999994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52</v>
      </c>
      <c r="W11" s="19">
        <f t="shared" ref="W11:W20" si="0">U11-V11</f>
        <v>0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4470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4470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41</v>
      </c>
      <c r="W12" s="19">
        <f t="shared" si="0"/>
        <v>0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74746.499999999985</v>
      </c>
      <c r="E13" s="24">
        <f>Tabela13[[#This Row],[META A]]-Tabela13[[#This Row],[ATINGIDO]]</f>
        <v>15253.500000000015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12520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12520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58482.950000000004</v>
      </c>
      <c r="Q13" s="2">
        <f>Tabela8[[#This Row],[COMPROMISSO]]-Tabela8[[#This Row],[ATINGIDO]]</f>
        <v>80017.049999999988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62</v>
      </c>
      <c r="W13" s="19">
        <f t="shared" si="0"/>
        <v>-3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236455.30999999979</v>
      </c>
      <c r="E14" s="27">
        <f>Tabela13[[#This Row],[META A]]-Tabela13[[#This Row],[ATINGIDO]]</f>
        <v>36544.690000000206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3410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3410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176163.4</v>
      </c>
      <c r="Q14" s="2">
        <f>Tabela8[[#This Row],[COMPROMISSO]]-Tabela8[[#This Row],[ATINGIDO]]</f>
        <v>8836.6000000000058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28</v>
      </c>
      <c r="W14" s="19">
        <f t="shared" si="0"/>
        <v>-1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70692.340000000011</v>
      </c>
      <c r="E15" s="24">
        <f>Tabela13[[#This Row],[META A]]-Tabela13[[#This Row],[ATINGIDO]]</f>
        <v>7307.6599999999889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14230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14230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133695.73999999996</v>
      </c>
      <c r="Q15" s="2">
        <f>Tabela8[[#This Row],[COMPROMISSO]]-Tabela8[[#This Row],[ATINGIDO]]</f>
        <v>16304.260000000038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32</v>
      </c>
      <c r="W15" s="19">
        <f>U15-V15</f>
        <v>16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307046.27</v>
      </c>
      <c r="E16" s="27">
        <f>Tabela13[[#This Row],[META A]]-Tabela13[[#This Row],[ATINGIDO]]</f>
        <v>17953.729999999981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8120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8120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4203</v>
      </c>
      <c r="Q16" s="2">
        <f>Tabela8[[#This Row],[COMPROMISSO]]-Tabela8[[#This Row],[ATINGIDO]]</f>
        <v>61797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301418.32000000012</v>
      </c>
      <c r="E17" s="24">
        <f>Tabela13[[#This Row],[META A]]-Tabela13[[#This Row],[ATINGIDO]]</f>
        <v>-131418.32000000012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5520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5520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34825.039999999972</v>
      </c>
      <c r="Q17" s="2">
        <f>Tabela8[[#This Row],[COMPROMISSO]]-Tabela8[[#This Row],[ATINGIDO]]</f>
        <v>-34825.039999999972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57</v>
      </c>
      <c r="W17" s="19">
        <f t="shared" si="0"/>
        <v>-8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1027556.8000000002</v>
      </c>
      <c r="E18" s="27">
        <f>Tabela13[[#This Row],[META A]]-Tabela13[[#This Row],[ATINGIDO]]</f>
        <v>-77556.800000000163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5810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5810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48</v>
      </c>
      <c r="W18" s="19">
        <f t="shared" si="0"/>
        <v>-3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131343.10000000006</v>
      </c>
      <c r="E19" s="24">
        <f>Tabela13[[#This Row],[META A]]-Tabela13[[#This Row],[ATINGIDO]]</f>
        <v>-1343.100000000064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5740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5740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70</v>
      </c>
      <c r="W19" s="19">
        <f t="shared" si="0"/>
        <v>-9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413188.47999999986</v>
      </c>
      <c r="E20" s="27">
        <f>Tabela13[[#This Row],[META A]]-Tabela13[[#This Row],[ATINGIDO]]</f>
        <v>146811.52000000014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14820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14820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33</v>
      </c>
      <c r="W20" s="19">
        <f t="shared" si="0"/>
        <v>6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375491.24999999988</v>
      </c>
      <c r="E21" s="24">
        <f>Tabela13[[#This Row],[META A]]-Tabela13[[#This Row],[ATINGIDO]]</f>
        <v>39508.750000000116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4490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4490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28</v>
      </c>
      <c r="W21" s="19">
        <f t="shared" ref="W21:W26" si="1">U21-V21</f>
        <v>16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93763.529999999912</v>
      </c>
      <c r="E22" s="27">
        <f>Tabela13[[#This Row],[META A]]-Tabela13[[#This Row],[ATINGIDO]]</f>
        <v>28236.470000000088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2780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2780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29</v>
      </c>
      <c r="W22" s="19">
        <f t="shared" si="1"/>
        <v>11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181752.73499999929</v>
      </c>
      <c r="E23" s="24">
        <f>Tabela13[[#This Row],[META A]]-Tabela13[[#This Row],[ATINGIDO]]</f>
        <v>13247.265000000712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3770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3770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43</v>
      </c>
      <c r="W23" s="19">
        <f t="shared" si="1"/>
        <v>12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125204.78999999995</v>
      </c>
      <c r="E24" s="27">
        <f>Tabela13[[#This Row],[META A]]-Tabela13[[#This Row],[ATINGIDO]]</f>
        <v>14795.21000000005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3670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3670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28</v>
      </c>
      <c r="W24" s="19">
        <f t="shared" si="1"/>
        <v>9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134900.7599999996</v>
      </c>
      <c r="E25" s="24">
        <f>Tabela13[[#This Row],[META A]]-Tabela13[[#This Row],[ATINGIDO]]</f>
        <v>7599.2400000003981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3660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457122.3799999996</v>
      </c>
      <c r="Q25" s="7">
        <f>O25-P25</f>
        <v>162195.80181818228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55</v>
      </c>
      <c r="W25" s="19">
        <f t="shared" si="1"/>
        <v>-4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68876.53000000013</v>
      </c>
      <c r="E26" s="27">
        <f>Tabela13[[#This Row],[META A]]-Tabela13[[#This Row],[ATINGIDO]]</f>
        <v>21123.46999999987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2920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2920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36</v>
      </c>
      <c r="W26" s="19">
        <f t="shared" si="1"/>
        <v>-1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229384.59999999919</v>
      </c>
      <c r="E27" s="24">
        <f>Tabela13[[#This Row],[META A]]-Tabela13[[#This Row],[ATINGIDO]]</f>
        <v>8115.4000000008091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1540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1540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316342.13999999961</v>
      </c>
      <c r="E28" s="27">
        <f>Tabela13[[#This Row],[META A]]-Tabela13[[#This Row],[ATINGIDO]]</f>
        <v>2157.8600000003935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109098.67999999996</v>
      </c>
      <c r="E29" s="24">
        <f>Tabela13[[#This Row],[META A]]-Tabela13[[#This Row],[ATINGIDO]]</f>
        <v>65901.320000000036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121945.50999999982</v>
      </c>
      <c r="E30" s="27">
        <f>Tabela13[[#This Row],[META A]]-Tabela13[[#This Row],[ATINGIDO]]</f>
        <v>12554.49000000018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153896.08000000002</v>
      </c>
      <c r="E31" s="24">
        <f>Tabela13[[#This Row],[META A]]-Tabela13[[#This Row],[ATINGIDO]]</f>
        <v>13103.919999999984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250032.59</v>
      </c>
      <c r="E32" s="27">
        <f>Tabela13[[#This Row],[META A]]-Tabela13[[#This Row],[ATINGIDO]]</f>
        <v>9967.4100000000035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77933.600000000108</v>
      </c>
      <c r="E33" s="24">
        <f>Tabela13[[#This Row],[META A]]-Tabela13[[#This Row],[ATINGIDO]]</f>
        <v>22066.399999999892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698882.54000000213</v>
      </c>
      <c r="K33" s="7">
        <f t="shared" si="3"/>
        <v>-47632.540000002133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43217.71000000005</v>
      </c>
      <c r="E34" s="27">
        <f>Tabela13[[#This Row],[META A]]-Tabela13[[#This Row],[ATINGIDO]]</f>
        <v>11782.28999999995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581039.53500000457</v>
      </c>
      <c r="K34" s="7">
        <f t="shared" si="3"/>
        <v>70210.464999995427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245</v>
      </c>
      <c r="W34" s="6">
        <f>U34-V34</f>
        <v>-72.727272727272748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68398.600000000006</v>
      </c>
      <c r="E35" s="24">
        <f>Tabela13[[#This Row],[META A]]-Tabela13[[#This Row],[ATINGIDO]]</f>
        <v>4601.3999999999942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552860.97000000381</v>
      </c>
      <c r="K35" s="7">
        <f>I35-J35</f>
        <v>98389.029999996186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216793.47272727103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1384021.9299999918</v>
      </c>
      <c r="E42" s="7">
        <f t="shared" si="4"/>
        <v>-113226.4754545372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1266222.6249999946</v>
      </c>
      <c r="E43" s="7">
        <f t="shared" si="4"/>
        <v>4572.8295454599429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1010034.3500000003</v>
      </c>
      <c r="E44" s="7">
        <f t="shared" ref="E44" si="5">C44-D44</f>
        <v>260761.10454545426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Analista Comercial 7</cp:lastModifiedBy>
  <dcterms:created xsi:type="dcterms:W3CDTF">2026-05-05T18:00:23Z</dcterms:created>
  <dcterms:modified xsi:type="dcterms:W3CDTF">2026-07-30T15:22:27Z</dcterms:modified>
</cp:coreProperties>
</file>