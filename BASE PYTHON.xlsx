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9E6546E7-4AB1-4F95-B86F-488D09CDE115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P17" i="2"/>
  <c r="V31" i="2"/>
  <c r="P11" i="2"/>
  <c r="P15" i="2"/>
  <c r="V34" i="2"/>
  <c r="P13" i="2"/>
  <c r="P16" i="2"/>
  <c r="P14" i="2"/>
  <c r="V33" i="2"/>
  <c r="P12" i="2"/>
  <c r="P22" i="2"/>
  <c r="P21" i="2"/>
  <c r="P23" i="2"/>
  <c r="V30" i="2"/>
  <c r="P25" i="2"/>
  <c r="V32" i="2"/>
  <c r="P24" i="2"/>
  <c r="W10" i="2" l="1"/>
  <c r="Q11" i="2"/>
  <c r="Q17" i="2"/>
  <c r="Q16" i="2"/>
  <c r="Q15" i="2"/>
  <c r="Q14" i="2"/>
  <c r="Q13" i="2"/>
  <c r="Q12" i="2"/>
  <c r="E36" i="2"/>
  <c r="U4" i="2"/>
  <c r="W15" i="2"/>
  <c r="U5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J31" i="2"/>
  <c r="J35" i="2"/>
  <c r="J33" i="2"/>
  <c r="D42" i="2"/>
  <c r="D40" i="2"/>
  <c r="J34" i="2"/>
  <c r="D43" i="2"/>
  <c r="D44" i="2"/>
  <c r="D41" i="2"/>
  <c r="J32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I4" i="2" l="1"/>
  <c r="I6" i="2" s="1"/>
  <c r="I7" i="2" s="1"/>
  <c r="O21" i="2" l="1" a="1"/>
  <c r="O21" i="2" s="1"/>
  <c r="Q21" i="2" s="1"/>
  <c r="I34" i="2" l="1" a="1"/>
  <c r="I34" i="2" s="1"/>
  <c r="K34" i="2" s="1"/>
  <c r="O22" i="2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I31" i="2" a="1"/>
  <c r="I31" i="2" s="1"/>
  <c r="K31" i="2" s="1"/>
  <c r="I33" i="2" a="1"/>
  <c r="I33" i="2" s="1"/>
  <c r="K33" i="2" s="1"/>
  <c r="I35" i="2" a="1"/>
  <c r="I35" i="2" s="1"/>
  <c r="K35" i="2" s="1"/>
  <c r="I32" i="2" a="1"/>
  <c r="I32" i="2" s="1"/>
  <c r="K32" i="2" s="1"/>
  <c r="C40" i="2" a="1"/>
  <c r="C40" i="2" s="1"/>
  <c r="E40" i="2" s="1"/>
  <c r="C42" i="2" l="1" a="1"/>
  <c r="C42" i="2" s="1"/>
  <c r="E42" i="2" s="1"/>
  <c r="C44" i="2" a="1"/>
  <c r="C44" i="2" s="1"/>
  <c r="E44" i="2" s="1"/>
  <c r="C43" i="2" a="1"/>
  <c r="C43" i="2" s="1"/>
  <c r="E43" i="2" s="1"/>
  <c r="C41" i="2" a="1"/>
  <c r="C41" i="2" s="1"/>
  <c r="E41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8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<sst xmlns="http://schemas.openxmlformats.org/spreadsheetml/2006/main" count="215" uniqueCount="54">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</sst>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  <sheetName val="Conversor CX vs KG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28/07/2026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51405.95999999997</v>
          </cell>
          <cell r="H5" t="str">
            <v>CAMPINAS</v>
          </cell>
          <cell r="I5">
            <v>534.59999999999991</v>
          </cell>
        </row>
        <row r="6">
          <cell r="E6" t="str">
            <v>CENTRO</v>
          </cell>
          <cell r="F6">
            <v>310553.17999999982</v>
          </cell>
          <cell r="H6" t="str">
            <v>CENTRO</v>
          </cell>
          <cell r="I6">
            <v>8659.9100000000017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IATAGAM JUNIOR</v>
          </cell>
          <cell r="I7">
            <v>51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217.49</v>
          </cell>
          <cell r="H8" t="str">
            <v>INDAIATUBA</v>
          </cell>
          <cell r="I8">
            <v>5756.1099999999988</v>
          </cell>
          <cell r="K8" t="str">
            <v>CAMPINAS</v>
          </cell>
          <cell r="N8">
            <v>28</v>
          </cell>
        </row>
        <row r="9">
          <cell r="E9" t="str">
            <v>INDAIATUBA</v>
          </cell>
          <cell r="F9">
            <v>70914.580000000031</v>
          </cell>
          <cell r="H9" t="str">
            <v>INTERLAGOS</v>
          </cell>
          <cell r="I9">
            <v>5240.9499999999989</v>
          </cell>
          <cell r="K9" t="str">
            <v>CENTRO</v>
          </cell>
          <cell r="N9">
            <v>50</v>
          </cell>
        </row>
        <row r="10">
          <cell r="E10" t="str">
            <v>INTERLAGOS</v>
          </cell>
          <cell r="F10">
            <v>217869.10999999981</v>
          </cell>
          <cell r="H10" t="str">
            <v>JUNDIAI</v>
          </cell>
          <cell r="I10">
            <v>3890.0000000000005</v>
          </cell>
          <cell r="K10" t="str">
            <v>INDAIATUBA</v>
          </cell>
          <cell r="N10">
            <v>38</v>
          </cell>
        </row>
        <row r="11">
          <cell r="E11" t="str">
            <v>JUNDIAI</v>
          </cell>
          <cell r="F11">
            <v>67260.880000000034</v>
          </cell>
          <cell r="H11" t="str">
            <v>KEY ABC</v>
          </cell>
          <cell r="I11">
            <v>17876.900000000001</v>
          </cell>
          <cell r="K11" t="str">
            <v>INTERLAGOS</v>
          </cell>
          <cell r="N11">
            <v>58</v>
          </cell>
        </row>
        <row r="12">
          <cell r="E12" t="str">
            <v>KEY ABC</v>
          </cell>
          <cell r="F12">
            <v>299175.37</v>
          </cell>
          <cell r="H12" t="str">
            <v>KEY PIRACICABA</v>
          </cell>
          <cell r="I12">
            <v>1638.6</v>
          </cell>
          <cell r="K12" t="str">
            <v>JUNDIAI</v>
          </cell>
          <cell r="N12">
            <v>26</v>
          </cell>
        </row>
        <row r="13">
          <cell r="E13" t="str">
            <v>KEY CASA</v>
          </cell>
          <cell r="F13">
            <v>289653.48000000039</v>
          </cell>
          <cell r="H13" t="str">
            <v>KEY SP</v>
          </cell>
          <cell r="I13">
            <v>9001.6</v>
          </cell>
          <cell r="K13" t="str">
            <v>LESTE</v>
          </cell>
          <cell r="N13">
            <v>31</v>
          </cell>
        </row>
        <row r="14">
          <cell r="E14" t="str">
            <v>KEY INTERIOR</v>
          </cell>
          <cell r="F14">
            <v>940217.00000000012</v>
          </cell>
          <cell r="H14" t="str">
            <v>KEY ZL</v>
          </cell>
          <cell r="I14">
            <v>13257.649999999998</v>
          </cell>
          <cell r="K14" t="str">
            <v>LESTE MOOCA</v>
          </cell>
          <cell r="N14">
            <v>53</v>
          </cell>
        </row>
        <row r="15">
          <cell r="E15" t="str">
            <v>KEY PIRACICABA</v>
          </cell>
          <cell r="F15">
            <v>109098.67999999998</v>
          </cell>
          <cell r="H15" t="str">
            <v>LESTE</v>
          </cell>
          <cell r="I15">
            <v>1734.1999999999998</v>
          </cell>
          <cell r="K15" t="str">
            <v>LESTE PENHA</v>
          </cell>
          <cell r="N15">
            <v>31</v>
          </cell>
        </row>
        <row r="16">
          <cell r="E16" t="str">
            <v>KEY SJC</v>
          </cell>
          <cell r="F16">
            <v>127140.10000000006</v>
          </cell>
          <cell r="H16" t="str">
            <v>LESTE MOOCA</v>
          </cell>
          <cell r="I16">
            <v>5450.2</v>
          </cell>
          <cell r="K16" t="str">
            <v>LESTE TATUAPE</v>
          </cell>
          <cell r="N16">
            <v>47</v>
          </cell>
        </row>
        <row r="17">
          <cell r="E17" t="str">
            <v>KEY SP</v>
          </cell>
          <cell r="F17">
            <v>309068.56999999995</v>
          </cell>
          <cell r="H17" t="str">
            <v>LESTE PENHA</v>
          </cell>
          <cell r="I17">
            <v>3823.8000000000006</v>
          </cell>
          <cell r="K17" t="str">
            <v>MOGI</v>
          </cell>
          <cell r="N17">
            <v>39</v>
          </cell>
        </row>
        <row r="18">
          <cell r="E18" t="str">
            <v>KEY ZL</v>
          </cell>
          <cell r="F18">
            <v>348813.94999999943</v>
          </cell>
          <cell r="H18" t="str">
            <v>LESTE TATUAPE</v>
          </cell>
          <cell r="I18">
            <v>4304.5199999999995</v>
          </cell>
          <cell r="K18" t="str">
            <v>NORTE</v>
          </cell>
          <cell r="N18">
            <v>46</v>
          </cell>
        </row>
        <row r="19">
          <cell r="E19" t="str">
            <v>LESTE</v>
          </cell>
          <cell r="F19">
            <v>89009.559999999925</v>
          </cell>
          <cell r="H19" t="str">
            <v>MOGI</v>
          </cell>
          <cell r="I19">
            <v>1518.67</v>
          </cell>
          <cell r="K19" t="str">
            <v>OSASCO</v>
          </cell>
          <cell r="N19">
            <v>66</v>
          </cell>
        </row>
        <row r="20">
          <cell r="E20" t="str">
            <v>LESTE MOOCA</v>
          </cell>
          <cell r="F20">
            <v>161117.83499999941</v>
          </cell>
          <cell r="H20" t="str">
            <v>NORTE</v>
          </cell>
          <cell r="I20">
            <v>7863.0900000000011</v>
          </cell>
          <cell r="K20" t="str">
            <v>PIRITUBA</v>
          </cell>
          <cell r="N20">
            <v>27</v>
          </cell>
        </row>
        <row r="21">
          <cell r="E21" t="str">
            <v>LESTE PENHA</v>
          </cell>
          <cell r="F21">
            <v>114849.20999999996</v>
          </cell>
          <cell r="H21" t="str">
            <v>OSASCO</v>
          </cell>
          <cell r="I21">
            <v>13665.199999999992</v>
          </cell>
          <cell r="K21" t="str">
            <v>SANTO ANDRE</v>
          </cell>
          <cell r="N21">
            <v>28</v>
          </cell>
        </row>
        <row r="22">
          <cell r="E22" t="str">
            <v>LESTE TATUAPE</v>
          </cell>
          <cell r="F22">
            <v>116114.49999999967</v>
          </cell>
          <cell r="H22" t="str">
            <v>PIRITUBA</v>
          </cell>
          <cell r="I22">
            <v>1448.9</v>
          </cell>
          <cell r="K22" t="str">
            <v>SBC</v>
          </cell>
          <cell r="N22">
            <v>41</v>
          </cell>
        </row>
        <row r="23">
          <cell r="E23" t="str">
            <v>MOGI</v>
          </cell>
          <cell r="F23">
            <v>63428.540000000183</v>
          </cell>
          <cell r="H23" t="str">
            <v>SANTO ANDRE</v>
          </cell>
          <cell r="I23">
            <v>3109.1499999999996</v>
          </cell>
          <cell r="K23" t="str">
            <v>SJC</v>
          </cell>
          <cell r="N23">
            <v>23</v>
          </cell>
        </row>
        <row r="24">
          <cell r="E24" t="str">
            <v>NORTE</v>
          </cell>
          <cell r="F24">
            <v>212757.20999999938</v>
          </cell>
          <cell r="H24" t="str">
            <v>SBC</v>
          </cell>
          <cell r="I24">
            <v>13314.33</v>
          </cell>
          <cell r="K24" t="str">
            <v>SJC/VALE</v>
          </cell>
          <cell r="N24">
            <v>30</v>
          </cell>
        </row>
        <row r="25">
          <cell r="E25" t="str">
            <v>OSASCO</v>
          </cell>
          <cell r="F25">
            <v>284998.66499999963</v>
          </cell>
          <cell r="H25" t="str">
            <v>SJC</v>
          </cell>
          <cell r="I25">
            <v>831.55</v>
          </cell>
          <cell r="K25" t="str">
            <v>Total Geral</v>
          </cell>
          <cell r="N25">
            <v>662</v>
          </cell>
        </row>
        <row r="26">
          <cell r="E26" t="str">
            <v>PIRITUBA</v>
          </cell>
          <cell r="F26">
            <v>110152.5499999999</v>
          </cell>
          <cell r="H26" t="str">
            <v>SJC/VALE</v>
          </cell>
          <cell r="I26">
            <v>2691.7100000000005</v>
          </cell>
        </row>
        <row r="27">
          <cell r="E27" t="str">
            <v>SANTO ANDRE</v>
          </cell>
          <cell r="F27">
            <v>139240.31999999998</v>
          </cell>
          <cell r="H27" t="str">
            <v>VENDEDOR INTERNO 1</v>
          </cell>
          <cell r="I27">
            <v>1088.0999999999999</v>
          </cell>
        </row>
        <row r="28">
          <cell r="E28" t="str">
            <v>SBC</v>
          </cell>
          <cell r="F28">
            <v>220858.58999999988</v>
          </cell>
          <cell r="H28" t="str">
            <v>Total Geral</v>
          </cell>
          <cell r="I28">
            <v>126750.74000000006</v>
          </cell>
        </row>
        <row r="29">
          <cell r="E29" t="str">
            <v>SJC</v>
          </cell>
          <cell r="F29">
            <v>73214.540000000052</v>
          </cell>
        </row>
        <row r="30">
          <cell r="E30" t="str">
            <v>SJC/VALE</v>
          </cell>
          <cell r="F30">
            <v>39436.880000000034</v>
          </cell>
        </row>
        <row r="31">
          <cell r="E31" t="str">
            <v>VENDEDOR INTERNO 1</v>
          </cell>
          <cell r="F31">
            <v>67098.98000000001</v>
          </cell>
        </row>
        <row r="32">
          <cell r="E32" t="str">
            <v>Total Geral</v>
          </cell>
          <cell r="F32">
            <v>4834748.5599999353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0</v>
          </cell>
          <cell r="F87">
            <v>35000</v>
          </cell>
        </row>
        <row r="88">
          <cell r="E88">
            <v>28800</v>
          </cell>
          <cell r="F88">
            <v>69000</v>
          </cell>
        </row>
        <row r="89">
          <cell r="E89">
            <v>86500</v>
          </cell>
          <cell r="F89">
            <v>138500</v>
          </cell>
        </row>
        <row r="90">
          <cell r="E90">
            <v>276000</v>
          </cell>
          <cell r="F90">
            <v>185000</v>
          </cell>
        </row>
        <row r="91">
          <cell r="E91">
            <v>197000</v>
          </cell>
          <cell r="F91">
            <v>150000</v>
          </cell>
        </row>
        <row r="92">
          <cell r="E92">
            <v>35500</v>
          </cell>
          <cell r="F92">
            <v>66000</v>
          </cell>
        </row>
        <row r="94">
          <cell r="E94">
            <v>623800</v>
          </cell>
          <cell r="F94">
            <v>643500</v>
          </cell>
        </row>
        <row r="99">
          <cell r="E99" t="str">
            <v>CANAL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VAREJO</v>
          </cell>
        </row>
        <row r="118">
          <cell r="E118" t="str">
            <v>ECOMMERCE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  <row r="125">
          <cell r="E125" t="str">
            <v>KEY ACCOUNT</v>
          </cell>
        </row>
      </sheetData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5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topLeftCell="I1" zoomScaleNormal="100" workbookViewId="0">
      <selection activeCell="T13" sqref="T13"/>
    </sheetView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200000</v>
      </c>
      <c r="J4" s="4"/>
      <c r="K4" s="4"/>
      <c r="L4" s="4"/>
      <c r="M4" s="4"/>
      <c r="N4" s="4" t="s">
        <v>37</v>
      </c>
      <c r="O4" s="7">
        <f>SUM(O11:O17)</f>
        <v>643500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4834748.5599999987</v>
      </c>
      <c r="D5" s="2"/>
      <c r="E5" s="4"/>
      <c r="F5" s="4"/>
      <c r="G5" s="4"/>
      <c r="H5" s="4" t="s">
        <v>1</v>
      </c>
      <c r="I5" s="7">
        <f>SUM(J10:J27)</f>
        <v>84924.99000000002</v>
      </c>
      <c r="J5" s="4"/>
      <c r="K5" s="4"/>
      <c r="L5" s="4"/>
      <c r="M5" s="4"/>
      <c r="N5" s="4" t="s">
        <v>1</v>
      </c>
      <c r="O5" s="7">
        <f>SUM(P11:P17)</f>
        <v>215146.63000000006</v>
      </c>
      <c r="P5" s="4"/>
      <c r="Q5" s="4"/>
      <c r="R5" s="4"/>
      <c r="S5" s="4"/>
      <c r="T5" s="4" t="s">
        <v>1</v>
      </c>
      <c r="U5" s="4">
        <f>SUM(V10:V26)</f>
        <v>662</v>
      </c>
      <c r="V5" s="4"/>
      <c r="W5" s="4"/>
    </row>
    <row r="6" spans="1:23" x14ac:dyDescent="0.25">
      <c r="A6" s="4"/>
      <c r="B6" s="4" t="s">
        <v>2</v>
      </c>
      <c r="C6" s="2">
        <f>C4-C5</f>
        <v>757751.44000000134</v>
      </c>
      <c r="D6" s="2"/>
      <c r="E6" s="4"/>
      <c r="F6" s="4"/>
      <c r="G6" s="4"/>
      <c r="H6" s="4" t="s">
        <v>2</v>
      </c>
      <c r="I6" s="7">
        <f>I4-I5</f>
        <v>115075.00999999998</v>
      </c>
      <c r="J6" s="4"/>
      <c r="K6" s="4"/>
      <c r="L6" s="4"/>
      <c r="M6" s="4"/>
      <c r="N6" s="4" t="s">
        <v>2</v>
      </c>
      <c r="O6" s="7">
        <f>O4-O5</f>
        <v>428353.36999999994</v>
      </c>
      <c r="P6" s="4"/>
      <c r="Q6" s="4"/>
      <c r="R6" s="4"/>
      <c r="S6" s="4"/>
      <c r="T6" s="4" t="s">
        <v>2</v>
      </c>
      <c r="U6" s="4">
        <f>U4-U5</f>
        <v>96</v>
      </c>
      <c r="V6" s="4"/>
      <c r="W6" s="4"/>
    </row>
    <row r="7" spans="1:23" x14ac:dyDescent="0.25">
      <c r="A7" s="4"/>
      <c r="B7" s="4" t="s">
        <v>3</v>
      </c>
      <c r="C7" s="3">
        <f>1-(C6/C4)</f>
        <v>0.86450577738042</v>
      </c>
      <c r="D7" s="2"/>
      <c r="E7" s="4"/>
      <c r="F7" s="4"/>
      <c r="G7" s="4"/>
      <c r="H7" s="4" t="s">
        <v>3</v>
      </c>
      <c r="I7" s="3">
        <f>1-(I6/I4)</f>
        <v>0.42462495000000011</v>
      </c>
      <c r="J7" s="4"/>
      <c r="K7" s="4"/>
      <c r="L7" s="4"/>
      <c r="M7" s="4"/>
      <c r="N7" s="4" t="s">
        <v>3</v>
      </c>
      <c r="O7" s="3">
        <f>1-(O6/O4)</f>
        <v>0.33433819735819748</v>
      </c>
      <c r="P7" s="4"/>
      <c r="Q7" s="4"/>
      <c r="R7" s="4"/>
      <c r="S7" s="4"/>
      <c r="T7" s="4" t="s">
        <v>3</v>
      </c>
      <c r="U7" s="3">
        <f>1-(U6/U4)</f>
        <v>0.87335092348284959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52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51405.95999999997</v>
      </c>
      <c r="E10" s="27">
        <f>Tabela13[[#This Row],[META A]]-Tabela13[[#This Row],[ATINGIDO]]</f>
        <v>13094.04000000003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19700</v>
      </c>
      <c r="J10" s="22">
        <f>_xlfn.XLOOKUP(Tabela5[[#This Row],[VENDEDOR]],'[1]BASE PYTHON'!$H:$H,'[1]BASE PYTHON'!$I:$I,0)</f>
        <v>13665.199999999992</v>
      </c>
      <c r="K10" s="23">
        <f>Tabela5[[#This Row],[COMPROMISSO]]-Tabela5[[#This Row],[ATINGIDO]]</f>
        <v>6034.8000000000084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28</v>
      </c>
      <c r="W10" s="19">
        <f>U10-V10</f>
        <v>8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310553.17999999982</v>
      </c>
      <c r="E11" s="24">
        <f>Tabela13[[#This Row],[META A]]-Tabela13[[#This Row],[ATINGIDO]]</f>
        <v>14446.820000000182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14940</v>
      </c>
      <c r="J11" s="22">
        <f>_xlfn.XLOOKUP(Tabela5[[#This Row],[VENDEDOR]],'[1]BASE PYTHON'!$H:$H,'[1]BASE PYTHON'!$I:$I,0)</f>
        <v>7863.0900000000011</v>
      </c>
      <c r="K11" s="23">
        <f>Tabela5[[#This Row],[COMPROMISSO]]-Tabela5[[#This Row],[ATINGIDO]]</f>
        <v>7076.9099999999989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35000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38518.75</v>
      </c>
      <c r="Q11" s="2">
        <f>Tabela8[[#This Row],[COMPROMISSO]]-Tabela8[[#This Row],[ATINGIDO]]</f>
        <v>-3518.75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50</v>
      </c>
      <c r="W11" s="19">
        <f t="shared" ref="W11:W20" si="0">U11-V11</f>
        <v>2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217.49</v>
      </c>
      <c r="E12" s="27">
        <f>Tabela13[[#This Row],[META A]]-Tabela13[[#This Row],[ATINGIDO]]</f>
        <v>782.51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14750</v>
      </c>
      <c r="J12" s="22">
        <f>_xlfn.XLOOKUP(Tabela5[[#This Row],[VENDEDOR]],'[1]BASE PYTHON'!$H:$H,'[1]BASE PYTHON'!$I:$I,0)</f>
        <v>1448.9</v>
      </c>
      <c r="K12" s="23">
        <f>Tabela5[[#This Row],[COMPROMISSO]]-Tabela5[[#This Row],[ATINGIDO]]</f>
        <v>13301.1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69000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3362.6</v>
      </c>
      <c r="Q12" s="2">
        <f>Tabela8[[#This Row],[COMPROMISSO]]-Tabela8[[#This Row],[ATINGIDO]]</f>
        <v>65637.399999999994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38</v>
      </c>
      <c r="W12" s="19">
        <f t="shared" si="0"/>
        <v>3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70914.580000000031</v>
      </c>
      <c r="E13" s="24">
        <f>Tabela13[[#This Row],[META A]]-Tabela13[[#This Row],[ATINGIDO]]</f>
        <v>19085.419999999969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22120</v>
      </c>
      <c r="J13" s="22">
        <f>_xlfn.XLOOKUP(Tabela5[[#This Row],[VENDEDOR]],'[1]BASE PYTHON'!$H:$H,'[1]BASE PYTHON'!$I:$I,0)</f>
        <v>13314.33</v>
      </c>
      <c r="K13" s="23">
        <f>Tabela5[[#This Row],[COMPROMISSO]]-Tabela5[[#This Row],[ATINGIDO]]</f>
        <v>8805.67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138500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31805.65</v>
      </c>
      <c r="Q13" s="2">
        <f>Tabela8[[#This Row],[COMPROMISSO]]-Tabela8[[#This Row],[ATINGIDO]]</f>
        <v>106694.35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58</v>
      </c>
      <c r="W13" s="19">
        <f t="shared" si="0"/>
        <v>1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217869.10999999981</v>
      </c>
      <c r="E14" s="27">
        <f>Tabela13[[#This Row],[META A]]-Tabela13[[#This Row],[ATINGIDO]]</f>
        <v>55130.890000000189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10330</v>
      </c>
      <c r="J14" s="22">
        <f>_xlfn.XLOOKUP(Tabela5[[#This Row],[VENDEDOR]],'[1]BASE PYTHON'!$H:$H,'[1]BASE PYTHON'!$I:$I,0)</f>
        <v>4304.5199999999995</v>
      </c>
      <c r="K14" s="23">
        <f>Tabela5[[#This Row],[COMPROMISSO]]-Tabela5[[#This Row],[ATINGIDO]]</f>
        <v>6025.4800000000005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185000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88823.60000000002</v>
      </c>
      <c r="Q14" s="2">
        <f>Tabela8[[#This Row],[COMPROMISSO]]-Tabela8[[#This Row],[ATINGIDO]]</f>
        <v>96176.39999999998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26</v>
      </c>
      <c r="W14" s="19">
        <f t="shared" si="0"/>
        <v>1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67260.880000000034</v>
      </c>
      <c r="E15" s="24">
        <f>Tabela13[[#This Row],[META A]]-Tabela13[[#This Row],[ATINGIDO]]</f>
        <v>10739.119999999966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25680</v>
      </c>
      <c r="J15" s="22">
        <f>_xlfn.XLOOKUP(Tabela5[[#This Row],[VENDEDOR]],'[1]BASE PYTHON'!$H:$H,'[1]BASE PYTHON'!$I:$I,0)</f>
        <v>8659.9100000000017</v>
      </c>
      <c r="K15" s="23">
        <f>Tabela5[[#This Row],[COMPROMISSO]]-Tabela5[[#This Row],[ATINGIDO]]</f>
        <v>17020.089999999997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150000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29575.83</v>
      </c>
      <c r="Q15" s="2">
        <f>Tabela8[[#This Row],[COMPROMISSO]]-Tabela8[[#This Row],[ATINGIDO]]</f>
        <v>120424.17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31</v>
      </c>
      <c r="W15" s="19">
        <f>U15-V15</f>
        <v>17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299175.37</v>
      </c>
      <c r="E16" s="27">
        <f>Tabela13[[#This Row],[META A]]-Tabela13[[#This Row],[ATINGIDO]]</f>
        <v>25824.630000000005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9690</v>
      </c>
      <c r="J16" s="22">
        <f>_xlfn.XLOOKUP(Tabela5[[#This Row],[VENDEDOR]],'[1]BASE PYTHON'!$H:$H,'[1]BASE PYTHON'!$I:$I,0)</f>
        <v>3109.1499999999996</v>
      </c>
      <c r="K16" s="23">
        <f>Tabela5[[#This Row],[COMPROMISSO]]-Tabela5[[#This Row],[ATINGIDO]]</f>
        <v>6580.85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66000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66000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39</v>
      </c>
      <c r="W16" s="19">
        <f t="shared" si="0"/>
        <v>0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289653.48000000039</v>
      </c>
      <c r="E17" s="24">
        <f>Tabela13[[#This Row],[META A]]-Tabela13[[#This Row],[ATINGIDO]]</f>
        <v>-119653.48000000039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7260</v>
      </c>
      <c r="J17" s="22">
        <f>_xlfn.XLOOKUP(Tabela5[[#This Row],[VENDEDOR]],'[1]BASE PYTHON'!$H:$H,'[1]BASE PYTHON'!$I:$I,0)</f>
        <v>1518.67</v>
      </c>
      <c r="K17" s="23">
        <f>Tabela5[[#This Row],[COMPROMISSO]]-Tabela5[[#This Row],[ATINGIDO]]</f>
        <v>5741.33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23060.200000000012</v>
      </c>
      <c r="Q17" s="2">
        <f>Tabela8[[#This Row],[COMPROMISSO]]-Tabela8[[#This Row],[ATINGIDO]]</f>
        <v>-23060.200000000012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53</v>
      </c>
      <c r="W17" s="19">
        <f t="shared" si="0"/>
        <v>-4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940217.00000000012</v>
      </c>
      <c r="E18" s="27">
        <f>Tabela13[[#This Row],[META A]]-Tabela13[[#This Row],[ATINGIDO]]</f>
        <v>9782.9999999998836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10040</v>
      </c>
      <c r="J18" s="22">
        <f>_xlfn.XLOOKUP(Tabela5[[#This Row],[VENDEDOR]],'[1]BASE PYTHON'!$H:$H,'[1]BASE PYTHON'!$I:$I,0)</f>
        <v>1734.1999999999998</v>
      </c>
      <c r="K18" s="23">
        <f>Tabela5[[#This Row],[COMPROMISSO]]-Tabela5[[#This Row],[ATINGIDO]]</f>
        <v>8305.7999999999993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46</v>
      </c>
      <c r="W18" s="19">
        <f t="shared" si="0"/>
        <v>-1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127140.10000000006</v>
      </c>
      <c r="E19" s="24">
        <f>Tabela13[[#This Row],[META A]]-Tabela13[[#This Row],[ATINGIDO]]</f>
        <v>2859.899999999936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10180</v>
      </c>
      <c r="J19" s="22">
        <f>_xlfn.XLOOKUP(Tabela5[[#This Row],[VENDEDOR]],'[1]BASE PYTHON'!$H:$H,'[1]BASE PYTHON'!$I:$I,0)</f>
        <v>5450.2</v>
      </c>
      <c r="K19" s="23">
        <f>Tabela5[[#This Row],[COMPROMISSO]]-Tabela5[[#This Row],[ATINGIDO]]</f>
        <v>4729.8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66</v>
      </c>
      <c r="W19" s="19">
        <f t="shared" si="0"/>
        <v>-5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309068.56999999995</v>
      </c>
      <c r="E20" s="27">
        <f>Tabela13[[#This Row],[META A]]-Tabela13[[#This Row],[ATINGIDO]]</f>
        <v>250931.43000000005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13240</v>
      </c>
      <c r="J20" s="22">
        <f>_xlfn.XLOOKUP(Tabela5[[#This Row],[VENDEDOR]],'[1]BASE PYTHON'!$H:$H,'[1]BASE PYTHON'!$I:$I,0)</f>
        <v>5240.9499999999989</v>
      </c>
      <c r="K20" s="23">
        <f>Tabela5[[#This Row],[COMPROMISSO]]-Tabela5[[#This Row],[ATINGIDO]]</f>
        <v>7999.0500000000011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31</v>
      </c>
      <c r="W20" s="19">
        <f t="shared" si="0"/>
        <v>8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348813.94999999943</v>
      </c>
      <c r="E21" s="24">
        <f>Tabela13[[#This Row],[META A]]-Tabela13[[#This Row],[ATINGIDO]]</f>
        <v>66186.05000000057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7840</v>
      </c>
      <c r="J21" s="22">
        <f>_xlfn.XLOOKUP(Tabela5[[#This Row],[VENDEDOR]],'[1]BASE PYTHON'!$H:$H,'[1]BASE PYTHON'!$I:$I,0)</f>
        <v>3890.0000000000005</v>
      </c>
      <c r="K21" s="23">
        <f>Tabela5[[#This Row],[COMPROMISSO]]-Tabela5[[#This Row],[ATINGIDO]]</f>
        <v>3949.9999999999995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GETPIVOTDATA("[Measures].[Soma de TOTAL 3]",'[1]BASE PYTHON'!$P$32,"[Intervalo 2].[SEMANA]","[Intervalo 2].[SEMANA].&amp;[1]")</f>
        <v>275241.61999999976</v>
      </c>
      <c r="Q21" s="7">
        <f>O21-P21</f>
        <v>96349.289090909355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1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89009.559999999925</v>
      </c>
      <c r="E22" s="27">
        <f>Tabela13[[#This Row],[META A]]-Tabela13[[#This Row],[ATINGIDO]]</f>
        <v>32990.440000000075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9750</v>
      </c>
      <c r="J22" s="22">
        <f>_xlfn.XLOOKUP(Tabela5[[#This Row],[VENDEDOR]],'[1]BASE PYTHON'!$H:$H,'[1]BASE PYTHON'!$I:$I,0)</f>
        <v>3823.8000000000006</v>
      </c>
      <c r="K22" s="23">
        <f>Tabela5[[#This Row],[COMPROMISSO]]-Tabela5[[#This Row],[ATINGIDO]]</f>
        <v>5926.1999999999989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GETPIVOTDATA("[Measures].[Soma de TOTAL 3]",'[1]BASE PYTHON'!$P$32,"[Intervalo 2].[SEMANA]","[Intervalo 2].[SEMANA].&amp;[2]")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28</v>
      </c>
      <c r="W22" s="19">
        <f t="shared" si="1"/>
        <v>12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161117.83499999941</v>
      </c>
      <c r="E23" s="24">
        <f>Tabela13[[#This Row],[META A]]-Tabela13[[#This Row],[ATINGIDO]]</f>
        <v>33882.16500000059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6760</v>
      </c>
      <c r="J23" s="22">
        <f>_xlfn.XLOOKUP(Tabela5[[#This Row],[VENDEDOR]],'[1]BASE PYTHON'!$H:$H,'[1]BASE PYTHON'!$I:$I,0)</f>
        <v>5756.1099999999988</v>
      </c>
      <c r="K23" s="23">
        <f>Tabela5[[#This Row],[COMPROMISSO]]-Tabela5[[#This Row],[ATINGIDO]]</f>
        <v>1003.8900000000012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GETPIVOTDATA("[Measures].[Soma de TOTAL 3]",'[1]BASE PYTHON'!$P$32,"[Intervalo 2].[SEMANA]","[Intervalo 2].[SEMANA].&amp;[3]")</f>
        <v>684697.14999999944</v>
      </c>
      <c r="Q23" s="7">
        <f>O23-P23</f>
        <v>-65378.96818181756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41</v>
      </c>
      <c r="W23" s="19">
        <f t="shared" si="1"/>
        <v>14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114849.20999999996</v>
      </c>
      <c r="E24" s="27">
        <f>Tabela13[[#This Row],[META A]]-Tabela13[[#This Row],[ATINGIDO]]</f>
        <v>25150.790000000037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3290</v>
      </c>
      <c r="J24" s="22">
        <f>_xlfn.XLOOKUP(Tabela5[[#This Row],[VENDEDOR]],'[1]BASE PYTHON'!$H:$H,'[1]BASE PYTHON'!$I:$I,0)</f>
        <v>1088.0999999999999</v>
      </c>
      <c r="K24" s="23">
        <f>Tabela5[[#This Row],[COMPROMISSO]]-Tabela5[[#This Row],[ATINGIDO]]</f>
        <v>2201.9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GETPIVOTDATA("[Measures].[Soma de TOTAL 3]",'[1]BASE PYTHON'!$P$32,"[Intervalo 2].[SEMANA]","[Intervalo 2].[SEMANA].&amp;[4]")</f>
        <v>684913.8</v>
      </c>
      <c r="Q24" s="7">
        <f>O24-P24</f>
        <v>-65595.618181818165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23</v>
      </c>
      <c r="W24" s="19">
        <f t="shared" si="1"/>
        <v>14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116114.49999999967</v>
      </c>
      <c r="E25" s="24">
        <f>Tabela13[[#This Row],[META A]]-Tabela13[[#This Row],[ATINGIDO]]</f>
        <v>26385.500000000335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5360</v>
      </c>
      <c r="J25" s="22">
        <f>_xlfn.XLOOKUP(Tabela5[[#This Row],[VENDEDOR]],'[1]BASE PYTHON'!$H:$H,'[1]BASE PYTHON'!$I:$I,0)</f>
        <v>831.55</v>
      </c>
      <c r="K25" s="23">
        <f>Tabela5[[#This Row],[COMPROMISSO]]-Tabela5[[#This Row],[ATINGIDO]]</f>
        <v>4528.45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GETPIVOTDATA("[Measures].[Soma de TOTAL 3]",'[1]BASE PYTHON'!$P$32,"[Intervalo 2].[SEMANA]","[Intervalo 2].[SEMANA].&amp;[5]")</f>
        <v>215146.63000000009</v>
      </c>
      <c r="Q25" s="7">
        <f>O25-P25</f>
        <v>404171.55181818176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47</v>
      </c>
      <c r="W25" s="19">
        <f t="shared" si="1"/>
        <v>4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63428.540000000183</v>
      </c>
      <c r="E26" s="27">
        <f>Tabela13[[#This Row],[META A]]-Tabela13[[#This Row],[ATINGIDO]]</f>
        <v>26571.459999999817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3670</v>
      </c>
      <c r="J26" s="22">
        <f>_xlfn.XLOOKUP(Tabela5[[#This Row],[VENDEDOR]],'[1]BASE PYTHON'!$H:$H,'[1]BASE PYTHON'!$I:$I,0)</f>
        <v>2691.7100000000005</v>
      </c>
      <c r="K26" s="23">
        <f>Tabela5[[#This Row],[COMPROMISSO]]-Tabela5[[#This Row],[ATINGIDO]]</f>
        <v>978.28999999999951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30</v>
      </c>
      <c r="W26" s="19">
        <f t="shared" si="1"/>
        <v>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212757.20999999938</v>
      </c>
      <c r="E27" s="24">
        <f>Tabela13[[#This Row],[META A]]-Tabela13[[#This Row],[ATINGIDO]]</f>
        <v>24742.790000000619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5400</v>
      </c>
      <c r="J27" s="22">
        <f>_xlfn.XLOOKUP(Tabela5[[#This Row],[VENDEDOR]],'[1]BASE PYTHON'!$H:$H,'[1]BASE PYTHON'!$I:$I,0)</f>
        <v>534.59999999999991</v>
      </c>
      <c r="K27" s="23">
        <f>Tabela5[[#This Row],[COMPROMISSO]]-Tabela5[[#This Row],[ATINGIDO]]</f>
        <v>4865.3999999999996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284998.66499999963</v>
      </c>
      <c r="E28" s="27">
        <f>Tabela13[[#This Row],[META A]]-Tabela13[[#This Row],[ATINGIDO]]</f>
        <v>33501.33500000037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109098.67999999998</v>
      </c>
      <c r="E29" s="24">
        <f>Tabela13[[#This Row],[META A]]-Tabela13[[#This Row],[ATINGIDO]]</f>
        <v>65901.320000000022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110152.5499999999</v>
      </c>
      <c r="E30" s="27">
        <f>Tabela13[[#This Row],[META A]]-Tabela13[[#This Row],[ATINGIDO]]</f>
        <v>24347.450000000099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139240.31999999998</v>
      </c>
      <c r="E31" s="24">
        <f>Tabela13[[#This Row],[META A]]-Tabela13[[#This Row],[ATINGIDO]]</f>
        <v>27759.680000000022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2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220858.58999999988</v>
      </c>
      <c r="E32" s="27">
        <f>Tabela13[[#This Row],[META A]]-Tabela13[[#This Row],[ATINGIDO]]</f>
        <v>39141.41000000012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3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2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73214.540000000052</v>
      </c>
      <c r="E33" s="24">
        <f>Tabela13[[#This Row],[META A]]-Tabela13[[#This Row],[ATINGIDO]]</f>
        <v>26785.459999999948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699011.54000000225</v>
      </c>
      <c r="K33" s="7">
        <f t="shared" si="3"/>
        <v>-47761.540000002249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270</v>
      </c>
      <c r="W33" s="6">
        <f t="shared" si="2"/>
        <v>-97.727272727272748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39436.880000000034</v>
      </c>
      <c r="E34" s="27">
        <f>Tabela13[[#This Row],[META A]]-Tabela13[[#This Row],[ATINGIDO]]</f>
        <v>15563.119999999966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581379.53500000469</v>
      </c>
      <c r="K34" s="7">
        <f t="shared" si="3"/>
        <v>69870.464999995311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127</v>
      </c>
      <c r="W34" s="6">
        <f>U34-V34</f>
        <v>45.272727272727252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67098.98000000001</v>
      </c>
      <c r="E35" s="24">
        <f>Tabela13[[#This Row],[META A]]-Tabela13[[#This Row],[ATINGIDO]]</f>
        <v>5901.0199999999895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319593.38500000123</v>
      </c>
      <c r="K35" s="7">
        <f>I35-J35</f>
        <v>331656.61499999877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Row],[SEMANAL]],[1]!Tabela7[[#All],[Coluna1]],[1]!Tabela7[[#All],[Coluna2]])</f>
        <v>762477.27272727271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216793.47272727115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Row],[SEMANAL]],[1]!Tabela7[[#All],[Coluna1]],[1]!Tabela7[[#All],[Coluna2]])</f>
        <v>1016636.3636363636</v>
      </c>
      <c r="D41" s="2">
        <f>IFERROR(GETPIVOTDATA("[Measures].[Soma de TOTAL 3]",'[1]BASE PYTHON'!$P$47,"[Intervalo 2].[SEMANA]","[Intervalo 2].[SEMANA].&amp;[2]"),0)</f>
        <v>1103560.189999996</v>
      </c>
      <c r="E41" s="7">
        <f t="shared" ref="E41:E43" si="4">C41-D41</f>
        <v>-86923.826363632339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Row],[SEMANAL]],[1]!Tabela7[[#All],[Coluna1]],[1]!Tabela7[[#All],[Coluna2]])</f>
        <v>1270795.4545454546</v>
      </c>
      <c r="D42" s="2">
        <f>IFERROR(GETPIVOTDATA("[Measures].[Soma de TOTAL 3]",'[1]BASE PYTHON'!$P$47,"[Intervalo 2].[SEMANA]","[Intervalo 2].[SEMANA].&amp;[3]"),0)</f>
        <v>1384150.9299999918</v>
      </c>
      <c r="E42" s="7">
        <f t="shared" si="4"/>
        <v>-113355.4754545372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Row],[SEMANAL]],[1]!Tabela7[[#All],[Coluna1]],[1]!Tabela7[[#All],[Coluna2]])</f>
        <v>1270795.4545454546</v>
      </c>
      <c r="D43" s="2">
        <f>IFERROR(GETPIVOTDATA("[Measures].[Soma de TOTAL 3]",'[1]BASE PYTHON'!$P$47,"[Intervalo 2].[SEMANA]","[Intervalo 2].[SEMANA].&amp;[4]"),0)</f>
        <v>1266562.6249999946</v>
      </c>
      <c r="E43" s="7">
        <f t="shared" si="4"/>
        <v>4232.8295454599429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Row],[SEMANAL]],[1]!Tabela7[[#All],[Coluna1]],[1]!Tabela7[[#All],[Coluna2]])</f>
        <v>1270795.4545454546</v>
      </c>
      <c r="D44" s="2">
        <f>IFERROR(GETPIVOTDATA("[Measures].[Soma de TOTAL 3]",'[1]BASE PYTHON'!$P$47,"[Intervalo 2].[SEMANA]","[Intervalo 2].[SEMANA].&amp;[5]"),0)</f>
        <v>534791.01500000106</v>
      </c>
      <c r="E44" s="7">
        <f t="shared" ref="E44" si="5">C44-D44</f>
        <v>736004.43954545353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2026-07-28T17:00:31Z</dcterms:modified>
</cp:coreProperties>
</file>