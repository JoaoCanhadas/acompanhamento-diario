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11B93E0F-29DA-421E-B28D-7BA2A845041C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0" i="2" l="1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P11" i="2"/>
  <c r="P12" i="2"/>
  <c r="P13" i="2"/>
  <c r="P14" i="2"/>
  <c r="P15" i="2"/>
  <c r="P16" i="2"/>
  <c r="P17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V34" i="2"/>
  <c r="V31" i="2"/>
  <c r="V33" i="2"/>
  <c r="V30" i="2"/>
  <c r="V32" i="2"/>
  <c r="Q11" i="2" l="1"/>
  <c r="U4" i="2"/>
  <c r="W15" i="2"/>
  <c r="U5" i="2"/>
  <c r="Q12" i="2"/>
  <c r="W10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I32" i="2" a="1"/>
  <c r="I32" i="2" s="1"/>
  <c r="I33" i="2" a="1"/>
  <c r="I33" i="2" s="1"/>
  <c r="I34" i="2" a="1"/>
  <c r="I34" i="2" s="1"/>
  <c r="I35" i="2" a="1"/>
  <c r="I35" i="2" s="1"/>
  <c r="I31" i="2" a="1"/>
  <c r="I31" i="2" s="1"/>
  <c r="J10" i="2"/>
  <c r="J11" i="2"/>
  <c r="J12" i="2"/>
  <c r="J13" i="2"/>
  <c r="J14" i="2"/>
  <c r="J15" i="2"/>
  <c r="J16" i="2"/>
  <c r="K16" i="2" s="1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39" i="2" a="1"/>
  <c r="C39" i="2" s="1"/>
  <c r="C40" i="2" a="1"/>
  <c r="C40" i="2" s="1"/>
  <c r="C41" i="2" a="1"/>
  <c r="C41" i="2" s="1"/>
  <c r="C42" i="2" a="1"/>
  <c r="C42" i="2" s="1"/>
  <c r="C43" i="2" a="1"/>
  <c r="C43" i="2" s="1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D41" i="2"/>
  <c r="P25" i="2"/>
  <c r="D43" i="2"/>
  <c r="J35" i="2"/>
  <c r="P23" i="2"/>
  <c r="J32" i="2"/>
  <c r="P21" i="2"/>
  <c r="J33" i="2"/>
  <c r="J34" i="2"/>
  <c r="J31" i="2"/>
  <c r="D42" i="2"/>
  <c r="P22" i="2"/>
  <c r="D40" i="2"/>
  <c r="P24" i="2"/>
  <c r="D39" i="2"/>
  <c r="K20" i="2" l="1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K35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C5" i="2"/>
  <c r="E10" i="2"/>
  <c r="E43" i="2" l="1"/>
  <c r="I5" i="2" l="1"/>
  <c r="O4" i="2"/>
  <c r="O5" i="2"/>
  <c r="C4" i="2"/>
  <c r="C6" i="2" s="1"/>
  <c r="C7" i="2" s="1"/>
  <c r="K34" i="2"/>
  <c r="K32" i="2"/>
  <c r="K33" i="2"/>
  <c r="K31" i="2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Q13" i="2" l="1"/>
  <c r="Q14" i="2"/>
  <c r="Q15" i="2"/>
  <c r="Q16" i="2"/>
  <c r="Q17" i="2"/>
  <c r="I4" i="2" l="1"/>
  <c r="I6" i="2" s="1"/>
  <c r="I7" i="2" s="1"/>
  <c r="E41" i="2"/>
  <c r="E42" i="2"/>
  <c r="E39" i="2"/>
  <c r="E40" i="2"/>
  <c r="O23" i="2" a="1"/>
  <c r="O23" i="2" s="1"/>
  <c r="Q23" i="2" s="1"/>
  <c r="O24" i="2" a="1"/>
  <c r="O24" i="2" s="1"/>
  <c r="Q24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  <c r="O21" i="2" l="1" a="1"/>
  <c r="O21" i="2" s="1"/>
  <c r="Q2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06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<sst xmlns="http://schemas.openxmlformats.org/spreadsheetml/2006/main" count="213" uniqueCount="54">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</sst>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9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06/07/2026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6084.98</v>
          </cell>
          <cell r="H5" t="str">
            <v>CAMPINAS</v>
          </cell>
          <cell r="I5">
            <v>624.20000000000005</v>
          </cell>
        </row>
        <row r="6">
          <cell r="E6" t="str">
            <v>CENTRO</v>
          </cell>
          <cell r="F6">
            <v>53838.940000000024</v>
          </cell>
          <cell r="H6" t="str">
            <v>CENTRO</v>
          </cell>
          <cell r="I6">
            <v>10193.949999999999</v>
          </cell>
          <cell r="K6" t="str">
            <v>Contagem Distinta de COD_CLIENTE</v>
          </cell>
        </row>
        <row r="7">
          <cell r="E7" t="str">
            <v>ECOMMERCE</v>
          </cell>
          <cell r="F7">
            <v>75.12</v>
          </cell>
          <cell r="H7" t="str">
            <v>INTERLAGOS</v>
          </cell>
          <cell r="I7">
            <v>6185.04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33.020000000000003</v>
          </cell>
          <cell r="H8" t="str">
            <v>LESTE PENHA</v>
          </cell>
          <cell r="I8">
            <v>3232.7</v>
          </cell>
          <cell r="K8" t="str">
            <v>CENTRO</v>
          </cell>
          <cell r="N8">
            <v>16</v>
          </cell>
        </row>
        <row r="9">
          <cell r="E9" t="str">
            <v>INDAIATUBA</v>
          </cell>
          <cell r="F9">
            <v>8818.9</v>
          </cell>
          <cell r="H9" t="str">
            <v>LESTE TATUAPE</v>
          </cell>
          <cell r="I9">
            <v>369.85</v>
          </cell>
          <cell r="K9" t="str">
            <v>INDAIATUBA</v>
          </cell>
          <cell r="N9">
            <v>8</v>
          </cell>
        </row>
        <row r="10">
          <cell r="E10" t="str">
            <v>INTERLAGOS</v>
          </cell>
          <cell r="F10">
            <v>24653.96000000001</v>
          </cell>
          <cell r="H10" t="str">
            <v>PIRACICABA</v>
          </cell>
          <cell r="I10">
            <v>3604.26</v>
          </cell>
          <cell r="K10" t="str">
            <v>JUNDIAI</v>
          </cell>
          <cell r="N10">
            <v>5</v>
          </cell>
        </row>
        <row r="11">
          <cell r="E11" t="str">
            <v>JUNDIAI</v>
          </cell>
          <cell r="F11">
            <v>10197.16</v>
          </cell>
          <cell r="H11" t="str">
            <v>PIRITUBA</v>
          </cell>
          <cell r="I11">
            <v>1247.8000000000002</v>
          </cell>
          <cell r="K11" t="str">
            <v>LESTE</v>
          </cell>
          <cell r="N11">
            <v>6</v>
          </cell>
        </row>
        <row r="12">
          <cell r="E12" t="str">
            <v>KEY ABC</v>
          </cell>
          <cell r="F12">
            <v>61613.220000000016</v>
          </cell>
          <cell r="H12" t="str">
            <v>Total Geral</v>
          </cell>
          <cell r="I12">
            <v>25457.80000000001</v>
          </cell>
          <cell r="K12" t="str">
            <v>LESTE PENHA</v>
          </cell>
          <cell r="N12">
            <v>5</v>
          </cell>
        </row>
        <row r="13">
          <cell r="E13" t="str">
            <v>KEY CASA</v>
          </cell>
          <cell r="F13">
            <v>70798.399999999994</v>
          </cell>
          <cell r="K13" t="str">
            <v>LESTE TATUAPE</v>
          </cell>
          <cell r="N13">
            <v>7</v>
          </cell>
        </row>
        <row r="14">
          <cell r="E14" t="str">
            <v>KEY INTERIOR</v>
          </cell>
          <cell r="F14">
            <v>58605.799999999988</v>
          </cell>
          <cell r="K14" t="str">
            <v>NORTE</v>
          </cell>
          <cell r="N14">
            <v>9</v>
          </cell>
        </row>
        <row r="15">
          <cell r="E15" t="str">
            <v>KEY SJC</v>
          </cell>
          <cell r="F15">
            <v>4900.4000000000005</v>
          </cell>
          <cell r="K15" t="str">
            <v>OSASCO</v>
          </cell>
          <cell r="N15">
            <v>13</v>
          </cell>
        </row>
        <row r="16">
          <cell r="E16" t="str">
            <v>KEY SP</v>
          </cell>
          <cell r="F16">
            <v>12290.6</v>
          </cell>
          <cell r="K16" t="str">
            <v>PIRITUBA</v>
          </cell>
          <cell r="N16">
            <v>9</v>
          </cell>
        </row>
        <row r="17">
          <cell r="E17" t="str">
            <v>KEY ZL</v>
          </cell>
          <cell r="F17">
            <v>58426.400000000001</v>
          </cell>
          <cell r="K17" t="str">
            <v>SANTO ANDRE</v>
          </cell>
          <cell r="N17">
            <v>2</v>
          </cell>
        </row>
        <row r="18">
          <cell r="E18" t="str">
            <v>LESTE</v>
          </cell>
          <cell r="F18">
            <v>11856.740000000002</v>
          </cell>
          <cell r="K18" t="str">
            <v>SJC</v>
          </cell>
          <cell r="N18">
            <v>4</v>
          </cell>
        </row>
        <row r="19">
          <cell r="E19" t="str">
            <v>LESTE MOOCA</v>
          </cell>
          <cell r="F19">
            <v>13716.539999999995</v>
          </cell>
          <cell r="K19" t="str">
            <v>Total Geral</v>
          </cell>
          <cell r="N19">
            <v>84</v>
          </cell>
        </row>
        <row r="20">
          <cell r="E20" t="str">
            <v>LESTE PENHA</v>
          </cell>
          <cell r="F20">
            <v>19291.289999999997</v>
          </cell>
        </row>
        <row r="21">
          <cell r="E21" t="str">
            <v>LESTE TATUAPE</v>
          </cell>
          <cell r="F21">
            <v>8124.8499999999985</v>
          </cell>
        </row>
        <row r="22">
          <cell r="E22" t="str">
            <v>MOGI</v>
          </cell>
          <cell r="F22">
            <v>5814.2699999999986</v>
          </cell>
        </row>
        <row r="23">
          <cell r="E23" t="str">
            <v>NORTE</v>
          </cell>
          <cell r="F23">
            <v>27209.899999999998</v>
          </cell>
        </row>
        <row r="24">
          <cell r="E24" t="str">
            <v>OSASCO</v>
          </cell>
          <cell r="F24">
            <v>38256.229999999996</v>
          </cell>
        </row>
        <row r="25">
          <cell r="E25" t="str">
            <v>PIRACICABA</v>
          </cell>
          <cell r="F25">
            <v>12211.059999999998</v>
          </cell>
        </row>
        <row r="26">
          <cell r="E26" t="str">
            <v>PIRITUBA</v>
          </cell>
          <cell r="F26">
            <v>15213.400000000001</v>
          </cell>
        </row>
        <row r="27">
          <cell r="E27" t="str">
            <v>SANTO ANDRE</v>
          </cell>
          <cell r="F27">
            <v>14246.68</v>
          </cell>
        </row>
        <row r="28">
          <cell r="E28" t="str">
            <v>SBC</v>
          </cell>
          <cell r="F28">
            <v>23149.339999999993</v>
          </cell>
        </row>
        <row r="29">
          <cell r="E29" t="str">
            <v>SJC</v>
          </cell>
          <cell r="F29">
            <v>5681.579999999999</v>
          </cell>
        </row>
        <row r="30">
          <cell r="E30" t="str">
            <v>SJC/VALE</v>
          </cell>
          <cell r="F30">
            <v>4535.3800000000019</v>
          </cell>
        </row>
        <row r="31">
          <cell r="E31" t="str">
            <v>VENDEDOR INTERNO 1</v>
          </cell>
          <cell r="F31">
            <v>7861.4900000000007</v>
          </cell>
        </row>
        <row r="32">
          <cell r="E32" t="str">
            <v>Total Geral</v>
          </cell>
          <cell r="F32">
            <v>577505.65000000212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7" dataDxfId="76">
  <tableColumns count="2">
    <tableColumn id="1" xr3:uid="{3308613D-E7FC-469E-B078-C5AC910E183B}" name="Coluna1" dataDxfId="75"/>
    <tableColumn id="2" xr3:uid="{C994D666-6174-475E-AE71-1F12062A5225}" name="Coluna2" headerRowDxfId="74" dataDxfId="73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8:E43" totalsRowShown="0" headerRowDxfId="72" dataDxfId="71">
  <autoFilter ref="B38:E43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0"/>
    <tableColumn id="2" xr3:uid="{06063E15-5C9E-4303-B5F6-B9D0B178DB82}" name="META" dataDxfId="69" dataCellStyle="Moeda">
      <calculatedColumnFormula array="1">_xlfn.XLOOKUP(Tabela3[[#This Row],[SEMANAL]],[1]!Tabela9[[#All],[Coluna1]],[1]!Tabela9[[#All],[Coluna2]])</calculatedColumnFormula>
    </tableColumn>
    <tableColumn id="3" xr3:uid="{425F53BB-8CBB-40E8-9773-1C7C39906AD7}" name="REALIZADO" dataDxfId="68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67">
      <calculatedColumnFormula>C39-D39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6" dataDxfId="65">
  <tableColumns count="2">
    <tableColumn id="1" xr3:uid="{C661D03F-A79A-4D24-86FD-3574B6E5537D}" name="Coluna1" dataDxfId="64"/>
    <tableColumn id="2" xr3:uid="{7EF7A574-C8A3-4CB7-9C98-86948FE130EB}" name="Coluna2" headerRowDxfId="63" dataDxfId="6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1" dataDxfId="60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59"/>
    <tableColumn id="2" xr3:uid="{67CE9FE2-AA11-4BD4-9F34-EDC9123EA89F}" name="META" dataDxfId="58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7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6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5" dataDxfId="54">
  <tableColumns count="2">
    <tableColumn id="1" xr3:uid="{0139F26F-4C9F-4E96-9F64-C5C5B271DCA9}" name="Coluna1" dataDxfId="53"/>
    <tableColumn id="2" xr3:uid="{1DA3E17F-38EB-4042-B2F0-3DFB7629A3F5}" name="Coluna2" headerRowDxfId="52" dataDxfId="51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0" dataDxfId="49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8"/>
    <tableColumn id="2" xr3:uid="{0B55D821-52F8-4CE2-9F16-C5BCDBCE53AC}" name="REFERENCIA" dataDxfId="47"/>
    <tableColumn id="3" xr3:uid="{B5D24BF0-392E-420D-BB1D-3FED1D3383B5}" name="COMPROMISSO" dataDxfId="46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5" dataCellStyle="Moeda">
      <calculatedColumnFormula>_xlfn.XLOOKUP(Tabela8[[#This Row],[VENDEDOR]],'[1]BASE PYTHON'!$H:$H,'[1]BASE PYTHON'!$I:$I,0)</calculatedColumnFormula>
    </tableColumn>
    <tableColumn id="5" xr3:uid="{CA195FA3-3822-41FA-8A93-2D86914C048E}" name="FALTA" dataDxfId="44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3" dataDxfId="42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1"/>
    <tableColumn id="2" xr3:uid="{7B11DBA8-6FBD-4B67-BDA9-6624DF753EFD}" name="META" dataDxfId="40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39"/>
    <tableColumn id="4" xr3:uid="{84544AF4-5466-4CAC-A349-7B2C804BDA05}" name="FALTA" dataDxfId="38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7" dataDxfId="36">
  <tableColumns count="2">
    <tableColumn id="1" xr3:uid="{870B59CA-1EA4-4CA9-BDCF-4A342A313131}" name="Coluna1" dataDxfId="35"/>
    <tableColumn id="2" xr3:uid="{6FE31DF2-1DB4-4D4B-8783-48EA07B43B53}" name="Coluna2" dataDxfId="34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3" dataDxfId="32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1"/>
    <tableColumn id="2" xr3:uid="{B849FCBC-ED0F-47D9-B4E7-149FFE3500D9}" name="META" dataDxfId="30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29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8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7" dataDxfId="26" tableBorderDxfId="25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4"/>
    <tableColumn id="2" xr3:uid="{E2D85F5C-4525-4FA4-B813-A1322F5C254D}" name="REFERENCIA" dataDxfId="23"/>
    <tableColumn id="3" xr3:uid="{53C55BB3-DDD4-47EF-87D5-552E4D02B5BA}" name="META A" dataDxfId="22">
      <calculatedColumnFormula>_xlfn.XLOOKUP(Tabela2[[#This Row],[VENDEDOR]],[1]!Tabela5[VENDEDOR],[1]!Tabela5[META A])</calculatedColumnFormula>
    </tableColumn>
    <tableColumn id="4" xr3:uid="{018C7BF7-4C79-4668-95B2-CBF2E10B657D}" name="ATINGIDO" dataDxfId="21">
      <calculatedColumnFormula>_xlfn.XLOOKUP(Tabela2[[#This Row],[VENDEDOR]],'[1]BASE PYTHON'!$K:$K,'[1]BASE PYTHON'!$N:$N,0)</calculatedColumnFormula>
    </tableColumn>
    <tableColumn id="5" xr3:uid="{37E12533-09AB-4B65-AEC8-6BB07B5CC2B1}" name="FALTA" dataDxfId="20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19" dataDxfId="18" tableBorderDxfId="17">
  <autoFilter ref="G9:K27" xr:uid="{E3745920-1197-4A81-B558-958DBAB19EA3}"/>
  <tableColumns count="5">
    <tableColumn id="1" xr3:uid="{D324C7DB-F877-4A7E-BC26-EF8905C85433}" name="VENDEDOR" dataDxfId="16"/>
    <tableColumn id="2" xr3:uid="{A71A6478-3B31-4F54-A10C-E6EC00E95E0B}" name="REFERENCIA" dataDxfId="15"/>
    <tableColumn id="3" xr3:uid="{9F5EDCDD-D442-4FBE-9C74-26084F24EFCB}" name="COMPROMISSO" dataDxfId="14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3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2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5" headerRowDxfId="11" tableBorderDxfId="10">
  <autoFilter ref="A9:E35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9" totalsRowDxfId="8"/>
    <tableColumn id="2" xr3:uid="{4F0BAF4D-D0FC-4B7C-8FF4-8DDD6505FDA1}" name="REFERENCIA" dataDxfId="7" totalsRowDxfId="6"/>
    <tableColumn id="3" xr3:uid="{CCB341E8-8BC2-4209-AEA0-D6F26BFCB356}" name="META A" dataDxfId="5" totalsRowDxfId="4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3" totalsRowDxfId="2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1" totalsRowDxfId="0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43"/>
  <sheetViews>
    <sheetView showGridLines="0" tabSelected="1" zoomScaleNormal="100" workbookViewId="0">
      <selection activeCell="D5" sqref="D5"/>
    </sheetView>
  </sheetViews>
  <sheetFormatPr defaultRowHeight="15" x14ac:dyDescent="0.25"/>
  <cols>
    <col min="1" max="1" width="26.5703125" bestFit="1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SUM(C10:C35)</f>
        <v>5591500</v>
      </c>
      <c r="D4" s="2"/>
      <c r="E4" s="4"/>
      <c r="F4" s="4"/>
      <c r="G4" s="4"/>
      <c r="H4" s="4" t="s">
        <v>0</v>
      </c>
      <c r="I4" s="7">
        <f>SUM(I10:I27)</f>
        <v>300152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SUM(D10:D35)</f>
        <v>577430.52999999991</v>
      </c>
      <c r="D5" s="2"/>
      <c r="E5" s="4"/>
      <c r="F5" s="4"/>
      <c r="G5" s="4"/>
      <c r="H5" s="4" t="s">
        <v>1</v>
      </c>
      <c r="I5" s="7">
        <f>SUM(J10:J27)</f>
        <v>21853.54</v>
      </c>
      <c r="J5" s="4"/>
      <c r="K5" s="4"/>
      <c r="L5" s="4"/>
      <c r="M5" s="4"/>
      <c r="N5" s="4" t="s">
        <v>1</v>
      </c>
      <c r="O5" s="7">
        <f>SUM(P11:P17)</f>
        <v>3604.26</v>
      </c>
      <c r="P5" s="4"/>
      <c r="Q5" s="4"/>
      <c r="R5" s="4"/>
      <c r="S5" s="4"/>
      <c r="T5" s="4" t="s">
        <v>1</v>
      </c>
      <c r="U5" s="4">
        <f>SUM(V10:V26)</f>
        <v>84</v>
      </c>
      <c r="V5" s="4"/>
      <c r="W5" s="4"/>
    </row>
    <row r="6" spans="1:23" x14ac:dyDescent="0.25">
      <c r="A6" s="4"/>
      <c r="B6" s="4" t="s">
        <v>2</v>
      </c>
      <c r="C6" s="2">
        <f>C4-C5</f>
        <v>5014069.47</v>
      </c>
      <c r="D6" s="2"/>
      <c r="E6" s="4"/>
      <c r="F6" s="4"/>
      <c r="G6" s="4"/>
      <c r="H6" s="4" t="s">
        <v>2</v>
      </c>
      <c r="I6" s="7">
        <f>I4-I5</f>
        <v>278298.46000000002</v>
      </c>
      <c r="J6" s="4"/>
      <c r="K6" s="4"/>
      <c r="L6" s="4"/>
      <c r="M6" s="4"/>
      <c r="N6" s="4" t="s">
        <v>2</v>
      </c>
      <c r="O6" s="7">
        <f>O4-O5</f>
        <v>-3604.26</v>
      </c>
      <c r="P6" s="4"/>
      <c r="Q6" s="4"/>
      <c r="R6" s="4"/>
      <c r="S6" s="4"/>
      <c r="T6" s="4" t="s">
        <v>2</v>
      </c>
      <c r="U6" s="4">
        <f>U4-U5</f>
        <v>674</v>
      </c>
      <c r="V6" s="4"/>
      <c r="W6" s="4"/>
    </row>
    <row r="7" spans="1:23" x14ac:dyDescent="0.25">
      <c r="A7" s="4"/>
      <c r="B7" s="4" t="s">
        <v>3</v>
      </c>
      <c r="C7" s="3">
        <f>1-(C6/C4)</f>
        <v>0.10326934275239208</v>
      </c>
      <c r="D7" s="2"/>
      <c r="E7" s="4"/>
      <c r="F7" s="4"/>
      <c r="G7" s="4"/>
      <c r="H7" s="4" t="s">
        <v>3</v>
      </c>
      <c r="I7" s="3">
        <f>1-(I6/I4)</f>
        <v>7.2808243823129559E-2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0.1108179419525066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4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6084.98</v>
      </c>
      <c r="E10" s="27">
        <f>Tabela13[[#This Row],[META A]]-Tabela13[[#This Row],[ATINGIDO]]</f>
        <v>58415.020000000004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34823</v>
      </c>
      <c r="J10" s="22">
        <f>_xlfn.XLOOKUP(Tabela5[[#This Row],[VENDEDOR]],'[1]BASE PYTHON'!$H:$H,'[1]BASE PYTHON'!$I:$I,0)</f>
        <v>0</v>
      </c>
      <c r="K10" s="23">
        <f>Tabela5[[#This Row],[COMPROMISSO]]-Tabela5[[#This Row],[ATINGIDO]]</f>
        <v>34823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0</v>
      </c>
      <c r="W10" s="19">
        <f>U10-V10</f>
        <v>36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53838.940000000024</v>
      </c>
      <c r="E11" s="24">
        <f>Tabela13[[#This Row],[META A]]-Tabela13[[#This Row],[ATINGIDO]]</f>
        <v>271161.06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28168</v>
      </c>
      <c r="J11" s="22">
        <f>_xlfn.XLOOKUP(Tabela5[[#This Row],[VENDEDOR]],'[1]BASE PYTHON'!$H:$H,'[1]BASE PYTHON'!$I:$I,0)</f>
        <v>0</v>
      </c>
      <c r="K11" s="23">
        <f>Tabela5[[#This Row],[COMPROMISSO]]-Tabela5[[#This Row],[ATINGIDO]]</f>
        <v>28168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_xlfn.XLOOKUP(Tabela8[[#This Row],[VENDEDOR]],'[1]BASE PYTHON'!$H:$H,'[1]BASE PYTHON'!$I:$I,0)</f>
        <v>0</v>
      </c>
      <c r="Q11" s="2">
        <f>O11-P11</f>
        <v>0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16</v>
      </c>
      <c r="W11" s="19">
        <f t="shared" ref="W11:W20" si="0">U11-V11</f>
        <v>36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33.020000000000003</v>
      </c>
      <c r="E12" s="27">
        <f>Tabela13[[#This Row],[META A]]-Tabela13[[#This Row],[ATINGIDO]]</f>
        <v>966.98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12773</v>
      </c>
      <c r="J12" s="22">
        <f>_xlfn.XLOOKUP(Tabela5[[#This Row],[VENDEDOR]],'[1]BASE PYTHON'!$H:$H,'[1]BASE PYTHON'!$I:$I,0)</f>
        <v>1247.8000000000002</v>
      </c>
      <c r="K12" s="23">
        <f>Tabela5[[#This Row],[COMPROMISSO]]-Tabela5[[#This Row],[ATINGIDO]]</f>
        <v>11525.2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_xlfn.XLOOKUP(Tabela8[[#This Row],[VENDEDOR]],'[1]BASE PYTHON'!$H:$H,'[1]BASE PYTHON'!$I:$I,0)</f>
        <v>3604.26</v>
      </c>
      <c r="Q12" s="2">
        <f>O12-P12</f>
        <v>-3604.26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8</v>
      </c>
      <c r="W12" s="19">
        <f t="shared" si="0"/>
        <v>33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8818.9</v>
      </c>
      <c r="E13" s="24">
        <f>Tabela13[[#This Row],[META A]]-Tabela13[[#This Row],[ATINGIDO]]</f>
        <v>81181.100000000006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29550</v>
      </c>
      <c r="J13" s="22">
        <f>_xlfn.XLOOKUP(Tabela5[[#This Row],[VENDEDOR]],'[1]BASE PYTHON'!$H:$H,'[1]BASE PYTHON'!$I:$I,0)</f>
        <v>0</v>
      </c>
      <c r="K13" s="23">
        <f>Tabela5[[#This Row],[COMPROMISSO]]-Tabela5[[#This Row],[ATINGIDO]]</f>
        <v>29550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_xlfn.XLOOKUP(Tabela8[[#This Row],[VENDEDOR]],'[1]BASE PYTHON'!$H:$H,'[1]BASE PYTHON'!$I:$I,0)</f>
        <v>0</v>
      </c>
      <c r="Q13" s="2">
        <f t="shared" ref="Q13:Q17" si="1">O13-P13</f>
        <v>0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0</v>
      </c>
      <c r="W13" s="19">
        <f t="shared" si="0"/>
        <v>59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24653.96000000001</v>
      </c>
      <c r="E14" s="27">
        <f>Tabela13[[#This Row],[META A]]-Tabela13[[#This Row],[ATINGIDO]]</f>
        <v>248346.03999999998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21709</v>
      </c>
      <c r="J14" s="22">
        <f>_xlfn.XLOOKUP(Tabela5[[#This Row],[VENDEDOR]],'[1]BASE PYTHON'!$H:$H,'[1]BASE PYTHON'!$I:$I,0)</f>
        <v>369.85</v>
      </c>
      <c r="K14" s="23">
        <f>Tabela5[[#This Row],[COMPROMISSO]]-Tabela5[[#This Row],[ATINGIDO]]</f>
        <v>21339.15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_xlfn.XLOOKUP(Tabela8[[#This Row],[VENDEDOR]],'[1]BASE PYTHON'!$H:$H,'[1]BASE PYTHON'!$I:$I,0)</f>
        <v>0</v>
      </c>
      <c r="Q14" s="2">
        <f t="shared" si="1"/>
        <v>0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5</v>
      </c>
      <c r="W14" s="19">
        <f t="shared" si="0"/>
        <v>22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10197.16</v>
      </c>
      <c r="E15" s="24">
        <f>Tabela13[[#This Row],[META A]]-Tabela13[[#This Row],[ATINGIDO]]</f>
        <v>67802.84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32806</v>
      </c>
      <c r="J15" s="22">
        <f>_xlfn.XLOOKUP(Tabela5[[#This Row],[VENDEDOR]],'[1]BASE PYTHON'!$H:$H,'[1]BASE PYTHON'!$I:$I,0)</f>
        <v>10193.949999999999</v>
      </c>
      <c r="K15" s="23">
        <f>Tabela5[[#This Row],[COMPROMISSO]]-Tabela5[[#This Row],[ATINGIDO]]</f>
        <v>22612.050000000003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_xlfn.XLOOKUP(Tabela8[[#This Row],[VENDEDOR]],'[1]BASE PYTHON'!$H:$H,'[1]BASE PYTHON'!$I:$I,0)</f>
        <v>0</v>
      </c>
      <c r="Q15" s="2">
        <f t="shared" si="1"/>
        <v>0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6</v>
      </c>
      <c r="W15" s="19">
        <f>U15-V15</f>
        <v>42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61613.220000000016</v>
      </c>
      <c r="E16" s="27">
        <f>Tabela13[[#This Row],[META A]]-Tabela13[[#This Row],[ATINGIDO]]</f>
        <v>263386.77999999997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16187</v>
      </c>
      <c r="J16" s="22">
        <f>_xlfn.XLOOKUP(Tabela5[[#This Row],[VENDEDOR]],'[1]BASE PYTHON'!$H:$H,'[1]BASE PYTHON'!$I:$I,0)</f>
        <v>0</v>
      </c>
      <c r="K16" s="23">
        <f>Tabela5[[#This Row],[COMPROMISSO]]-Tabela5[[#This Row],[ATINGIDO]]</f>
        <v>16187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_xlfn.XLOOKUP(Tabela8[[#This Row],[VENDEDOR]],'[1]BASE PYTHON'!$H:$H,'[1]BASE PYTHON'!$I:$I,0)</f>
        <v>0</v>
      </c>
      <c r="Q16" s="2">
        <f t="shared" si="1"/>
        <v>0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0</v>
      </c>
      <c r="W16" s="19">
        <f t="shared" si="0"/>
        <v>39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70798.399999999994</v>
      </c>
      <c r="E17" s="24">
        <f>Tabela13[[#This Row],[META A]]-Tabela13[[#This Row],[ATINGIDO]]</f>
        <v>99201.600000000006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4976</v>
      </c>
      <c r="J17" s="22">
        <f>_xlfn.XLOOKUP(Tabela5[[#This Row],[VENDEDOR]],'[1]BASE PYTHON'!$H:$H,'[1]BASE PYTHON'!$I:$I,0)</f>
        <v>0</v>
      </c>
      <c r="K17" s="23">
        <f>Tabela5[[#This Row],[COMPROMISSO]]-Tabela5[[#This Row],[ATINGIDO]]</f>
        <v>4976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_xlfn.XLOOKUP(Tabela8[[#This Row],[VENDEDOR]],'[1]BASE PYTHON'!$H:$H,'[1]BASE PYTHON'!$I:$I,0)</f>
        <v>0</v>
      </c>
      <c r="Q17" s="2">
        <f t="shared" si="1"/>
        <v>0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0</v>
      </c>
      <c r="W17" s="19">
        <f t="shared" si="0"/>
        <v>49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58605.799999999988</v>
      </c>
      <c r="E18" s="27">
        <f>Tabela13[[#This Row],[META A]]-Tabela13[[#This Row],[ATINGIDO]]</f>
        <v>891394.2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14530</v>
      </c>
      <c r="J18" s="22">
        <f>_xlfn.XLOOKUP(Tabela5[[#This Row],[VENDEDOR]],'[1]BASE PYTHON'!$H:$H,'[1]BASE PYTHON'!$I:$I,0)</f>
        <v>0</v>
      </c>
      <c r="K18" s="23">
        <f>Tabela5[[#This Row],[COMPROMISSO]]-Tabela5[[#This Row],[ATINGIDO]]</f>
        <v>14530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9</v>
      </c>
      <c r="W18" s="19">
        <f t="shared" si="0"/>
        <v>36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4900.4000000000005</v>
      </c>
      <c r="E19" s="24">
        <f>Tabela13[[#This Row],[META A]]-Tabela13[[#This Row],[ATINGIDO]]</f>
        <v>125099.6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16828</v>
      </c>
      <c r="J19" s="22">
        <f>_xlfn.XLOOKUP(Tabela5[[#This Row],[VENDEDOR]],'[1]BASE PYTHON'!$H:$H,'[1]BASE PYTHON'!$I:$I,0)</f>
        <v>0</v>
      </c>
      <c r="K19" s="23">
        <f>Tabela5[[#This Row],[COMPROMISSO]]-Tabela5[[#This Row],[ATINGIDO]]</f>
        <v>16828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13</v>
      </c>
      <c r="W19" s="19">
        <f t="shared" si="0"/>
        <v>48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12290.6</v>
      </c>
      <c r="E20" s="27">
        <f>Tabela13[[#This Row],[META A]]-Tabela13[[#This Row],[ATINGIDO]]</f>
        <v>547709.4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21245</v>
      </c>
      <c r="J20" s="22">
        <f>_xlfn.XLOOKUP(Tabela5[[#This Row],[VENDEDOR]],'[1]BASE PYTHON'!$H:$H,'[1]BASE PYTHON'!$I:$I,0)</f>
        <v>6185.04</v>
      </c>
      <c r="K20" s="23">
        <f>Tabela5[[#This Row],[COMPROMISSO]]-Tabela5[[#This Row],[ATINGIDO]]</f>
        <v>15059.96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5</v>
      </c>
      <c r="W20" s="19">
        <f t="shared" si="0"/>
        <v>34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58426.400000000001</v>
      </c>
      <c r="E21" s="24">
        <f>Tabela13[[#This Row],[META A]]-Tabela13[[#This Row],[ATINGIDO]]</f>
        <v>356573.6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6246</v>
      </c>
      <c r="J21" s="22">
        <f>_xlfn.XLOOKUP(Tabela5[[#This Row],[VENDEDOR]],'[1]BASE PYTHON'!$H:$H,'[1]BASE PYTHON'!$I:$I,0)</f>
        <v>0</v>
      </c>
      <c r="K21" s="23">
        <f>Tabela5[[#This Row],[COMPROMISSO]]-Tabela5[[#This Row],[ATINGIDO]]</f>
        <v>6246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IFERROR(GETPIVOTDATA("[Measures].[Soma de TOTAL 3]",'[1]BASE PYTHON'!$P$32,"[Intervalo 2].[SEMANA]","[Intervalo 2].[SEMANA].&amp;[1]"),0)</f>
        <v>275241.61999999994</v>
      </c>
      <c r="Q21" s="7">
        <f>O21-P21</f>
        <v>96349.28909090918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9</v>
      </c>
      <c r="W21" s="19">
        <f t="shared" ref="W21:W26" si="2">U21-V21</f>
        <v>35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11856.740000000002</v>
      </c>
      <c r="E22" s="27">
        <f>Tabela13[[#This Row],[META A]]-Tabela13[[#This Row],[ATINGIDO]]</f>
        <v>110143.26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14716</v>
      </c>
      <c r="J22" s="22">
        <f>_xlfn.XLOOKUP(Tabela5[[#This Row],[VENDEDOR]],'[1]BASE PYTHON'!$H:$H,'[1]BASE PYTHON'!$I:$I,0)</f>
        <v>3232.7</v>
      </c>
      <c r="K22" s="23">
        <f>Tabela5[[#This Row],[COMPROMISSO]]-Tabela5[[#This Row],[ATINGIDO]]</f>
        <v>11483.3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IFERROR(GETPIVOTDATA("[Measures].[Soma de TOTAL 3]",'[1]BASE PYTHON'!$P$32,"[Intervalo 2].[SEMANA]","[Intervalo 2].[SEMANA].&amp;[2]"),0)</f>
        <v>3604.26</v>
      </c>
      <c r="Q22" s="7">
        <f>O22-P22</f>
        <v>491850.28545454546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2</v>
      </c>
      <c r="W22" s="19">
        <f t="shared" si="2"/>
        <v>38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13716.539999999995</v>
      </c>
      <c r="E23" s="24">
        <f>Tabela13[[#This Row],[META A]]-Tabela13[[#This Row],[ATINGIDO]]</f>
        <v>181283.46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12001</v>
      </c>
      <c r="J23" s="22">
        <f>_xlfn.XLOOKUP(Tabela5[[#This Row],[VENDEDOR]],'[1]BASE PYTHON'!$H:$H,'[1]BASE PYTHON'!$I:$I,0)</f>
        <v>0</v>
      </c>
      <c r="K23" s="23">
        <f>Tabela5[[#This Row],[COMPROMISSO]]-Tabela5[[#This Row],[ATINGIDO]]</f>
        <v>12001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IFERROR(GETPIVOTDATA("[Measures].[Soma de TOTAL 3]",'[1]BASE PYTHON'!$P$32,"[Intervalo 2].[SEMANA]","[Intervalo 2].[SEMANA].&amp;[3]"),0)</f>
        <v>0</v>
      </c>
      <c r="Q23" s="7">
        <f>O23-P23</f>
        <v>619318.18181818188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0</v>
      </c>
      <c r="W23" s="19">
        <f t="shared" si="2"/>
        <v>55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19291.289999999997</v>
      </c>
      <c r="E24" s="27">
        <f>Tabela13[[#This Row],[META A]]-Tabela13[[#This Row],[ATINGIDO]]</f>
        <v>120708.71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10474</v>
      </c>
      <c r="J24" s="22">
        <f>_xlfn.XLOOKUP(Tabela5[[#This Row],[VENDEDOR]],'[1]BASE PYTHON'!$H:$H,'[1]BASE PYTHON'!$I:$I,0)</f>
        <v>0</v>
      </c>
      <c r="K24" s="23">
        <f>Tabela5[[#This Row],[COMPROMISSO]]-Tabela5[[#This Row],[ATINGIDO]]</f>
        <v>10474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IFERROR(GETPIVOTDATA("[Measures].[Soma de TOTAL 3]",'[1]BASE PYTHON'!$P$32,"[Intervalo 2].[SEMANA]","[Intervalo 2].[SEMANA].&amp;[4]"),0)</f>
        <v>0</v>
      </c>
      <c r="Q24" s="7">
        <f>O24-P24</f>
        <v>619318.18181818188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4</v>
      </c>
      <c r="W24" s="19">
        <f t="shared" si="2"/>
        <v>33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8124.8499999999985</v>
      </c>
      <c r="E25" s="24">
        <f>Tabela13[[#This Row],[META A]]-Tabela13[[#This Row],[ATINGIDO]]</f>
        <v>134375.15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11553</v>
      </c>
      <c r="J25" s="22">
        <f>_xlfn.XLOOKUP(Tabela5[[#This Row],[VENDEDOR]],'[1]BASE PYTHON'!$H:$H,'[1]BASE PYTHON'!$I:$I,0)</f>
        <v>0</v>
      </c>
      <c r="K25" s="23">
        <f>Tabela5[[#This Row],[COMPROMISSO]]-Tabela5[[#This Row],[ATINGIDO]]</f>
        <v>11553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IFERROR(GETPIVOTDATA("[Measures].[Soma de TOTAL 3]",'[1]BASE PYTHON'!$P$32,"[Intervalo 2].[SEMANA]","[Intervalo 2].[SEMANA].&amp;[5]"),0)</f>
        <v>0</v>
      </c>
      <c r="Q25" s="7">
        <f>O25-P25</f>
        <v>619318.18181818188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7</v>
      </c>
      <c r="W25" s="19">
        <f t="shared" si="2"/>
        <v>44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5814.2699999999986</v>
      </c>
      <c r="E26" s="27">
        <f>Tabela13[[#This Row],[META A]]-Tabela13[[#This Row],[ATINGIDO]]</f>
        <v>84185.73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5351</v>
      </c>
      <c r="J26" s="22">
        <f>_xlfn.XLOOKUP(Tabela5[[#This Row],[VENDEDOR]],'[1]BASE PYTHON'!$H:$H,'[1]BASE PYTHON'!$I:$I,0)</f>
        <v>0</v>
      </c>
      <c r="K26" s="23">
        <f>Tabela5[[#This Row],[COMPROMISSO]]-Tabela5[[#This Row],[ATINGIDO]]</f>
        <v>5351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0</v>
      </c>
      <c r="W26" s="19">
        <f t="shared" si="2"/>
        <v>35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27209.899999999998</v>
      </c>
      <c r="E27" s="24">
        <f>Tabela13[[#This Row],[META A]]-Tabela13[[#This Row],[ATINGIDO]]</f>
        <v>210290.1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6216</v>
      </c>
      <c r="J27" s="22">
        <f>_xlfn.XLOOKUP(Tabela5[[#This Row],[VENDEDOR]],'[1]BASE PYTHON'!$H:$H,'[1]BASE PYTHON'!$I:$I,0)</f>
        <v>624.20000000000005</v>
      </c>
      <c r="K27" s="23">
        <f>Tabela5[[#This Row],[COMPROMISSO]]-Tabela5[[#This Row],[ATINGIDO]]</f>
        <v>5591.8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38256.229999999996</v>
      </c>
      <c r="E28" s="27">
        <f>Tabela13[[#This Row],[META A]]-Tabela13[[#This Row],[ATINGIDO]]</f>
        <v>280243.77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40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12211.059999999998</v>
      </c>
      <c r="E29" s="24">
        <f>Tabela13[[#This Row],[META A]]-Tabela13[[#This Row],[ATINGIDO]]</f>
        <v>162788.94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15213.400000000001</v>
      </c>
      <c r="E30" s="27">
        <f>Tabela13[[#This Row],[META A]]-Tabela13[[#This Row],[ATINGIDO]]</f>
        <v>119286.6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81</v>
      </c>
      <c r="W30" s="6">
        <f>U30-V30</f>
        <v>22.36363636363636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14246.68</v>
      </c>
      <c r="E31" s="24">
        <f>Tabela13[[#This Row],[META A]]-Tabela13[[#This Row],[ATINGIDO]]</f>
        <v>152753.32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262981.55</v>
      </c>
      <c r="K31" s="7">
        <f>I31-J31</f>
        <v>127768.45000000001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3</v>
      </c>
      <c r="W31" s="6">
        <f t="shared" ref="W31:W33" si="3">U31-V31</f>
        <v>134.81818181818181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23149.339999999993</v>
      </c>
      <c r="E32" s="27">
        <f>Tabela13[[#This Row],[META A]]-Tabela13[[#This Row],[ATINGIDO]]</f>
        <v>236850.66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21853.540000000008</v>
      </c>
      <c r="K32" s="7">
        <f t="shared" ref="K32:K34" si="4">I32-J32</f>
        <v>499146.45999999996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0</v>
      </c>
      <c r="W32" s="6">
        <f t="shared" si="3"/>
        <v>172.27272727272725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5681.579999999999</v>
      </c>
      <c r="E33" s="24">
        <f>Tabela13[[#This Row],[META A]]-Tabela13[[#This Row],[ATINGIDO]]</f>
        <v>94318.42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0</v>
      </c>
      <c r="K33" s="7">
        <f t="shared" si="4"/>
        <v>651250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0</v>
      </c>
      <c r="W33" s="6">
        <f t="shared" si="3"/>
        <v>172.27272727272725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4535.3800000000019</v>
      </c>
      <c r="E34" s="27">
        <f>Tabela13[[#This Row],[META A]]-Tabela13[[#This Row],[ATINGIDO]]</f>
        <v>50464.619999999995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0</v>
      </c>
      <c r="K34" s="7">
        <f t="shared" si="4"/>
        <v>651250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172.27272727272725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7861.4900000000007</v>
      </c>
      <c r="E35" s="24">
        <f>Tabela13[[#This Row],[META A]]-Tabela13[[#This Row],[ATINGIDO]]</f>
        <v>65138.51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0</v>
      </c>
      <c r="K35" s="7">
        <f>I35-J35</f>
        <v>651250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C36"/>
      <c r="D36"/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4"/>
      <c r="B38" s="4" t="s">
        <v>47</v>
      </c>
      <c r="C38" s="4" t="s">
        <v>25</v>
      </c>
      <c r="D38" s="4" t="s">
        <v>3</v>
      </c>
      <c r="E38" s="4" t="s">
        <v>2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4"/>
      <c r="B39" s="4" t="s">
        <v>4</v>
      </c>
      <c r="C39" s="2" cm="1">
        <f t="array" ref="C39">_xlfn.XLOOKUP(Tabela3[[#This Row],[SEMANAL]],[1]!Tabela9[[#All],[Coluna1]],[1]!Tabela9[[#All],[Coluna2]])</f>
        <v>390750</v>
      </c>
      <c r="D39" s="2">
        <f>IFERROR(GETPIVOTDATA("[Measures].[Soma de TOTAL 3]",'[1]BASE PYTHON'!$P$47,"[Intervalo 2].[SEMANA]","[Intervalo 2].[SEMANA].&amp;[1]"),0)</f>
        <v>552047.85000000091</v>
      </c>
      <c r="E39" s="7">
        <f>C39-D39</f>
        <v>-161297.85000000091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4"/>
      <c r="B40" s="4" t="s">
        <v>48</v>
      </c>
      <c r="C40" s="2" cm="1">
        <f t="array" ref="C40">_xlfn.XLOOKUP(Tabela3[[#This Row],[SEMANAL]],[1]!Tabela9[[#All],[Coluna1]],[1]!Tabela9[[#All],[Coluna2]])</f>
        <v>521000</v>
      </c>
      <c r="D40" s="2">
        <f>IFERROR(GETPIVOTDATA("[Measures].[Soma de TOTAL 3]",'[1]BASE PYTHON'!$P$47,"[Intervalo 2].[SEMANA]","[Intervalo 2].[SEMANA].&amp;[2]"),0)</f>
        <v>25457.80000000001</v>
      </c>
      <c r="E40" s="7">
        <f t="shared" ref="E40:E42" si="5">C40-D40</f>
        <v>495542.2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4"/>
      <c r="B41" s="4" t="s">
        <v>49</v>
      </c>
      <c r="C41" s="2" cm="1">
        <f t="array" ref="C41">_xlfn.XLOOKUP(Tabela3[[#This Row],[SEMANAL]],[1]!Tabela9[[#All],[Coluna1]],[1]!Tabela9[[#All],[Coluna2]])</f>
        <v>651250</v>
      </c>
      <c r="D41" s="2">
        <f>IFERROR(GETPIVOTDATA("[Measures].[Soma de TOTAL 3]",'[1]BASE PYTHON'!$P$47,"[Intervalo 2].[SEMANA]","[Intervalo 2].[SEMANA].&amp;[3]"),0)</f>
        <v>0</v>
      </c>
      <c r="E41" s="7">
        <f t="shared" si="5"/>
        <v>651250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4"/>
      <c r="B42" s="4" t="s">
        <v>50</v>
      </c>
      <c r="C42" s="2" cm="1">
        <f t="array" ref="C42">_xlfn.XLOOKUP(Tabela3[[#This Row],[SEMANAL]],[1]!Tabela9[[#All],[Coluna1]],[1]!Tabela9[[#All],[Coluna2]])</f>
        <v>651250</v>
      </c>
      <c r="D42" s="2">
        <f>IFERROR(GETPIVOTDATA("[Measures].[Soma de TOTAL 3]",'[1]BASE PYTHON'!$P$47,"[Intervalo 2].[SEMANA]","[Intervalo 2].[SEMANA].&amp;[4]"),0)</f>
        <v>0</v>
      </c>
      <c r="E42" s="7">
        <f t="shared" si="5"/>
        <v>651250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4"/>
      <c r="B43" s="4" t="s">
        <v>52</v>
      </c>
      <c r="C43" s="2" cm="1">
        <f t="array" ref="C43">_xlfn.XLOOKUP(Tabela3[[#This Row],[SEMANAL]],[1]!Tabela9[[#All],[Coluna1]],[1]!Tabela9[[#All],[Coluna2]])</f>
        <v>651250</v>
      </c>
      <c r="D43" s="2">
        <f>IFERROR(GETPIVOTDATA("[Measures].[Soma de TOTAL 3]",'[1]BASE PYTHON'!$P$47,"[Intervalo 2].[SEMANA]","[Intervalo 2].[SEMANA].&amp;[5]"),0)</f>
        <v>0</v>
      </c>
      <c r="E43" s="7">
        <f t="shared" ref="E43" si="6">C43-D43</f>
        <v>651250</v>
      </c>
    </row>
  </sheetData>
  <phoneticPr fontId="2" type="noConversion"/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Iatagam</cp:lastModifiedBy>
  <dcterms:created xsi:type="dcterms:W3CDTF">2026-05-05T18:00:23Z</dcterms:created>
  <dcterms:modified xsi:type="dcterms:W3CDTF">2026-07-06T11:46:39Z</dcterms:modified>
</cp:coreProperties>
</file>