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4E3EB92-FF10-46BE-A723-6BDBBF37A7B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2" l="1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0" i="2"/>
  <c r="J35" i="2"/>
  <c r="P17" i="2"/>
  <c r="P16" i="2"/>
  <c r="V32" i="2"/>
  <c r="P21" i="2"/>
  <c r="V31" i="2"/>
  <c r="J34" i="2"/>
  <c r="P24" i="2"/>
  <c r="D43" i="2"/>
  <c r="P11" i="2"/>
  <c r="V33" i="2"/>
  <c r="V30" i="2"/>
  <c r="P15" i="2"/>
  <c r="P25" i="2"/>
  <c r="J33" i="2"/>
  <c r="J32" i="2"/>
  <c r="P13" i="2"/>
  <c r="D44" i="2"/>
  <c r="P14" i="2"/>
  <c r="P23" i="2"/>
  <c r="J31" i="2"/>
  <c r="D42" i="2"/>
  <c r="P12" i="2"/>
  <c r="P22" i="2"/>
  <c r="V34" i="2"/>
  <c r="D41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3" i="2"/>
  <c r="K19" i="2"/>
  <c r="K11" i="2"/>
  <c r="K16" i="2"/>
  <c r="K26" i="2"/>
  <c r="K20" i="2"/>
  <c r="K25" i="2"/>
  <c r="K15" i="2"/>
  <c r="K14" i="2"/>
  <c r="K27" i="2"/>
  <c r="K18" i="2"/>
  <c r="K22" i="2"/>
  <c r="K21" i="2"/>
  <c r="K23" i="2"/>
  <c r="K12" i="2"/>
  <c r="K17" i="2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9-0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<sst xmlns="http://schemas.openxmlformats.org/spreadsheetml/2006/main" count="273" uniqueCount="62">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</sst>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PAO DA FAZENDA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04/09/2026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12069.650000000001</v>
          </cell>
          <cell r="H5" t="str">
            <v>CAMPINAS</v>
          </cell>
          <cell r="I5">
            <v>911.84999999999991</v>
          </cell>
        </row>
        <row r="6">
          <cell r="E6" t="str">
            <v>CENTRO</v>
          </cell>
          <cell r="F6">
            <v>60373.26</v>
          </cell>
          <cell r="H6" t="str">
            <v>CENTRO</v>
          </cell>
          <cell r="I6">
            <v>13821.57</v>
          </cell>
          <cell r="K6" t="str">
            <v>Contagem Distinta de COD_CLIENTE</v>
          </cell>
        </row>
        <row r="7">
          <cell r="E7" t="str">
            <v>IATAGAM JUNIOR</v>
          </cell>
          <cell r="F7">
            <v>0</v>
          </cell>
          <cell r="H7" t="str">
            <v>INDAIATUBA</v>
          </cell>
          <cell r="I7">
            <v>5976.1899999999987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16366</v>
          </cell>
          <cell r="H8" t="str">
            <v>INTERLAGOS</v>
          </cell>
          <cell r="I8">
            <v>7479.7</v>
          </cell>
          <cell r="K8" t="str">
            <v>CENTRO</v>
          </cell>
          <cell r="N8">
            <v>4</v>
          </cell>
        </row>
        <row r="9">
          <cell r="E9" t="str">
            <v>INTERLAGOS</v>
          </cell>
          <cell r="F9">
            <v>38902.97000000003</v>
          </cell>
          <cell r="H9" t="str">
            <v>JUNDIAI</v>
          </cell>
          <cell r="I9">
            <v>1442.69</v>
          </cell>
          <cell r="K9" t="str">
            <v>INDAIATUBA</v>
          </cell>
          <cell r="M9">
            <v>2</v>
          </cell>
          <cell r="N9">
            <v>6</v>
          </cell>
        </row>
        <row r="10">
          <cell r="E10" t="str">
            <v>JUNDIAI</v>
          </cell>
          <cell r="F10">
            <v>14074.979999999996</v>
          </cell>
          <cell r="H10" t="str">
            <v>KEY CASA</v>
          </cell>
          <cell r="I10">
            <v>9782.5999999999985</v>
          </cell>
          <cell r="K10" t="str">
            <v>INTERLAGOS</v>
          </cell>
          <cell r="M10">
            <v>1</v>
          </cell>
          <cell r="N10">
            <v>12</v>
          </cell>
        </row>
        <row r="11">
          <cell r="E11" t="str">
            <v>KEY ABC</v>
          </cell>
          <cell r="F11">
            <v>17785.3</v>
          </cell>
          <cell r="H11" t="str">
            <v>KEY SJC</v>
          </cell>
          <cell r="I11">
            <v>6369.4</v>
          </cell>
          <cell r="K11" t="str">
            <v>JUNDIAI</v>
          </cell>
          <cell r="M11">
            <v>2</v>
          </cell>
          <cell r="N11">
            <v>7</v>
          </cell>
        </row>
        <row r="12">
          <cell r="E12" t="str">
            <v>KEY CASA</v>
          </cell>
          <cell r="F12">
            <v>42652.5</v>
          </cell>
          <cell r="H12" t="str">
            <v>KEY SP</v>
          </cell>
          <cell r="I12">
            <v>999.5</v>
          </cell>
          <cell r="K12" t="str">
            <v>LESTE MOOCA</v>
          </cell>
          <cell r="M12">
            <v>4</v>
          </cell>
          <cell r="N12">
            <v>13</v>
          </cell>
        </row>
        <row r="13">
          <cell r="E13" t="str">
            <v>KEY INTERIOR</v>
          </cell>
          <cell r="F13">
            <v>2355.1999999999998</v>
          </cell>
          <cell r="H13" t="str">
            <v>KEY ZL</v>
          </cell>
          <cell r="I13">
            <v>4692.2</v>
          </cell>
          <cell r="K13" t="str">
            <v>LESTE PENHA</v>
          </cell>
          <cell r="N13">
            <v>2</v>
          </cell>
        </row>
        <row r="14">
          <cell r="E14" t="str">
            <v>KEY SJC</v>
          </cell>
          <cell r="F14">
            <v>6369.4</v>
          </cell>
          <cell r="H14" t="str">
            <v>LESTE</v>
          </cell>
          <cell r="I14">
            <v>3698.9700000000003</v>
          </cell>
          <cell r="K14" t="str">
            <v>LESTE TATUAPE</v>
          </cell>
          <cell r="M14">
            <v>2</v>
          </cell>
          <cell r="N14">
            <v>4</v>
          </cell>
        </row>
        <row r="15">
          <cell r="E15" t="str">
            <v>KEY SP</v>
          </cell>
          <cell r="F15">
            <v>65761.609999999986</v>
          </cell>
          <cell r="H15" t="str">
            <v>LESTE MOOCA</v>
          </cell>
          <cell r="I15">
            <v>4650.2</v>
          </cell>
          <cell r="K15" t="str">
            <v>MOGI</v>
          </cell>
          <cell r="M15">
            <v>1</v>
          </cell>
          <cell r="N15">
            <v>4</v>
          </cell>
        </row>
        <row r="16">
          <cell r="E16" t="str">
            <v>KEY ZL</v>
          </cell>
          <cell r="F16">
            <v>13645.44</v>
          </cell>
          <cell r="H16" t="str">
            <v>LESTE PENHA</v>
          </cell>
          <cell r="I16">
            <v>3266.9500000000007</v>
          </cell>
          <cell r="K16" t="str">
            <v>NORTE</v>
          </cell>
          <cell r="M16">
            <v>3</v>
          </cell>
          <cell r="N16">
            <v>18</v>
          </cell>
        </row>
        <row r="17">
          <cell r="E17" t="str">
            <v>LESTE</v>
          </cell>
          <cell r="F17">
            <v>9929.4</v>
          </cell>
          <cell r="H17" t="str">
            <v>LESTE TATUAPE</v>
          </cell>
          <cell r="I17">
            <v>2496.86</v>
          </cell>
          <cell r="K17" t="str">
            <v>OSASCO</v>
          </cell>
          <cell r="M17">
            <v>2</v>
          </cell>
          <cell r="N17">
            <v>11</v>
          </cell>
        </row>
        <row r="18">
          <cell r="E18" t="str">
            <v>LESTE MOOCA</v>
          </cell>
          <cell r="F18">
            <v>32540.369999999992</v>
          </cell>
          <cell r="H18" t="str">
            <v>MOGI</v>
          </cell>
          <cell r="I18">
            <v>3952.4600000000005</v>
          </cell>
          <cell r="K18" t="str">
            <v>PIRITUBA</v>
          </cell>
          <cell r="N18">
            <v>1</v>
          </cell>
        </row>
        <row r="19">
          <cell r="E19" t="str">
            <v>LESTE PENHA</v>
          </cell>
          <cell r="F19">
            <v>8306.98</v>
          </cell>
          <cell r="H19" t="str">
            <v>NORTE</v>
          </cell>
          <cell r="I19">
            <v>7603.4299999999985</v>
          </cell>
          <cell r="K19" t="str">
            <v>SANTO ANDRE</v>
          </cell>
          <cell r="M19">
            <v>1</v>
          </cell>
          <cell r="N19">
            <v>3</v>
          </cell>
        </row>
        <row r="20">
          <cell r="E20" t="str">
            <v>LESTE TATUAPE</v>
          </cell>
          <cell r="F20">
            <v>21644.100000000009</v>
          </cell>
          <cell r="H20" t="str">
            <v>OSASCO</v>
          </cell>
          <cell r="I20">
            <v>15188.659999999998</v>
          </cell>
          <cell r="K20" t="str">
            <v>SBC</v>
          </cell>
          <cell r="N20">
            <v>10</v>
          </cell>
        </row>
        <row r="21">
          <cell r="E21" t="str">
            <v>MOGI</v>
          </cell>
          <cell r="F21">
            <v>11352.669999999998</v>
          </cell>
          <cell r="H21" t="str">
            <v>PIRITUBA</v>
          </cell>
          <cell r="I21">
            <v>330.58</v>
          </cell>
          <cell r="K21" t="str">
            <v>SJC</v>
          </cell>
          <cell r="N21">
            <v>6</v>
          </cell>
        </row>
        <row r="22">
          <cell r="E22" t="str">
            <v>NORTE</v>
          </cell>
          <cell r="F22">
            <v>38936.190000000017</v>
          </cell>
          <cell r="H22" t="str">
            <v>SANTO ANDRE</v>
          </cell>
          <cell r="I22">
            <v>1422.1</v>
          </cell>
          <cell r="K22" t="str">
            <v>SJC/VALE</v>
          </cell>
          <cell r="M22">
            <v>4</v>
          </cell>
          <cell r="N22">
            <v>11</v>
          </cell>
        </row>
        <row r="23">
          <cell r="E23" t="str">
            <v>OSASCO</v>
          </cell>
          <cell r="F23">
            <v>63745.28000000005</v>
          </cell>
          <cell r="H23" t="str">
            <v>SBC</v>
          </cell>
          <cell r="I23">
            <v>6423.85</v>
          </cell>
          <cell r="K23" t="str">
            <v>Total Geral</v>
          </cell>
          <cell r="M23">
            <v>22</v>
          </cell>
          <cell r="N23">
            <v>112</v>
          </cell>
        </row>
        <row r="24">
          <cell r="E24" t="str">
            <v>PIRITUBA</v>
          </cell>
          <cell r="F24">
            <v>10791.829999999996</v>
          </cell>
          <cell r="H24" t="str">
            <v>SJC</v>
          </cell>
          <cell r="I24">
            <v>3882</v>
          </cell>
        </row>
        <row r="25">
          <cell r="E25" t="str">
            <v>SANTO ANDRE</v>
          </cell>
          <cell r="F25">
            <v>28239.069999999992</v>
          </cell>
          <cell r="H25" t="str">
            <v>SJC/VALE</v>
          </cell>
          <cell r="I25">
            <v>3117.9</v>
          </cell>
        </row>
        <row r="26">
          <cell r="E26" t="str">
            <v>SBC</v>
          </cell>
          <cell r="F26">
            <v>45621.310000000005</v>
          </cell>
          <cell r="H26" t="str">
            <v>VENDEDOR INTERNO 1</v>
          </cell>
          <cell r="I26">
            <v>5001.75</v>
          </cell>
        </row>
        <row r="27">
          <cell r="E27" t="str">
            <v>SJC</v>
          </cell>
          <cell r="F27">
            <v>12033.179999999998</v>
          </cell>
          <cell r="H27" t="str">
            <v>Total Geral</v>
          </cell>
          <cell r="I27">
            <v>112511.40999999986</v>
          </cell>
        </row>
        <row r="28">
          <cell r="E28" t="str">
            <v>SJC/VALE</v>
          </cell>
          <cell r="F28">
            <v>10538.899999999992</v>
          </cell>
        </row>
        <row r="29">
          <cell r="E29" t="str">
            <v>VENDEDOR INTERNO 1</v>
          </cell>
          <cell r="F29">
            <v>10551.74</v>
          </cell>
        </row>
        <row r="30">
          <cell r="E30" t="str">
            <v>Total Geral</v>
          </cell>
          <cell r="F30">
            <v>594587.33000000345</v>
          </cell>
        </row>
        <row r="32"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CAMPINAS</v>
          </cell>
          <cell r="B63">
            <v>20</v>
          </cell>
        </row>
        <row r="64">
          <cell r="A64" t="str">
            <v>CENTRO</v>
          </cell>
          <cell r="B64">
            <v>20</v>
          </cell>
        </row>
        <row r="65">
          <cell r="A65" t="str">
            <v>INDAIATUBA</v>
          </cell>
          <cell r="B65">
            <v>20</v>
          </cell>
        </row>
        <row r="66">
          <cell r="A66" t="str">
            <v>INTERLAGOS</v>
          </cell>
          <cell r="B66">
            <v>20</v>
          </cell>
        </row>
        <row r="67">
          <cell r="A67" t="str">
            <v>JUNDIAI</v>
          </cell>
          <cell r="B67">
            <v>20</v>
          </cell>
        </row>
        <row r="68">
          <cell r="A68" t="str">
            <v>LESTE</v>
          </cell>
          <cell r="B68">
            <v>20</v>
          </cell>
        </row>
        <row r="69">
          <cell r="A69" t="str">
            <v>LESTE MOOCA</v>
          </cell>
          <cell r="B69">
            <v>20</v>
          </cell>
        </row>
        <row r="70">
          <cell r="A70" t="str">
            <v>LESTE PENHA</v>
          </cell>
          <cell r="B70">
            <v>20</v>
          </cell>
        </row>
        <row r="71">
          <cell r="A71" t="str">
            <v>LESTE TATUAPE</v>
          </cell>
          <cell r="B71">
            <v>20</v>
          </cell>
        </row>
        <row r="72">
          <cell r="A72" t="str">
            <v>MOGI</v>
          </cell>
          <cell r="B72">
            <v>20</v>
          </cell>
        </row>
        <row r="73">
          <cell r="A73" t="str">
            <v>NORTE</v>
          </cell>
          <cell r="B73">
            <v>20</v>
          </cell>
        </row>
        <row r="74">
          <cell r="A74" t="str">
            <v>OSASCO</v>
          </cell>
          <cell r="B74">
            <v>20</v>
          </cell>
        </row>
        <row r="75">
          <cell r="A75" t="str">
            <v>PIRITUBA</v>
          </cell>
          <cell r="B75">
            <v>20</v>
          </cell>
        </row>
        <row r="76">
          <cell r="A76" t="str">
            <v>SANTO ANDRE</v>
          </cell>
          <cell r="B76">
            <v>20</v>
          </cell>
        </row>
        <row r="77">
          <cell r="A77" t="str">
            <v>SBC</v>
          </cell>
          <cell r="B77">
            <v>20</v>
          </cell>
        </row>
        <row r="78">
          <cell r="A78" t="str">
            <v>SJC</v>
          </cell>
          <cell r="B78">
            <v>20</v>
          </cell>
        </row>
        <row r="79">
          <cell r="A79" t="str">
            <v>SJC/VALE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1">
          <cell r="E91">
            <v>129000</v>
          </cell>
          <cell r="F91">
            <v>253000</v>
          </cell>
        </row>
        <row r="94">
          <cell r="E94">
            <v>129000</v>
          </cell>
          <cell r="F94">
            <v>253000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6</v>
          </cell>
          <cell r="H136" t="str">
            <v>D</v>
          </cell>
          <cell r="I136">
            <v>3</v>
          </cell>
        </row>
        <row r="137">
          <cell r="E137">
            <v>36</v>
          </cell>
          <cell r="F137">
            <v>0</v>
          </cell>
          <cell r="H137" t="str">
            <v>D</v>
          </cell>
          <cell r="I137">
            <v>36</v>
          </cell>
        </row>
        <row r="138">
          <cell r="E138">
            <v>9</v>
          </cell>
          <cell r="F138">
            <v>4</v>
          </cell>
          <cell r="H138" t="str">
            <v>D</v>
          </cell>
          <cell r="I138">
            <v>5</v>
          </cell>
        </row>
        <row r="139">
          <cell r="E139">
            <v>9</v>
          </cell>
          <cell r="F139">
            <v>11</v>
          </cell>
          <cell r="H139" t="str">
            <v>C</v>
          </cell>
          <cell r="I139">
            <v>3</v>
          </cell>
        </row>
        <row r="140">
          <cell r="E140">
            <v>9</v>
          </cell>
          <cell r="F140">
            <v>12</v>
          </cell>
          <cell r="H140" t="str">
            <v>C</v>
          </cell>
          <cell r="I140">
            <v>2</v>
          </cell>
        </row>
        <row r="141">
          <cell r="E141">
            <v>9</v>
          </cell>
          <cell r="F141">
            <v>13</v>
          </cell>
          <cell r="H141" t="str">
            <v>C</v>
          </cell>
          <cell r="I141">
            <v>1</v>
          </cell>
        </row>
        <row r="142">
          <cell r="E142">
            <v>9</v>
          </cell>
          <cell r="F142">
            <v>3</v>
          </cell>
          <cell r="H142" t="str">
            <v>D</v>
          </cell>
          <cell r="I142">
            <v>6</v>
          </cell>
        </row>
        <row r="143">
          <cell r="E143">
            <v>9</v>
          </cell>
          <cell r="F143">
            <v>18</v>
          </cell>
          <cell r="H143" t="str">
            <v>A</v>
          </cell>
          <cell r="I143">
            <v>2</v>
          </cell>
        </row>
        <row r="144">
          <cell r="E144">
            <v>9</v>
          </cell>
          <cell r="F144">
            <v>0</v>
          </cell>
          <cell r="H144" t="str">
            <v>D</v>
          </cell>
          <cell r="I144">
            <v>9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6</v>
          </cell>
          <cell r="H146" t="str">
            <v>D</v>
          </cell>
          <cell r="I146">
            <v>3</v>
          </cell>
        </row>
        <row r="147">
          <cell r="E147">
            <v>9</v>
          </cell>
          <cell r="F147">
            <v>0</v>
          </cell>
          <cell r="H147" t="str">
            <v>D</v>
          </cell>
          <cell r="I147">
            <v>9</v>
          </cell>
        </row>
        <row r="148">
          <cell r="E148">
            <v>9</v>
          </cell>
          <cell r="F148">
            <v>7</v>
          </cell>
          <cell r="H148" t="str">
            <v>D</v>
          </cell>
          <cell r="I148">
            <v>2</v>
          </cell>
        </row>
        <row r="149">
          <cell r="E149">
            <v>9</v>
          </cell>
          <cell r="F149">
            <v>1</v>
          </cell>
          <cell r="H149" t="str">
            <v>D</v>
          </cell>
          <cell r="I149">
            <v>8</v>
          </cell>
        </row>
        <row r="150">
          <cell r="E150">
            <v>9</v>
          </cell>
          <cell r="F150">
            <v>2</v>
          </cell>
          <cell r="H150" t="str">
            <v>D</v>
          </cell>
          <cell r="I150">
            <v>7</v>
          </cell>
        </row>
        <row r="151">
          <cell r="E151">
            <v>9</v>
          </cell>
          <cell r="F151">
            <v>10</v>
          </cell>
          <cell r="H151" t="str">
            <v>C</v>
          </cell>
          <cell r="I151">
            <v>4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4</v>
          </cell>
          <cell r="H153" t="str">
            <v>D</v>
          </cell>
          <cell r="I153">
            <v>5</v>
          </cell>
        </row>
        <row r="154">
          <cell r="E154">
            <v>189</v>
          </cell>
          <cell r="F154">
            <v>112</v>
          </cell>
          <cell r="I154">
            <v>113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12033.179999999998</v>
          </cell>
          <cell r="H159" t="str">
            <v>D</v>
          </cell>
          <cell r="I159">
            <v>26216.82</v>
          </cell>
        </row>
        <row r="160">
          <cell r="E160">
            <v>34425</v>
          </cell>
          <cell r="F160">
            <v>10551.74</v>
          </cell>
          <cell r="H160" t="str">
            <v>D</v>
          </cell>
          <cell r="I160">
            <v>23873.260000000002</v>
          </cell>
        </row>
        <row r="161">
          <cell r="E161">
            <v>153000</v>
          </cell>
          <cell r="F161">
            <v>60373.26</v>
          </cell>
          <cell r="H161" t="str">
            <v>D</v>
          </cell>
          <cell r="I161">
            <v>92626.739999999991</v>
          </cell>
        </row>
        <row r="162">
          <cell r="E162">
            <v>146925</v>
          </cell>
          <cell r="F162">
            <v>63745.28000000005</v>
          </cell>
          <cell r="H162" t="str">
            <v>D</v>
          </cell>
          <cell r="I162">
            <v>83179.719999999943</v>
          </cell>
        </row>
        <row r="163">
          <cell r="E163">
            <v>124200</v>
          </cell>
          <cell r="F163">
            <v>38902.97000000003</v>
          </cell>
          <cell r="H163" t="str">
            <v>D</v>
          </cell>
          <cell r="I163">
            <v>85297.02999999997</v>
          </cell>
        </row>
        <row r="164">
          <cell r="E164">
            <v>91350</v>
          </cell>
          <cell r="F164">
            <v>32540.369999999992</v>
          </cell>
          <cell r="H164" t="str">
            <v>D</v>
          </cell>
          <cell r="I164">
            <v>58809.630000000005</v>
          </cell>
        </row>
        <row r="165">
          <cell r="E165">
            <v>76500</v>
          </cell>
          <cell r="F165">
            <v>28239.069999999992</v>
          </cell>
          <cell r="H165" t="str">
            <v>D</v>
          </cell>
          <cell r="I165">
            <v>48260.930000000008</v>
          </cell>
        </row>
        <row r="166">
          <cell r="E166">
            <v>110250</v>
          </cell>
          <cell r="F166">
            <v>38936.190000000017</v>
          </cell>
          <cell r="H166" t="str">
            <v>D</v>
          </cell>
          <cell r="I166">
            <v>71313.809999999983</v>
          </cell>
        </row>
        <row r="167">
          <cell r="E167">
            <v>54900</v>
          </cell>
          <cell r="F167">
            <v>9929.4</v>
          </cell>
          <cell r="H167" t="str">
            <v>D</v>
          </cell>
          <cell r="I167">
            <v>44970.6</v>
          </cell>
        </row>
        <row r="168">
          <cell r="E168">
            <v>24750</v>
          </cell>
          <cell r="F168">
            <v>10538.899999999992</v>
          </cell>
          <cell r="H168" t="str">
            <v>D</v>
          </cell>
          <cell r="I168">
            <v>14211.100000000008</v>
          </cell>
        </row>
        <row r="169">
          <cell r="E169">
            <v>41850</v>
          </cell>
          <cell r="F169">
            <v>16366</v>
          </cell>
          <cell r="H169" t="str">
            <v>D</v>
          </cell>
          <cell r="I169">
            <v>25484</v>
          </cell>
        </row>
        <row r="170">
          <cell r="E170">
            <v>30375</v>
          </cell>
          <cell r="F170">
            <v>12069.650000000001</v>
          </cell>
          <cell r="H170" t="str">
            <v>D</v>
          </cell>
          <cell r="I170">
            <v>18305.349999999999</v>
          </cell>
        </row>
        <row r="171">
          <cell r="E171">
            <v>36450</v>
          </cell>
          <cell r="F171">
            <v>14074.979999999996</v>
          </cell>
          <cell r="H171" t="str">
            <v>D</v>
          </cell>
          <cell r="I171">
            <v>22375.020000000004</v>
          </cell>
        </row>
        <row r="172">
          <cell r="E172">
            <v>63900</v>
          </cell>
          <cell r="F172">
            <v>10791.829999999996</v>
          </cell>
          <cell r="H172" t="str">
            <v>D</v>
          </cell>
          <cell r="I172">
            <v>53108.170000000006</v>
          </cell>
        </row>
        <row r="173">
          <cell r="E173">
            <v>65250</v>
          </cell>
          <cell r="F173">
            <v>8306.98</v>
          </cell>
          <cell r="H173" t="str">
            <v>D</v>
          </cell>
          <cell r="I173">
            <v>56943.020000000004</v>
          </cell>
        </row>
        <row r="174">
          <cell r="E174">
            <v>119250</v>
          </cell>
          <cell r="F174">
            <v>45621.310000000005</v>
          </cell>
          <cell r="H174" t="str">
            <v>D</v>
          </cell>
          <cell r="I174">
            <v>73628.69</v>
          </cell>
        </row>
        <row r="175">
          <cell r="E175">
            <v>36000</v>
          </cell>
          <cell r="F175">
            <v>11352.669999999998</v>
          </cell>
          <cell r="H175" t="str">
            <v>D</v>
          </cell>
          <cell r="I175">
            <v>24647.33</v>
          </cell>
        </row>
        <row r="176">
          <cell r="E176">
            <v>66150</v>
          </cell>
          <cell r="F176">
            <v>21644.100000000009</v>
          </cell>
          <cell r="H176" t="str">
            <v>D</v>
          </cell>
          <cell r="I176">
            <v>44505.899999999994</v>
          </cell>
        </row>
        <row r="177">
          <cell r="E177">
            <v>1313775</v>
          </cell>
          <cell r="F177">
            <v>446017.88000000006</v>
          </cell>
          <cell r="I177">
            <v>867757.11999999988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/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6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11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12033.179999999998</v>
      </c>
      <c r="AO3" s="32" t="str" cm="1">
        <f t="array" ref="AO3">_xlfn.IFS(AN3&gt;=AJ3,"A",AN3&gt;=AK3,"B",AN3&gt;=AL3,"C",AN3&gt;=AM3,"D",TRUE,"NÃO ATINGIDO")</f>
        <v>NÃO ATINGIDO</v>
      </c>
      <c r="AP3" s="32" t="str" cm="1">
        <f t="array" ref="AP3">_xlfn.IFS(AO3="NÃO ATINGIDO","D",AO3="D","C",AO3="C","B",AO3="B","A",AO3="A","OBJETIVO ALCANÇADO")</f>
        <v>D</v>
      </c>
      <c r="AQ3" s="31" cm="1">
        <f t="array" ref="AQ3">_xlfn.IFS(AP3="D",MAX(AM3-AN3,0),AP3="C",MAX(AL3-AN3,0),AP3="B",MAX(AK3-AN3,0),AP3="A",MAX(AJ3-AN3,0),AP3="OBJETIVO ALCANÇADO",0)</f>
        <v>32966.82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2919500</v>
      </c>
      <c r="J4" s="4"/>
      <c r="K4" s="4"/>
      <c r="L4" s="4"/>
      <c r="M4" s="4"/>
      <c r="N4" s="4" t="s">
        <v>37</v>
      </c>
      <c r="O4" s="7">
        <f>SUM(O11:O17)</f>
        <v>67000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0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36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10551.74</v>
      </c>
      <c r="AO4" s="32" t="str" cm="1">
        <f t="array" ref="AO4">_xlfn.IFS(AN4&gt;=AJ4,"A",AN4&gt;=AK4,"B",AN4&gt;=AL4,"C",AN4&gt;=AM4,"D",TRUE,"NÃO ATINGIDO")</f>
        <v>NÃO ATINGIDO</v>
      </c>
      <c r="AP4" s="32" t="str" cm="1">
        <f t="array" ref="AP4">_xlfn.IFS(AO4="NÃO ATINGIDO","D",AO4="D","C",AO4="C","B",AO4="B","A",AO4="A","OBJETIVO ALCANÇADO")</f>
        <v>D</v>
      </c>
      <c r="AQ4" s="31" cm="1">
        <f t="array" ref="AQ4">_xlfn.IFS(AP4="D",MAX(AM4-AN4,0),AP4="C",MAX(AL4-AN4,0),AP4="B",MAX(AK4-AN4,0),AP4="A",MAX(AJ4-AN4,0),AP4="OBJETIVO ALCANÇADO",0)</f>
        <v>23198.260000000002</v>
      </c>
    </row>
    <row r="5" spans="1:43" x14ac:dyDescent="0.25">
      <c r="A5" s="4"/>
      <c r="B5" s="4" t="s">
        <v>1</v>
      </c>
      <c r="C5" s="2">
        <f>SUM(D10:D36)</f>
        <v>594587.33000000019</v>
      </c>
      <c r="D5" s="2"/>
      <c r="E5" s="4"/>
      <c r="F5" s="4"/>
      <c r="G5" s="4"/>
      <c r="H5" s="4" t="s">
        <v>1</v>
      </c>
      <c r="I5" s="7">
        <f>SUM(J10:J27)</f>
        <v>90667.709999999992</v>
      </c>
      <c r="J5" s="4"/>
      <c r="K5" s="4"/>
      <c r="L5" s="4"/>
      <c r="M5" s="4"/>
      <c r="N5" s="4" t="s">
        <v>1</v>
      </c>
      <c r="O5" s="7">
        <f>SUM(P11:P17)</f>
        <v>74083.239999999991</v>
      </c>
      <c r="P5" s="4"/>
      <c r="Q5" s="4"/>
      <c r="R5" s="4"/>
      <c r="S5" s="4"/>
      <c r="T5" s="4" t="s">
        <v>1</v>
      </c>
      <c r="U5" s="4">
        <f>SUM(V10:V26)</f>
        <v>112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4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21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60373.26</v>
      </c>
      <c r="AO5" s="32" t="str" cm="1">
        <f t="array" ref="AO5">_xlfn.IFS(AN5&gt;=AJ5,"A",AN5&gt;=AK5,"B",AN5&gt;=AL5,"C",AN5&gt;=AM5,"D",TRUE,"NÃO ATINGIDO")</f>
        <v>NÃO ATINGIDO</v>
      </c>
      <c r="AP5" s="32" t="str" cm="1">
        <f t="array" ref="AP5">_xlfn.IFS(AO5="NÃO ATINGIDO","D",AO5="D","C",AO5="C","B",AO5="B","A",AO5="A","OBJETIVO ALCANÇADO")</f>
        <v>D</v>
      </c>
      <c r="AQ5" s="31" cm="1">
        <f t="array" ref="AQ5">_xlfn.IFS(AP5="D",MAX(AM5-AN5,0),AP5="C",MAX(AL5-AN5,0),AP5="B",MAX(AK5-AN5,0),AP5="A",MAX(AJ5-AN5,0),AP5="OBJETIVO ALCANÇADO",0)</f>
        <v>88126.739999999991</v>
      </c>
    </row>
    <row r="6" spans="1:43" x14ac:dyDescent="0.25">
      <c r="A6" s="4"/>
      <c r="B6" s="4" t="s">
        <v>2</v>
      </c>
      <c r="C6" s="2">
        <f>C4-C5</f>
        <v>5307912.67</v>
      </c>
      <c r="D6" s="2"/>
      <c r="E6" s="4"/>
      <c r="F6" s="4"/>
      <c r="G6" s="4"/>
      <c r="H6" s="4" t="s">
        <v>2</v>
      </c>
      <c r="I6" s="7">
        <f>I4-I5</f>
        <v>2828832.29</v>
      </c>
      <c r="J6" s="4"/>
      <c r="K6" s="4"/>
      <c r="L6" s="4"/>
      <c r="M6" s="4"/>
      <c r="N6" s="4" t="s">
        <v>2</v>
      </c>
      <c r="O6" s="7">
        <f>O4-O5</f>
        <v>-7083.2399999999907</v>
      </c>
      <c r="P6" s="4"/>
      <c r="Q6" s="4"/>
      <c r="R6" s="4"/>
      <c r="S6" s="4"/>
      <c r="T6" s="4" t="s">
        <v>2</v>
      </c>
      <c r="U6" s="4">
        <f>U4-U5</f>
        <v>228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11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18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63745.28000000005</v>
      </c>
      <c r="AO6" s="32" t="str" cm="1">
        <f t="array" ref="AO6">_xlfn.IFS(AN6&gt;=AJ6,"A",AN6&gt;=AK6,"B",AN6&gt;=AL6,"C",AN6&gt;=AM6,"D",TRUE,"NÃO ATINGIDO")</f>
        <v>NÃO ATINGIDO</v>
      </c>
      <c r="AP6" s="32" t="str" cm="1">
        <f t="array" ref="AP6">_xlfn.IFS(AO6="NÃO ATINGIDO","D",AO6="D","C",AO6="C","B",AO6="B","A",AO6="A","OBJETIVO ALCANÇADO")</f>
        <v>D</v>
      </c>
      <c r="AQ6" s="31" cm="1">
        <f t="array" ref="AQ6">_xlfn.IFS(AP6="D",MAX(AM6-AN6,0),AP6="C",MAX(AL6-AN6,0),AP6="B",MAX(AK6-AN6,0),AP6="A",MAX(AJ6-AN6,0),AP6="OBJETIVO ALCANÇADO",0)</f>
        <v>81829.719999999943</v>
      </c>
    </row>
    <row r="7" spans="1:43" x14ac:dyDescent="0.25">
      <c r="A7" s="4"/>
      <c r="B7" s="4" t="s">
        <v>3</v>
      </c>
      <c r="C7" s="3">
        <f>1-(C6/C4)</f>
        <v>0.10073482930961464</v>
      </c>
      <c r="D7" s="2"/>
      <c r="E7" s="4"/>
      <c r="F7" s="4"/>
      <c r="G7" s="4"/>
      <c r="H7" s="4" t="s">
        <v>3</v>
      </c>
      <c r="I7" s="3">
        <f>1-(I6/I4)</f>
        <v>3.1055903408117813E-2</v>
      </c>
      <c r="J7" s="4"/>
      <c r="K7" s="4"/>
      <c r="L7" s="4"/>
      <c r="M7" s="4"/>
      <c r="N7" s="4" t="s">
        <v>3</v>
      </c>
      <c r="O7" s="3">
        <f>1-(O6/O4)</f>
        <v>1.1057199999999998</v>
      </c>
      <c r="P7" s="4"/>
      <c r="Q7" s="4"/>
      <c r="R7" s="4"/>
      <c r="S7" s="4"/>
      <c r="T7" s="4" t="s">
        <v>3</v>
      </c>
      <c r="U7" s="3">
        <f>1-(U6/U4)</f>
        <v>0.3294117647058824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12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16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38902.97000000003</v>
      </c>
      <c r="AO7" s="32" t="str" cm="1">
        <f t="array" ref="AO7">_xlfn.IFS(AN7&gt;=AJ7,"A",AN7&gt;=AK7,"B",AN7&gt;=AL7,"C",AN7&gt;=AM7,"D",TRUE,"NÃO ATINGIDO")</f>
        <v>NÃO ATINGIDO</v>
      </c>
      <c r="AP7" s="32" t="str" cm="1">
        <f t="array" ref="AP7">_xlfn.IFS(AO7="NÃO ATINGIDO","D",AO7="D","C",AO7="C","B",AO7="B","A",AO7="A","OBJETIVO ALCANÇADO")</f>
        <v>D</v>
      </c>
      <c r="AQ7" s="31" cm="1">
        <f t="array" ref="AQ7">_xlfn.IFS(AP7="D",MAX(AM7-AN7,0),AP7="C",MAX(AL7-AN7,0),AP7="B",MAX(AK7-AN7,0),AP7="A",MAX(AJ7-AN7,0),AP7="OBJETIVO ALCANÇADO",0)</f>
        <v>83947.02999999997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13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10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32540.369999999992</v>
      </c>
      <c r="AO8" s="32" t="str" cm="1">
        <f t="array" ref="AO8">_xlfn.IFS(AN8&gt;=AJ8,"A",AN8&gt;=AK8,"B",AN8&gt;=AL8,"C",AN8&gt;=AM8,"D",TRUE,"NÃO ATINGIDO")</f>
        <v>NÃO ATINGIDO</v>
      </c>
      <c r="AP8" s="32" t="str" cm="1">
        <f t="array" ref="AP8">_xlfn.IFS(AO8="NÃO ATINGIDO","D",AO8="D","C",AO8="C","B",AO8="B","A",AO8="A","OBJETIVO ALCANÇADO")</f>
        <v>D</v>
      </c>
      <c r="AQ8" s="31" cm="1">
        <f t="array" ref="AQ8">_xlfn.IFS(AP8="D",MAX(AM8-AN8,0),AP8="C",MAX(AL8-AN8,0),AP8="B",MAX(AK8-AN8,0),AP8="A",MAX(AJ8-AN8,0),AP8="OBJETIVO ALCANÇADO",0)</f>
        <v>57459.630000000005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3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15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28239.069999999992</v>
      </c>
      <c r="AO9" s="32" t="str" cm="1">
        <f t="array" ref="AO9">_xlfn.IFS(AN9&gt;=AJ9,"A",AN9&gt;=AK9,"B",AN9&gt;=AL9,"C",AN9&gt;=AM9,"D",TRUE,"NÃO ATINGIDO")</f>
        <v>NÃO ATINGIDO</v>
      </c>
      <c r="AP9" s="32" t="str" cm="1">
        <f t="array" ref="AP9">_xlfn.IFS(AO9="NÃO ATINGIDO","D",AO9="D","C",AO9="C","B",AO9="B","A",AO9="A","OBJETIVO ALCANÇADO")</f>
        <v>D</v>
      </c>
      <c r="AQ9" s="31" cm="1">
        <f t="array" ref="AQ9">_xlfn.IFS(AP9="D",MAX(AM9-AN9,0),AP9="C",MAX(AL9-AN9,0),AP9="B",MAX(AK9-AN9,0),AP9="A",MAX(AJ9-AN9,0),AP9="OBJETIVO ALCANÇADO",0)</f>
        <v>46910.930000000008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67500</v>
      </c>
      <c r="D10" s="28">
        <f>_xlfn.XLOOKUP(Tabela13[[#This Row],[REFERENCIA]],'[1]BASE PYTHON'!$E:$E,'[1]BASE PYTHON'!$F:$F,0)</f>
        <v>12069.650000000001</v>
      </c>
      <c r="E10" s="25">
        <f>Tabela13[[#This Row],[META A]]-Tabela13[[#This Row],[ATINGIDO]]</f>
        <v>55430.35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326500</v>
      </c>
      <c r="J10" s="21">
        <f>_xlfn.XLOOKUP(Tabela5[[#This Row],[REFERENCIA]],'[1]BASE PYTHON'!$H:$H,'[1]BASE PYTHON'!$I:$I,0)</f>
        <v>15188.659999999998</v>
      </c>
      <c r="K10" s="22">
        <f>Tabela5[[#This Row],[COMPROMISSO]]-Tabela5[[#This Row],[ATINGIDO]]</f>
        <v>311311.34000000003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20</v>
      </c>
      <c r="V10" s="18">
        <f>_xlfn.XLOOKUP(Tabela2[[#This Row],[REFERENCIA]],'[1]BASE PYTHON'!$K:$K,'[1]BASE PYTHON'!$N:$N,0)</f>
        <v>0</v>
      </c>
      <c r="W10" s="18">
        <f>U10-V10</f>
        <v>20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18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4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38936.190000000017</v>
      </c>
      <c r="AO10" s="32" t="str" cm="1">
        <f t="array" ref="AO10">_xlfn.IFS(AN10&gt;=AJ10,"A",AN10&gt;=AK10,"B",AN10&gt;=AL10,"C",AN10&gt;=AM10,"D",TRUE,"NÃO ATINGIDO")</f>
        <v>NÃO ATINGIDO</v>
      </c>
      <c r="AP10" s="32" t="str" cm="1">
        <f t="array" ref="AP10">_xlfn.IFS(AO10="NÃO ATINGIDO","D",AO10="D","C",AO10="C","B",AO10="B","A",AO10="A","OBJETIVO ALCANÇADO")</f>
        <v>D</v>
      </c>
      <c r="AQ10" s="31" cm="1">
        <f t="array" ref="AQ10">_xlfn.IFS(AP10="D",MAX(AM10-AN10,0),AP10="C",MAX(AL10-AN10,0),AP10="B",MAX(AK10-AN10,0),AP10="A",MAX(AJ10-AN10,0),AP10="OBJETIVO ALCANÇADO",0)</f>
        <v>69963.809999999983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340000</v>
      </c>
      <c r="D11" s="28">
        <f>_xlfn.XLOOKUP(Tabela13[[#This Row],[REFERENCIA]],'[1]BASE PYTHON'!$E:$E,'[1]BASE PYTHON'!$F:$F,0)</f>
        <v>60373.26</v>
      </c>
      <c r="E11" s="23">
        <f>Tabela13[[#This Row],[META A]]-Tabela13[[#This Row],[ATINGIDO]]</f>
        <v>279626.74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245000</v>
      </c>
      <c r="J11" s="21">
        <f>_xlfn.XLOOKUP(Tabela5[[#This Row],[REFERENCIA]],'[1]BASE PYTHON'!$H:$H,'[1]BASE PYTHON'!$I:$I,0)</f>
        <v>7603.4299999999985</v>
      </c>
      <c r="K11" s="22">
        <f>Tabela5[[#This Row],[COMPROMISSO]]-Tabela5[[#This Row],[ATINGIDO]]</f>
        <v>237396.57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17785.3</v>
      </c>
      <c r="Q11" s="2">
        <f>Tabela8[[#This Row],[COMPROMISSO]]-Tabela8[[#This Row],[ATINGIDO]]</f>
        <v>-17785.3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20</v>
      </c>
      <c r="V11" s="18">
        <f>_xlfn.XLOOKUP(Tabela2[[#This Row],[REFERENCIA]],'[1]BASE PYTHON'!$K:$K,'[1]BASE PYTHON'!$N:$N,0)</f>
        <v>4</v>
      </c>
      <c r="W11" s="18">
        <f t="shared" ref="W11:W20" si="0">U11-V11</f>
        <v>16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9929.4</v>
      </c>
      <c r="AO11" s="32" t="str" cm="1">
        <f t="array" ref="AO11">_xlfn.IFS(AN11&gt;=AJ11,"A",AN11&gt;=AK11,"B",AN11&gt;=AL11,"C",AN11&gt;=AM11,"D",TRUE,"NÃO ATINGIDO")</f>
        <v>NÃO ATINGIDO</v>
      </c>
      <c r="AP11" s="32" t="str" cm="1">
        <f t="array" ref="AP11">_xlfn.IFS(AO11="NÃO ATINGIDO","D",AO11="D","C",AO11="C","B",AO11="B","A",AO11="A","OBJETIVO ALCANÇADO")</f>
        <v>D</v>
      </c>
      <c r="AQ11" s="31" cm="1">
        <f t="array" ref="AQ11">_xlfn.IFS(AP11="D",MAX(AM11-AN11,0),AP11="C",MAX(AL11-AN11,0),AP11="B",MAX(AK11-AN11,0),AP11="A",MAX(AJ11-AN11,0),AP11="OBJETIVO ALCANÇADO",0)</f>
        <v>44970.6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142000</v>
      </c>
      <c r="J12" s="21">
        <f>_xlfn.XLOOKUP(Tabela5[[#This Row],[REFERENCIA]],'[1]BASE PYTHON'!$H:$H,'[1]BASE PYTHON'!$I:$I,0)</f>
        <v>330.58</v>
      </c>
      <c r="K12" s="22">
        <f>Tabela5[[#This Row],[COMPROMISSO]]-Tabela5[[#This Row],[ATINGIDO]]</f>
        <v>141669.42000000001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20</v>
      </c>
      <c r="V12" s="18">
        <f>_xlfn.XLOOKUP(Tabela2[[#This Row],[REFERENCIA]],'[1]BASE PYTHON'!$K:$K,'[1]BASE PYTHON'!$N:$N,0)</f>
        <v>6</v>
      </c>
      <c r="W12" s="18">
        <f t="shared" si="0"/>
        <v>14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11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7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10538.899999999992</v>
      </c>
      <c r="AO12" s="32" t="str" cm="1">
        <f t="array" ref="AO12">_xlfn.IFS(AN12&gt;=AJ12,"A",AN12&gt;=AK12,"B",AN12&gt;=AL12,"C",AN12&gt;=AM12,"D",TRUE,"NÃO ATINGIDO")</f>
        <v>NÃO ATINGIDO</v>
      </c>
      <c r="AP12" s="32" t="str" cm="1">
        <f t="array" ref="AP12">_xlfn.IFS(AO12="NÃO ATINGIDO","D",AO12="D","C",AO12="C","B",AO12="B","A",AO12="A","OBJETIVO ALCANÇADO")</f>
        <v>D</v>
      </c>
      <c r="AQ12" s="31" cm="1">
        <f t="array" ref="AQ12">_xlfn.IFS(AP12="D",MAX(AM12-AN12,0),AP12="C",MAX(AL12-AN12,0),AP12="B",MAX(AK12-AN12,0),AP12="A",MAX(AJ12-AN12,0),AP12="OBJETIVO ALCANÇADO",0)</f>
        <v>14211.100000000008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93000</v>
      </c>
      <c r="D13" s="28">
        <f>_xlfn.XLOOKUP(Tabela13[[#This Row],[REFERENCIA]],'[1]BASE PYTHON'!$E:$E,'[1]BASE PYTHON'!$F:$F,0)</f>
        <v>16366</v>
      </c>
      <c r="E13" s="23">
        <f>Tabela13[[#This Row],[META A]]-Tabela13[[#This Row],[ATINGIDO]]</f>
        <v>76634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265000</v>
      </c>
      <c r="J13" s="21">
        <f>_xlfn.XLOOKUP(Tabela5[[#This Row],[REFERENCIA]],'[1]BASE PYTHON'!$H:$H,'[1]BASE PYTHON'!$I:$I,0)</f>
        <v>6423.85</v>
      </c>
      <c r="K13" s="22">
        <f>Tabela5[[#This Row],[COMPROMISSO]]-Tabela5[[#This Row],[ATINGIDO]]</f>
        <v>258576.15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13645.44</v>
      </c>
      <c r="Q13" s="2">
        <f>Tabela8[[#This Row],[COMPROMISSO]]-Tabela8[[#This Row],[ATINGIDO]]</f>
        <v>-13645.44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20</v>
      </c>
      <c r="V13" s="18">
        <f>_xlfn.XLOOKUP(Tabela2[[#This Row],[REFERENCIA]],'[1]BASE PYTHON'!$K:$K,'[1]BASE PYTHON'!$N:$N,0)</f>
        <v>12</v>
      </c>
      <c r="W13" s="18">
        <f t="shared" si="0"/>
        <v>8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6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14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16366</v>
      </c>
      <c r="AO13" s="32" t="str" cm="1">
        <f t="array" ref="AO13">_xlfn.IFS(AN13&gt;=AJ13,"A",AN13&gt;=AK13,"B",AN13&gt;=AL13,"C",AN13&gt;=AM13,"D",TRUE,"NÃO ATINGIDO")</f>
        <v>NÃO ATINGIDO</v>
      </c>
      <c r="AP13" s="32" t="str" cm="1">
        <f t="array" ref="AP13">_xlfn.IFS(AO13="NÃO ATINGIDO","D",AO13="D","C",AO13="C","B",AO13="B","A",AO13="A","OBJETIVO ALCANÇADO")</f>
        <v>D</v>
      </c>
      <c r="AQ13" s="31" cm="1">
        <f t="array" ref="AQ13">_xlfn.IFS(AP13="D",MAX(AM13-AN13,0),AP13="C",MAX(AL13-AN13,0),AP13="B",MAX(AK13-AN13,0),AP13="A",MAX(AJ13-AN13,0),AP13="OBJETIVO ALCANÇADO",0)</f>
        <v>24134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276000</v>
      </c>
      <c r="D14" s="28">
        <f>_xlfn.XLOOKUP(Tabela13[[#This Row],[REFERENCIA]],'[1]BASE PYTHON'!$E:$E,'[1]BASE PYTHON'!$F:$F,0)</f>
        <v>38902.97000000003</v>
      </c>
      <c r="E14" s="25">
        <f>Tabela13[[#This Row],[META A]]-Tabela13[[#This Row],[ATINGIDO]]</f>
        <v>237097.02999999997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147000</v>
      </c>
      <c r="J14" s="21">
        <f>_xlfn.XLOOKUP(Tabela5[[#This Row],[REFERENCIA]],'[1]BASE PYTHON'!$H:$H,'[1]BASE PYTHON'!$I:$I,0)</f>
        <v>2496.86</v>
      </c>
      <c r="K14" s="22">
        <f>Tabela5[[#This Row],[COMPROMISSO]]-Tabela5[[#This Row],[ATINGIDO]]</f>
        <v>144503.14000000001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20</v>
      </c>
      <c r="V14" s="18">
        <f>_xlfn.XLOOKUP(Tabela2[[#This Row],[REFERENCIA]],'[1]BASE PYTHON'!$K:$K,'[1]BASE PYTHON'!$N:$N,0)</f>
        <v>7</v>
      </c>
      <c r="W14" s="18">
        <f t="shared" si="0"/>
        <v>13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12069.650000000001</v>
      </c>
      <c r="AO14" s="32" t="str" cm="1">
        <f t="array" ref="AO14">_xlfn.IFS(AN14&gt;=AJ14,"A",AN14&gt;=AK14,"B",AN14&gt;=AL14,"C",AN14&gt;=AM14,"D",TRUE,"NÃO ATINGIDO")</f>
        <v>NÃO ATINGIDO</v>
      </c>
      <c r="AP14" s="32" t="str" cm="1">
        <f t="array" ref="AP14">_xlfn.IFS(AO14="NÃO ATINGIDO","D",AO14="D","C",AO14="C","B",AO14="B","A",AO14="A","OBJETIVO ALCANÇADO")</f>
        <v>D</v>
      </c>
      <c r="AQ14" s="31" cm="1">
        <f t="array" ref="AQ14">_xlfn.IFS(AP14="D",MAX(AM14-AN14,0),AP14="C",MAX(AL14-AN14,0),AP14="B",MAX(AK14-AN14,0),AP14="A",MAX(AJ14-AN14,0),AP14="OBJETIVO ALCANÇADO",0)</f>
        <v>16955.349999999999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81000</v>
      </c>
      <c r="D15" s="28">
        <f>_xlfn.XLOOKUP(Tabela13[[#This Row],[REFERENCIA]],'[1]BASE PYTHON'!$E:$E,'[1]BASE PYTHON'!$F:$F,0)</f>
        <v>14074.979999999996</v>
      </c>
      <c r="E15" s="23">
        <f>Tabela13[[#This Row],[META A]]-Tabela13[[#This Row],[ATINGIDO]]</f>
        <v>66925.02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340000</v>
      </c>
      <c r="J15" s="21">
        <f>_xlfn.XLOOKUP(Tabela5[[#This Row],[REFERENCIA]],'[1]BASE PYTHON'!$H:$H,'[1]BASE PYTHON'!$I:$I,0)</f>
        <v>13821.57</v>
      </c>
      <c r="K15" s="22">
        <f>Tabela5[[#This Row],[COMPROMISSO]]-Tabela5[[#This Row],[ATINGIDO]]</f>
        <v>326178.43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67000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67000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20</v>
      </c>
      <c r="V15" s="18">
        <f>_xlfn.XLOOKUP(Tabela2[[#This Row],[REFERENCIA]],'[1]BASE PYTHON'!$K:$K,'[1]BASE PYTHON'!$N:$N,0)</f>
        <v>0</v>
      </c>
      <c r="W15" s="18">
        <f>U15-V15</f>
        <v>20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7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7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14074.979999999996</v>
      </c>
      <c r="AO15" s="32" t="str" cm="1">
        <f t="array" ref="AO15">_xlfn.IFS(AN15&gt;=AJ15,"A",AN15&gt;=AK15,"B",AN15&gt;=AL15,"C",AN15&gt;=AM15,"D",TRUE,"NÃO ATINGIDO")</f>
        <v>NÃO ATINGIDO</v>
      </c>
      <c r="AP15" s="32" t="str" cm="1">
        <f t="array" ref="AP15">_xlfn.IFS(AO15="NÃO ATINGIDO","D",AO15="D","C",AO15="C","B",AO15="B","A",AO15="A","OBJETIVO ALCANÇADO")</f>
        <v>D</v>
      </c>
      <c r="AQ15" s="31" cm="1">
        <f t="array" ref="AQ15">_xlfn.IFS(AP15="D",MAX(AM15-AN15,0),AP15="C",MAX(AL15-AN15,0),AP15="B",MAX(AK15-AN15,0),AP15="A",MAX(AJ15-AN15,0),AP15="OBJETIVO ALCANÇADO",0)</f>
        <v>21025.020000000004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17785.3</v>
      </c>
      <c r="E16" s="25">
        <f>Tabela13[[#This Row],[META A]]-Tabela13[[#This Row],[ATINGIDO]]</f>
        <v>332214.7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170000</v>
      </c>
      <c r="J16" s="21">
        <f>_xlfn.XLOOKUP(Tabela5[[#This Row],[REFERENCIA]],'[1]BASE PYTHON'!$H:$H,'[1]BASE PYTHON'!$I:$I,0)</f>
        <v>1422.1</v>
      </c>
      <c r="K16" s="22">
        <f>Tabela5[[#This Row],[COMPROMISSO]]-Tabela5[[#This Row],[ATINGIDO]]</f>
        <v>168577.9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20</v>
      </c>
      <c r="V16" s="18">
        <f>_xlfn.XLOOKUP(Tabela2[[#This Row],[REFERENCIA]],'[1]BASE PYTHON'!$K:$K,'[1]BASE PYTHON'!$N:$N,0)</f>
        <v>4</v>
      </c>
      <c r="W16" s="18">
        <f t="shared" si="0"/>
        <v>16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1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19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10791.829999999996</v>
      </c>
      <c r="AO16" s="32" t="str" cm="1">
        <f t="array" ref="AO16">_xlfn.IFS(AN16&gt;=AJ16,"A",AN16&gt;=AK16,"B",AN16&gt;=AL16,"C",AN16&gt;=AM16,"D",TRUE,"NÃO ATINGIDO")</f>
        <v>NÃO ATINGIDO</v>
      </c>
      <c r="AP16" s="32" t="str" cm="1">
        <f t="array" ref="AP16">_xlfn.IFS(AO16="NÃO ATINGIDO","D",AO16="D","C",AO16="C","B",AO16="B","A",AO16="A","OBJETIVO ALCANÇADO")</f>
        <v>D</v>
      </c>
      <c r="AQ16" s="31" cm="1">
        <f t="array" ref="AQ16">_xlfn.IFS(AP16="D",MAX(AM16-AN16,0),AP16="C",MAX(AL16-AN16,0),AP16="B",MAX(AK16-AN16,0),AP16="A",MAX(AJ16-AN16,0),AP16="OBJETIVO ALCANÇADO",0)</f>
        <v>51983.170000000006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450000</v>
      </c>
      <c r="D17" s="28">
        <f>_xlfn.XLOOKUP(Tabela13[[#This Row],[REFERENCIA]],'[1]BASE PYTHON'!$E:$E,'[1]BASE PYTHON'!$F:$F,0)</f>
        <v>42652.5</v>
      </c>
      <c r="E17" s="23">
        <f>Tabela13[[#This Row],[META A]]-Tabela13[[#This Row],[ATINGIDO]]</f>
        <v>407347.5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80000</v>
      </c>
      <c r="J17" s="21">
        <f>_xlfn.XLOOKUP(Tabela5[[#This Row],[REFERENCIA]],'[1]BASE PYTHON'!$H:$H,'[1]BASE PYTHON'!$I:$I,0)</f>
        <v>3952.4600000000005</v>
      </c>
      <c r="K17" s="22">
        <f>Tabela5[[#This Row],[COMPROMISSO]]-Tabela5[[#This Row],[ATINGIDO]]</f>
        <v>76047.539999999994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42652.5</v>
      </c>
      <c r="Q17" s="2">
        <f>Tabela8[[#This Row],[COMPROMISSO]]-Tabela8[[#This Row],[ATINGIDO]]</f>
        <v>-42652.5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20</v>
      </c>
      <c r="V17" s="18">
        <f>_xlfn.XLOOKUP(Tabela2[[#This Row],[REFERENCIA]],'[1]BASE PYTHON'!$K:$K,'[1]BASE PYTHON'!$N:$N,0)</f>
        <v>13</v>
      </c>
      <c r="W17" s="18">
        <f t="shared" si="0"/>
        <v>7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17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8306.98</v>
      </c>
      <c r="AO17" s="32" t="str" cm="1">
        <f t="array" ref="AO17">_xlfn.IFS(AN17&gt;=AJ17,"A",AN17&gt;=AK17,"B",AN17&gt;=AL17,"C",AN17&gt;=AM17,"D",TRUE,"NÃO ATINGIDO")</f>
        <v>NÃO ATINGIDO</v>
      </c>
      <c r="AP17" s="32" t="str" cm="1">
        <f t="array" ref="AP17">_xlfn.IFS(AO17="NÃO ATINGIDO","D",AO17="D","C",AO17="C","B",AO17="B","A",AO17="A","OBJETIVO ALCANÇADO")</f>
        <v>D</v>
      </c>
      <c r="AQ17" s="31" cm="1">
        <f t="array" ref="AQ17">_xlfn.IFS(AP17="D",MAX(AM17-AN17,0),AP17="C",MAX(AL17-AN17,0),AP17="B",MAX(AK17-AN17,0),AP17="A",MAX(AJ17-AN17,0),AP17="OBJETIVO ALCANÇADO",0)</f>
        <v>56943.020000000004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2355.1999999999998</v>
      </c>
      <c r="E18" s="25">
        <f>Tabela13[[#This Row],[META A]]-Tabela13[[#This Row],[ATINGIDO]]</f>
        <v>977644.8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122000</v>
      </c>
      <c r="J18" s="21">
        <f>_xlfn.XLOOKUP(Tabela5[[#This Row],[REFERENCIA]],'[1]BASE PYTHON'!$H:$H,'[1]BASE PYTHON'!$I:$I,0)</f>
        <v>3698.9700000000003</v>
      </c>
      <c r="K18" s="22">
        <f>Tabela5[[#This Row],[COMPROMISSO]]-Tabela5[[#This Row],[ATINGIDO]]</f>
        <v>118301.03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20</v>
      </c>
      <c r="V18" s="18">
        <f>_xlfn.XLOOKUP(Tabela2[[#This Row],[REFERENCIA]],'[1]BASE PYTHON'!$K:$K,'[1]BASE PYTHON'!$N:$N,0)</f>
        <v>18</v>
      </c>
      <c r="W18" s="18">
        <f t="shared" si="0"/>
        <v>2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10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15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45621.310000000005</v>
      </c>
      <c r="AO18" s="32" t="str" cm="1">
        <f t="array" ref="AO18">_xlfn.IFS(AN18&gt;=AJ18,"A",AN18&gt;=AK18,"B",AN18&gt;=AL18,"C",AN18&gt;=AM18,"D",TRUE,"NÃO ATINGIDO")</f>
        <v>NÃO ATINGIDO</v>
      </c>
      <c r="AP18" s="32" t="str" cm="1">
        <f t="array" ref="AP18">_xlfn.IFS(AO18="NÃO ATINGIDO","D",AO18="D","C",AO18="C","B",AO18="B","A",AO18="A","OBJETIVO ALCANÇADO")</f>
        <v>D</v>
      </c>
      <c r="AQ18" s="31" cm="1">
        <f t="array" ref="AQ18">_xlfn.IFS(AP18="D",MAX(AM18-AN18,0),AP18="C",MAX(AL18-AN18,0),AP18="B",MAX(AK18-AN18,0),AP18="A",MAX(AJ18-AN18,0),AP18="OBJETIVO ALCANÇADO",0)</f>
        <v>73628.69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6369.4</v>
      </c>
      <c r="E19" s="23">
        <f>Tabela13[[#This Row],[META A]]-Tabela13[[#This Row],[ATINGIDO]]</f>
        <v>135630.6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203000</v>
      </c>
      <c r="J19" s="21">
        <f>_xlfn.XLOOKUP(Tabela5[[#This Row],[REFERENCIA]],'[1]BASE PYTHON'!$H:$H,'[1]BASE PYTHON'!$I:$I,0)</f>
        <v>4650.2</v>
      </c>
      <c r="K19" s="22">
        <f>Tabela5[[#This Row],[COMPROMISSO]]-Tabela5[[#This Row],[ATINGIDO]]</f>
        <v>198349.8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20</v>
      </c>
      <c r="V19" s="18">
        <f>_xlfn.XLOOKUP(Tabela2[[#This Row],[REFERENCIA]],'[1]BASE PYTHON'!$K:$K,'[1]BASE PYTHON'!$N:$N,0)</f>
        <v>11</v>
      </c>
      <c r="W19" s="18">
        <f t="shared" si="0"/>
        <v>9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4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15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11352.669999999998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29147.33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580000</v>
      </c>
      <c r="D20" s="28">
        <f>_xlfn.XLOOKUP(Tabela13[[#This Row],[REFERENCIA]],'[1]BASE PYTHON'!$E:$E,'[1]BASE PYTHON'!$F:$F,0)</f>
        <v>65761.609999999986</v>
      </c>
      <c r="E20" s="25">
        <f>Tabela13[[#This Row],[META A]]-Tabela13[[#This Row],[ATINGIDO]]</f>
        <v>514238.39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276000</v>
      </c>
      <c r="J20" s="21">
        <f>_xlfn.XLOOKUP(Tabela5[[#This Row],[REFERENCIA]],'[1]BASE PYTHON'!$H:$H,'[1]BASE PYTHON'!$I:$I,0)</f>
        <v>7479.7</v>
      </c>
      <c r="K20" s="22">
        <f>Tabela5[[#This Row],[COMPROMISSO]]-Tabela5[[#This Row],[ATINGIDO]]</f>
        <v>268520.3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20</v>
      </c>
      <c r="V20" s="18">
        <f>_xlfn.XLOOKUP(Tabela2[[#This Row],[REFERENCIA]],'[1]BASE PYTHON'!$K:$K,'[1]BASE PYTHON'!$N:$N,0)</f>
        <v>2</v>
      </c>
      <c r="W20" s="18">
        <f t="shared" si="0"/>
        <v>18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4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20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21644.100000000009</v>
      </c>
      <c r="AO20" s="32" t="str" cm="1">
        <f t="array" ref="AO20">_xlfn.IFS(AN20&gt;=AJ20,"A",AN20&gt;=AK20,"B",AN20&gt;=AL20,"C",AN20&gt;=AM20,"D",TRUE,"NÃO ATINGIDO")</f>
        <v>NÃO ATINGIDO</v>
      </c>
      <c r="AP20" s="32" t="str" cm="1">
        <f t="array" ref="AP20">_xlfn.IFS(AO20="NÃO ATINGIDO","D",AO20="D","C",AO20="C","B",AO20="B","A",AO20="A","OBJETIVO ALCANÇADO")</f>
        <v>D</v>
      </c>
      <c r="AQ20" s="31" cm="1">
        <f t="array" ref="AQ20">_xlfn.IFS(AP20="D",MAX(AM20-AN20,0),AP20="C",MAX(AL20-AN20,0),AP20="B",MAX(AK20-AN20,0),AP20="A",MAX(AJ20-AN20,0),AP20="OBJETIVO ALCANÇADO",0)</f>
        <v>44505.899999999994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480000</v>
      </c>
      <c r="D21" s="28">
        <f>_xlfn.XLOOKUP(Tabela13[[#This Row],[REFERENCIA]],'[1]BASE PYTHON'!$E:$E,'[1]BASE PYTHON'!$F:$F,0)</f>
        <v>13645.44</v>
      </c>
      <c r="E21" s="23">
        <f>Tabela13[[#This Row],[META A]]-Tabela13[[#This Row],[ATINGIDO]]</f>
        <v>466354.56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81000</v>
      </c>
      <c r="J21" s="21">
        <f>_xlfn.XLOOKUP(Tabela5[[#This Row],[REFERENCIA]],'[1]BASE PYTHON'!$H:$H,'[1]BASE PYTHON'!$I:$I,0)</f>
        <v>1442.69</v>
      </c>
      <c r="K21" s="22">
        <f>Tabela5[[#This Row],[COMPROMISSO]]-Tabela5[[#This Row],[ATINGIDO]]</f>
        <v>79557.31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710000</v>
      </c>
      <c r="P21" s="2">
        <f>IFERROR(GETPIVOTDATA("[Measures].[Soma de TOTAL 3]",'[1]BASE PYTHON'!$P$32,"[Intervalo 2].[SEMANA]","[Intervalo 2].[SEMANA].&amp;[1]"),0)</f>
        <v>74083.239999999991</v>
      </c>
      <c r="Q21" s="7">
        <f>O21-P21</f>
        <v>635916.76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20</v>
      </c>
      <c r="V21" s="18">
        <f>_xlfn.XLOOKUP(Tabela2[[#This Row],[REFERENCIA]],'[1]BASE PYTHON'!$K:$K,'[1]BASE PYTHON'!$N:$N,0)</f>
        <v>1</v>
      </c>
      <c r="W21" s="18">
        <f t="shared" ref="W21:W26" si="1">U21-V21</f>
        <v>19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112</v>
      </c>
      <c r="AE21" s="43"/>
      <c r="AF21" s="43"/>
      <c r="AG21" s="44">
        <f>SUBTOTAL(109,Planilha1!$AG$3:$AG$20)</f>
        <v>285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446017.88000000006</v>
      </c>
      <c r="AO21" s="4"/>
      <c r="AP21" s="4"/>
      <c r="AQ21" s="33">
        <f>SUBTOTAL(109,Tabela817[FALTA])</f>
        <v>861907.11999999988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9929.4</v>
      </c>
      <c r="E22" s="25">
        <f>Tabela13[[#This Row],[META A]]-Tabela13[[#This Row],[ATINGIDO]]</f>
        <v>112070.6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145000</v>
      </c>
      <c r="J22" s="21">
        <f>_xlfn.XLOOKUP(Tabela5[[#This Row],[REFERENCIA]],'[1]BASE PYTHON'!$H:$H,'[1]BASE PYTHON'!$I:$I,0)</f>
        <v>3266.9500000000007</v>
      </c>
      <c r="K22" s="22">
        <f>Tabela5[[#This Row],[COMPROMISSO]]-Tabela5[[#This Row],[ATINGIDO]]</f>
        <v>141733.04999999999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710000</v>
      </c>
      <c r="P22" s="7">
        <f>IFERROR(GETPIVOTDATA("[Measures].[Soma de TOTAL 3]",'[1]BASE PYTHON'!$P$32,"[Intervalo 2].[SEMANA]","[Intervalo 2].[SEMANA].&amp;[2]"),0)</f>
        <v>0</v>
      </c>
      <c r="Q22" s="7">
        <f>O22-P22</f>
        <v>710000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20</v>
      </c>
      <c r="V22" s="18">
        <f>_xlfn.XLOOKUP(Tabela2[[#This Row],[REFERENCIA]],'[1]BASE PYTHON'!$K:$K,'[1]BASE PYTHON'!$N:$N,0)</f>
        <v>3</v>
      </c>
      <c r="W22" s="18">
        <f t="shared" si="1"/>
        <v>17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203000</v>
      </c>
      <c r="D23" s="28">
        <f>_xlfn.XLOOKUP(Tabela13[[#This Row],[REFERENCIA]],'[1]BASE PYTHON'!$E:$E,'[1]BASE PYTHON'!$F:$F,0)</f>
        <v>32540.369999999992</v>
      </c>
      <c r="E23" s="23">
        <f>Tabela13[[#This Row],[META A]]-Tabela13[[#This Row],[ATINGIDO]]</f>
        <v>170459.63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93000</v>
      </c>
      <c r="J23" s="21">
        <f>_xlfn.XLOOKUP(Tabela5[[#This Row],[REFERENCIA]],'[1]BASE PYTHON'!$H:$H,'[1]BASE PYTHON'!$I:$I,0)</f>
        <v>5976.1899999999987</v>
      </c>
      <c r="K23" s="22">
        <f>Tabela5[[#This Row],[COMPROMISSO]]-Tabela5[[#This Row],[ATINGIDO]]</f>
        <v>87023.81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20</v>
      </c>
      <c r="V23" s="18">
        <f>_xlfn.XLOOKUP(Tabela2[[#This Row],[REFERENCIA]],'[1]BASE PYTHON'!$K:$K,'[1]BASE PYTHON'!$N:$N,0)</f>
        <v>10</v>
      </c>
      <c r="W23" s="18">
        <f t="shared" si="1"/>
        <v>10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8306.98</v>
      </c>
      <c r="E24" s="25">
        <f>Tabela13[[#This Row],[META A]]-Tabela13[[#This Row],[ATINGIDO]]</f>
        <v>136693.01999999999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76500</v>
      </c>
      <c r="J24" s="21">
        <f>_xlfn.XLOOKUP(Tabela5[[#This Row],[REFERENCIA]],'[1]BASE PYTHON'!$H:$H,'[1]BASE PYTHON'!$I:$I,0)</f>
        <v>5001.75</v>
      </c>
      <c r="K24" s="22">
        <f>Tabela5[[#This Row],[COMPROMISSO]]-Tabela5[[#This Row],[ATINGIDO]]</f>
        <v>71498.25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20</v>
      </c>
      <c r="V24" s="18">
        <f>_xlfn.XLOOKUP(Tabela2[[#This Row],[REFERENCIA]],'[1]BASE PYTHON'!$K:$K,'[1]BASE PYTHON'!$N:$N,0)</f>
        <v>6</v>
      </c>
      <c r="W24" s="18">
        <f t="shared" si="1"/>
        <v>14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21644.100000000009</v>
      </c>
      <c r="E25" s="23">
        <f>Tabela13[[#This Row],[META A]]-Tabela13[[#This Row],[ATINGIDO]]</f>
        <v>125355.9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85000</v>
      </c>
      <c r="J25" s="21">
        <f>_xlfn.XLOOKUP(Tabela5[[#This Row],[REFERENCIA]],'[1]BASE PYTHON'!$H:$H,'[1]BASE PYTHON'!$I:$I,0)</f>
        <v>3882</v>
      </c>
      <c r="K25" s="22">
        <f>Tabela5[[#This Row],[COMPROMISSO]]-Tabela5[[#This Row],[ATINGIDO]]</f>
        <v>81118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142000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142000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20</v>
      </c>
      <c r="V25" s="18">
        <f>_xlfn.XLOOKUP(Tabela2[[#This Row],[REFERENCIA]],'[1]BASE PYTHON'!$K:$K,'[1]BASE PYTHON'!$N:$N,0)</f>
        <v>4</v>
      </c>
      <c r="W25" s="18">
        <f t="shared" si="1"/>
        <v>16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80000</v>
      </c>
      <c r="D26" s="28">
        <f>_xlfn.XLOOKUP(Tabela13[[#This Row],[REFERENCIA]],'[1]BASE PYTHON'!$E:$E,'[1]BASE PYTHON'!$F:$F,0)</f>
        <v>11352.669999999998</v>
      </c>
      <c r="E26" s="25">
        <f>Tabela13[[#This Row],[META A]]-Tabela13[[#This Row],[ATINGIDO]]</f>
        <v>68647.33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55000</v>
      </c>
      <c r="J26" s="21">
        <f>_xlfn.XLOOKUP(Tabela5[[#This Row],[REFERENCIA]],'[1]BASE PYTHON'!$H:$H,'[1]BASE PYTHON'!$I:$I,0)</f>
        <v>3117.9</v>
      </c>
      <c r="K26" s="22">
        <f>Tabela5[[#This Row],[COMPROMISSO]]-Tabela5[[#This Row],[ATINGIDO]]</f>
        <v>51882.1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20</v>
      </c>
      <c r="V26" s="18">
        <f>_xlfn.XLOOKUP(Tabela2[[#This Row],[REFERENCIA]],'[1]BASE PYTHON'!$K:$K,'[1]BASE PYTHON'!$N:$N,0)</f>
        <v>11</v>
      </c>
      <c r="W26" s="18">
        <f t="shared" si="1"/>
        <v>9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245000</v>
      </c>
      <c r="D27" s="28">
        <f>_xlfn.XLOOKUP(Tabela13[[#This Row],[REFERENCIA]],'[1]BASE PYTHON'!$E:$E,'[1]BASE PYTHON'!$F:$F,0)</f>
        <v>38936.190000000017</v>
      </c>
      <c r="E27" s="23">
        <f>Tabela13[[#This Row],[META A]]-Tabela13[[#This Row],[ATINGIDO]]</f>
        <v>206063.81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67500</v>
      </c>
      <c r="J27" s="21">
        <f>_xlfn.XLOOKUP(Tabela5[[#This Row],[REFERENCIA]],'[1]BASE PYTHON'!$H:$H,'[1]BASE PYTHON'!$I:$I,0)</f>
        <v>911.84999999999991</v>
      </c>
      <c r="K27" s="22">
        <f>Tabela5[[#This Row],[COMPROMISSO]]-Tabela5[[#This Row],[ATINGIDO]]</f>
        <v>66588.149999999994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326500</v>
      </c>
      <c r="D28" s="28">
        <f>_xlfn.XLOOKUP(Tabela13[[#This Row],[REFERENCIA]],'[1]BASE PYTHON'!$E:$E,'[1]BASE PYTHON'!$F:$F,0)</f>
        <v>63745.28000000005</v>
      </c>
      <c r="E28" s="25">
        <f>Tabela13[[#This Row],[META A]]-Tabela13[[#This Row],[ATINGIDO]]</f>
        <v>262754.71999999997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142000</v>
      </c>
      <c r="D30" s="28">
        <f>_xlfn.XLOOKUP(Tabela13[[#This Row],[REFERENCIA]],'[1]BASE PYTHON'!$E:$E,'[1]BASE PYTHON'!$F:$F,0)</f>
        <v>10791.829999999996</v>
      </c>
      <c r="E30" s="25">
        <f>Tabela13[[#This Row],[META A]]-Tabela13[[#This Row],[ATINGIDO]]</f>
        <v>131208.17000000001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80.952380952380949</v>
      </c>
      <c r="V30" s="5">
        <f>IFERROR(GETPIVOTDATA("[Measures].[Contagem Distinta de COD_CLIENTE 2]",'[1]BASE PYTHON'!$P$83,"[Intervalo 3].[SEMANAL BRIOCHE]","[Intervalo 3].[SEMANAL BRIOCHE].&amp;[1]"),0)</f>
        <v>0</v>
      </c>
      <c r="W30" s="6">
        <f>U30-V30</f>
        <v>80.952380952380949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170000</v>
      </c>
      <c r="D31" s="28">
        <f>_xlfn.XLOOKUP(Tabela13[[#This Row],[REFERENCIA]],'[1]BASE PYTHON'!$E:$E,'[1]BASE PYTHON'!$F:$F,0)</f>
        <v>28239.069999999992</v>
      </c>
      <c r="E31" s="23">
        <f>Tabela13[[#This Row],[META A]]-Tabela13[[#This Row],[ATINGIDO]]</f>
        <v>141760.93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695119.04761904757</v>
      </c>
      <c r="J31" s="2">
        <f>IFERROR(GETPIVOTDATA("[Measures].[Soma de TOTAL 3]",'[1]BASE PYTHON'!$P$4,"[Intervalo 2].[SEMANA]","[Intervalo 2].[SEMANA].&amp;[1]"),0)</f>
        <v>424018.8300000013</v>
      </c>
      <c r="K31" s="7">
        <f>I31-J31</f>
        <v>271100.21761904628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80.952380952380949</v>
      </c>
      <c r="V31" s="5">
        <f>IFERROR(GETPIVOTDATA("[Measures].[Contagem Distinta de COD_CLIENTE 2]",'[1]BASE PYTHON'!$P$83,"[Intervalo 3].[SEMANAL BRIOCHE]","[Intervalo 3].[SEMANAL BRIOCHE].&amp;[2]"),0)</f>
        <v>0</v>
      </c>
      <c r="W31" s="6">
        <f t="shared" ref="W31:W33" si="2">U31-V31</f>
        <v>80.952380952380949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45621.310000000005</v>
      </c>
      <c r="E32" s="25">
        <f>Tabela13[[#This Row],[META A]]-Tabela13[[#This Row],[ATINGIDO]]</f>
        <v>219378.69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695119.04761904757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695119.04761904757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 BRIOCHE]","[Intervalo 3].[SEMANAL BRIOCHE].&amp;[3]"),0)</f>
        <v>0</v>
      </c>
      <c r="W32" s="6">
        <f t="shared" si="2"/>
        <v>80.952380952380949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85000</v>
      </c>
      <c r="D33" s="28">
        <f>_xlfn.XLOOKUP(Tabela13[[#This Row],[REFERENCIA]],'[1]BASE PYTHON'!$E:$E,'[1]BASE PYTHON'!$F:$F,0)</f>
        <v>12033.179999999998</v>
      </c>
      <c r="E33" s="23">
        <f>Tabela13[[#This Row],[META A]]-Tabela13[[#This Row],[ATINGIDO]]</f>
        <v>72966.820000000007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 BRIOCHE]","[Intervalo 3].[SEMANAL BRIOCHE].&amp;[4]"),0)</f>
        <v>0</v>
      </c>
      <c r="W33" s="6">
        <f t="shared" si="2"/>
        <v>80.952380952380949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10538.899999999992</v>
      </c>
      <c r="E34" s="25">
        <f>Tabela13[[#This Row],[META A]]-Tabela13[[#This Row],[ATINGIDO]]</f>
        <v>44461.100000000006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16.19047619047619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16.19047619047619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76500</v>
      </c>
      <c r="D35" s="28">
        <f>_xlfn.XLOOKUP(Tabela13[[#This Row],[REFERENCIA]],'[1]BASE PYTHON'!$E:$E,'[1]BASE PYTHON'!$F:$F,0)</f>
        <v>10551.74</v>
      </c>
      <c r="E35" s="23">
        <f>Tabela13[[#This Row],[META A]]-Tabela13[[#This Row],[ATINGIDO]]</f>
        <v>65948.259999999995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139023.80952380953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139023.80952380953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0</v>
      </c>
      <c r="E36" s="2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1405357.142857143</v>
      </c>
      <c r="D40" s="2">
        <f>IFERROR(GETPIVOTDATA("[Measures].[Soma de TOTAL 3]",'[1]BASE PYTHON'!$P$47,"[Intervalo 2].[SEMANA]","[Intervalo 2].[SEMANA].&amp;[1]"),0)</f>
        <v>594587.33000000345</v>
      </c>
      <c r="E40" s="7">
        <f>C40-D40</f>
        <v>810769.81285713951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1405357.142857143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1405357.142857143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281071.42857142858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281071.42857142858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2026-09-04T17:10:12Z</dcterms:modified>
</cp:coreProperties>
</file>