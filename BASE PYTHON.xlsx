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EF001AB4-0B53-4222-84F6-126E5756B875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2" l="1" a="1"/>
  <c r="C40" i="2" s="1"/>
  <c r="C41" i="2" a="1"/>
  <c r="C41" i="2" s="1"/>
  <c r="C42" i="2" a="1"/>
  <c r="C42" i="2" s="1"/>
  <c r="C43" i="2" a="1"/>
  <c r="C43" i="2" s="1"/>
  <c r="C44" i="2" a="1"/>
  <c r="C44" i="2" s="1"/>
  <c r="C36" i="2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0" i="2"/>
  <c r="V34" i="2"/>
  <c r="V32" i="2"/>
  <c r="V31" i="2"/>
  <c r="V33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D44" i="2"/>
  <c r="D40" i="2"/>
  <c r="J31" i="2"/>
  <c r="P24" i="2"/>
  <c r="J32" i="2"/>
  <c r="D43" i="2"/>
  <c r="J35" i="2"/>
  <c r="D42" i="2"/>
  <c r="P21" i="2"/>
  <c r="P25" i="2"/>
  <c r="J34" i="2"/>
  <c r="P23" i="2"/>
  <c r="J33" i="2"/>
  <c r="P22" i="2"/>
  <c r="D41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E41" i="2"/>
  <c r="E44" i="2"/>
  <c r="I35" i="2" a="1"/>
  <c r="I35" i="2" s="1"/>
  <c r="K35" i="2" s="1"/>
  <c r="I33" i="2" a="1"/>
  <c r="I33" i="2" s="1"/>
  <c r="K33" i="2" s="1"/>
  <c r="E42" i="2"/>
  <c r="I31" i="2" a="1"/>
  <c r="I31" i="2" s="1"/>
  <c r="K31" i="2" s="1"/>
  <c r="E40" i="2"/>
  <c r="I34" i="2" a="1"/>
  <c r="I34" i="2" s="1"/>
  <c r="K34" i="2" s="1"/>
  <c r="E43" i="2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7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<sst xmlns="http://schemas.openxmlformats.org/spreadsheetml/2006/main" count="215" uniqueCount="54">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</sst>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27/07/2026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44269.809999999983</v>
          </cell>
          <cell r="H5" t="str">
            <v>CAMPINAS</v>
          </cell>
          <cell r="I5">
            <v>1736.0000000000002</v>
          </cell>
        </row>
        <row r="6">
          <cell r="E6" t="str">
            <v>CENTRO</v>
          </cell>
          <cell r="F6">
            <v>285315.38999999937</v>
          </cell>
          <cell r="H6" t="str">
            <v>CENTRO</v>
          </cell>
          <cell r="I6">
            <v>6829.4100000000017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INDAIATUBA</v>
          </cell>
          <cell r="I7">
            <v>1809.2900000000002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166.49</v>
          </cell>
          <cell r="H8" t="str">
            <v>INTERLAGOS</v>
          </cell>
          <cell r="I8">
            <v>698.4</v>
          </cell>
          <cell r="K8" t="str">
            <v>CAMPINAS</v>
          </cell>
          <cell r="N8">
            <v>27</v>
          </cell>
        </row>
        <row r="9">
          <cell r="E9" t="str">
            <v>INDAIATUBA</v>
          </cell>
          <cell r="F9">
            <v>55148.509999999995</v>
          </cell>
          <cell r="H9" t="str">
            <v>JUNDIAI</v>
          </cell>
          <cell r="I9">
            <v>484.6</v>
          </cell>
          <cell r="K9" t="str">
            <v>CENTRO</v>
          </cell>
          <cell r="N9">
            <v>47</v>
          </cell>
        </row>
        <row r="10">
          <cell r="E10" t="str">
            <v>INTERLAGOS</v>
          </cell>
          <cell r="F10">
            <v>194913.1899999998</v>
          </cell>
          <cell r="H10" t="str">
            <v>KEY CASA</v>
          </cell>
          <cell r="I10">
            <v>4507.2</v>
          </cell>
          <cell r="K10" t="str">
            <v>INDAIATUBA</v>
          </cell>
          <cell r="N10">
            <v>36</v>
          </cell>
        </row>
        <row r="11">
          <cell r="E11" t="str">
            <v>JUNDIAI</v>
          </cell>
          <cell r="F11">
            <v>56541.200000000099</v>
          </cell>
          <cell r="H11" t="str">
            <v>LESTE PENHA</v>
          </cell>
          <cell r="I11">
            <v>4605.6499999999996</v>
          </cell>
          <cell r="K11" t="str">
            <v>INTERLAGOS</v>
          </cell>
          <cell r="N11">
            <v>54</v>
          </cell>
        </row>
        <row r="12">
          <cell r="E12" t="str">
            <v>KEY ABC</v>
          </cell>
          <cell r="F12">
            <v>260656.61999999994</v>
          </cell>
          <cell r="H12" t="str">
            <v>MOGI</v>
          </cell>
          <cell r="I12">
            <v>1173.79</v>
          </cell>
          <cell r="K12" t="str">
            <v>JUNDIAI</v>
          </cell>
          <cell r="N12">
            <v>23</v>
          </cell>
        </row>
        <row r="13">
          <cell r="E13" t="str">
            <v>KEY CASA</v>
          </cell>
          <cell r="F13">
            <v>271100.4800000001</v>
          </cell>
          <cell r="H13" t="str">
            <v>SJC</v>
          </cell>
          <cell r="I13">
            <v>1114.5999999999999</v>
          </cell>
          <cell r="K13" t="str">
            <v>LESTE</v>
          </cell>
          <cell r="N13">
            <v>31</v>
          </cell>
        </row>
        <row r="14">
          <cell r="E14" t="str">
            <v>KEY INTERIOR</v>
          </cell>
          <cell r="F14">
            <v>851393.40000000026</v>
          </cell>
          <cell r="H14" t="str">
            <v>VENDEDOR INTERNO 1</v>
          </cell>
          <cell r="I14">
            <v>4317.2999999999993</v>
          </cell>
          <cell r="K14" t="str">
            <v>LESTE MOOCA</v>
          </cell>
          <cell r="N14">
            <v>51</v>
          </cell>
        </row>
        <row r="15">
          <cell r="E15" t="str">
            <v>KEY PIRACICABA</v>
          </cell>
          <cell r="F15">
            <v>105736.07999999997</v>
          </cell>
          <cell r="H15" t="str">
            <v>Total Geral</v>
          </cell>
          <cell r="I15">
            <v>27276.239999999998</v>
          </cell>
          <cell r="K15" t="str">
            <v>LESTE PENHA</v>
          </cell>
          <cell r="N15">
            <v>29</v>
          </cell>
        </row>
        <row r="16">
          <cell r="E16" t="str">
            <v>KEY SJC</v>
          </cell>
          <cell r="F16">
            <v>127140.10000000006</v>
          </cell>
          <cell r="K16" t="str">
            <v>LESTE TATUAPE</v>
          </cell>
          <cell r="N16">
            <v>42</v>
          </cell>
        </row>
        <row r="17">
          <cell r="E17" t="str">
            <v>KEY SP</v>
          </cell>
          <cell r="F17">
            <v>279492.74</v>
          </cell>
          <cell r="K17" t="str">
            <v>MOGI</v>
          </cell>
          <cell r="N17">
            <v>38</v>
          </cell>
        </row>
        <row r="18">
          <cell r="E18" t="str">
            <v>KEY ZL</v>
          </cell>
          <cell r="F18">
            <v>317008.29999999987</v>
          </cell>
          <cell r="K18" t="str">
            <v>NORTE</v>
          </cell>
          <cell r="N18">
            <v>45</v>
          </cell>
        </row>
        <row r="19">
          <cell r="E19" t="str">
            <v>LESTE</v>
          </cell>
          <cell r="F19">
            <v>77785.479999999952</v>
          </cell>
          <cell r="K19" t="str">
            <v>OSASCO</v>
          </cell>
          <cell r="N19">
            <v>61</v>
          </cell>
        </row>
        <row r="20">
          <cell r="E20" t="str">
            <v>LESTE MOOCA</v>
          </cell>
          <cell r="F20">
            <v>145450.10499999957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103489.22999999998</v>
          </cell>
          <cell r="K21" t="str">
            <v>SANTO ANDRE</v>
          </cell>
          <cell r="N21">
            <v>28</v>
          </cell>
        </row>
        <row r="22">
          <cell r="E22" t="str">
            <v>LESTE TATUAPE</v>
          </cell>
          <cell r="F22">
            <v>91018.129999999757</v>
          </cell>
          <cell r="K22" t="str">
            <v>SBC</v>
          </cell>
          <cell r="N22">
            <v>37</v>
          </cell>
        </row>
        <row r="23">
          <cell r="E23" t="str">
            <v>MOGI</v>
          </cell>
          <cell r="F23">
            <v>54684.800000000127</v>
          </cell>
          <cell r="K23" t="str">
            <v>SJC</v>
          </cell>
          <cell r="N23">
            <v>22</v>
          </cell>
        </row>
        <row r="24">
          <cell r="E24" t="str">
            <v>NORTE</v>
          </cell>
          <cell r="F24">
            <v>182910.05999999956</v>
          </cell>
          <cell r="K24" t="str">
            <v>SJC/VALE</v>
          </cell>
          <cell r="N24">
            <v>26</v>
          </cell>
        </row>
        <row r="25">
          <cell r="E25" t="str">
            <v>OSASCO</v>
          </cell>
          <cell r="F25">
            <v>249957.90999999936</v>
          </cell>
          <cell r="K25" t="str">
            <v>Total Geral</v>
          </cell>
          <cell r="N25">
            <v>624</v>
          </cell>
        </row>
        <row r="26">
          <cell r="E26" t="str">
            <v>PIRITUBA</v>
          </cell>
          <cell r="F26">
            <v>101953.7499999999</v>
          </cell>
        </row>
        <row r="27">
          <cell r="E27" t="str">
            <v>SANTO ANDRE</v>
          </cell>
          <cell r="F27">
            <v>124187.51999999995</v>
          </cell>
        </row>
        <row r="28">
          <cell r="E28" t="str">
            <v>SBC</v>
          </cell>
          <cell r="F28">
            <v>187761.95999999973</v>
          </cell>
        </row>
        <row r="29">
          <cell r="E29" t="str">
            <v>SJC</v>
          </cell>
          <cell r="F29">
            <v>63292.430000000095</v>
          </cell>
        </row>
        <row r="30">
          <cell r="E30" t="str">
            <v>SJC/VALE</v>
          </cell>
          <cell r="F30">
            <v>33554.440000000017</v>
          </cell>
        </row>
        <row r="31">
          <cell r="E31" t="str">
            <v>VENDEDOR INTERNO 1</v>
          </cell>
          <cell r="F31">
            <v>61645.780000000006</v>
          </cell>
        </row>
        <row r="32">
          <cell r="E32" t="str">
            <v>Total Geral</v>
          </cell>
          <cell r="F32">
            <v>4327656.7349999398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300000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4327656.7349999985</v>
      </c>
      <c r="D5" s="2"/>
      <c r="E5" s="4"/>
      <c r="F5" s="4"/>
      <c r="G5" s="4"/>
      <c r="H5" s="4" t="s">
        <v>1</v>
      </c>
      <c r="I5" s="7">
        <f>SUM(J10:J27)</f>
        <v>22769.040000000001</v>
      </c>
      <c r="J5" s="4"/>
      <c r="K5" s="4"/>
      <c r="L5" s="4"/>
      <c r="M5" s="4"/>
      <c r="N5" s="4" t="s">
        <v>1</v>
      </c>
      <c r="O5" s="7">
        <f>SUM(P11:P17)</f>
        <v>4507.2</v>
      </c>
      <c r="P5" s="4"/>
      <c r="Q5" s="4"/>
      <c r="R5" s="4"/>
      <c r="S5" s="4"/>
      <c r="T5" s="4" t="s">
        <v>1</v>
      </c>
      <c r="U5" s="4">
        <f>SUM(V10:V26)</f>
        <v>624</v>
      </c>
      <c r="V5" s="4"/>
      <c r="W5" s="4"/>
    </row>
    <row r="6" spans="1:23" x14ac:dyDescent="0.25">
      <c r="A6" s="4"/>
      <c r="B6" s="4" t="s">
        <v>2</v>
      </c>
      <c r="C6" s="2">
        <f>C4-C5</f>
        <v>1264843.2650000015</v>
      </c>
      <c r="D6" s="2"/>
      <c r="E6" s="4"/>
      <c r="F6" s="4"/>
      <c r="G6" s="4"/>
      <c r="H6" s="4" t="s">
        <v>2</v>
      </c>
      <c r="I6" s="7">
        <f>I4-I5</f>
        <v>277230.96000000002</v>
      </c>
      <c r="J6" s="4"/>
      <c r="K6" s="4"/>
      <c r="L6" s="4"/>
      <c r="M6" s="4"/>
      <c r="N6" s="4" t="s">
        <v>2</v>
      </c>
      <c r="O6" s="7">
        <f>O4-O5</f>
        <v>-4507.2</v>
      </c>
      <c r="P6" s="4"/>
      <c r="Q6" s="4"/>
      <c r="R6" s="4"/>
      <c r="S6" s="4"/>
      <c r="T6" s="4" t="s">
        <v>2</v>
      </c>
      <c r="U6" s="4">
        <f>U4-U5</f>
        <v>134</v>
      </c>
      <c r="V6" s="4"/>
      <c r="W6" s="4"/>
    </row>
    <row r="7" spans="1:23" x14ac:dyDescent="0.25">
      <c r="A7" s="4"/>
      <c r="B7" s="4" t="s">
        <v>3</v>
      </c>
      <c r="C7" s="3">
        <f>1-(C6/C4)</f>
        <v>0.77383222798390672</v>
      </c>
      <c r="D7" s="2"/>
      <c r="E7" s="4"/>
      <c r="F7" s="4"/>
      <c r="G7" s="4"/>
      <c r="H7" s="4" t="s">
        <v>3</v>
      </c>
      <c r="I7" s="3">
        <f>1-(I6/I4)</f>
        <v>7.5896799999999875E-2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0.82321899736147763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44269.809999999983</v>
      </c>
      <c r="E10" s="27">
        <f>Tabela13[[#This Row],[META A]]-Tabela13[[#This Row],[ATINGIDO]]</f>
        <v>20230.190000000017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28600</v>
      </c>
      <c r="J10" s="22">
        <f>_xlfn.XLOOKUP(Tabela5[[#This Row],[VENDEDOR]],'[1]BASE PYTHON'!$H:$H,'[1]BASE PYTHON'!$I:$I,0)</f>
        <v>0</v>
      </c>
      <c r="K10" s="23">
        <f>Tabela5[[#This Row],[COMPROMISSO]]-Tabela5[[#This Row],[ATINGIDO]]</f>
        <v>28600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27</v>
      </c>
      <c r="W10" s="19">
        <f>U10-V10</f>
        <v>9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285315.38999999937</v>
      </c>
      <c r="E11" s="24">
        <f>Tabela13[[#This Row],[META A]]-Tabela13[[#This Row],[ATINGIDO]]</f>
        <v>39684.610000000626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25380</v>
      </c>
      <c r="J11" s="22">
        <f>_xlfn.XLOOKUP(Tabela5[[#This Row],[VENDEDOR]],'[1]BASE PYTHON'!$H:$H,'[1]BASE PYTHON'!$I:$I,0)</f>
        <v>0</v>
      </c>
      <c r="K11" s="23">
        <f>Tabela5[[#This Row],[COMPROMISSO]]-Tabela5[[#This Row],[ATINGIDO]]</f>
        <v>25380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47</v>
      </c>
      <c r="W11" s="19">
        <f t="shared" ref="W11:W20" si="0">U11-V11</f>
        <v>5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166.49</v>
      </c>
      <c r="E12" s="27">
        <f>Tabela13[[#This Row],[META A]]-Tabela13[[#This Row],[ATINGIDO]]</f>
        <v>833.51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13570</v>
      </c>
      <c r="J12" s="22">
        <f>_xlfn.XLOOKUP(Tabela5[[#This Row],[VENDEDOR]],'[1]BASE PYTHON'!$H:$H,'[1]BASE PYTHON'!$I:$I,0)</f>
        <v>0</v>
      </c>
      <c r="K12" s="23">
        <f>Tabela5[[#This Row],[COMPROMISSO]]-Tabela5[[#This Row],[ATINGIDO]]</f>
        <v>13570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36</v>
      </c>
      <c r="W12" s="19">
        <f t="shared" si="0"/>
        <v>5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55148.509999999995</v>
      </c>
      <c r="E13" s="24">
        <f>Tabela13[[#This Row],[META A]]-Tabela13[[#This Row],[ATINGIDO]]</f>
        <v>34851.490000000005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25160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25160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0</v>
      </c>
      <c r="Q13" s="2">
        <f t="shared" ref="Q13:Q17" si="1">O13-P13</f>
        <v>0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54</v>
      </c>
      <c r="W13" s="19">
        <f t="shared" si="0"/>
        <v>5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194913.1899999998</v>
      </c>
      <c r="E14" s="27">
        <f>Tabela13[[#This Row],[META A]]-Tabela13[[#This Row],[ATINGIDO]]</f>
        <v>78086.810000000201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21160</v>
      </c>
      <c r="J14" s="22">
        <f>_xlfn.XLOOKUP(Tabela5[[#This Row],[VENDEDOR]],'[1]BASE PYTHON'!$H:$H,'[1]BASE PYTHON'!$I:$I,0)</f>
        <v>0</v>
      </c>
      <c r="K14" s="23">
        <f>Tabela5[[#This Row],[COMPROMISSO]]-Tabela5[[#This Row],[ATINGIDO]]</f>
        <v>21160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23</v>
      </c>
      <c r="W14" s="19">
        <f t="shared" si="0"/>
        <v>4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56541.200000000099</v>
      </c>
      <c r="E15" s="24">
        <f>Tabela13[[#This Row],[META A]]-Tabela13[[#This Row],[ATINGIDO]]</f>
        <v>21458.799999999901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26910</v>
      </c>
      <c r="J15" s="22">
        <f>_xlfn.XLOOKUP(Tabela5[[#This Row],[VENDEDOR]],'[1]BASE PYTHON'!$H:$H,'[1]BASE PYTHON'!$I:$I,0)</f>
        <v>6829.4100000000017</v>
      </c>
      <c r="K15" s="23">
        <f>Tabela5[[#This Row],[COMPROMISSO]]-Tabela5[[#This Row],[ATINGIDO]]</f>
        <v>20080.589999999997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0</v>
      </c>
      <c r="Q15" s="2">
        <f t="shared" si="1"/>
        <v>0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31</v>
      </c>
      <c r="W15" s="19">
        <f>U15-V15</f>
        <v>17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260656.61999999994</v>
      </c>
      <c r="E16" s="27">
        <f>Tabela13[[#This Row],[META A]]-Tabela13[[#This Row],[ATINGIDO]]</f>
        <v>64343.380000000063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16510</v>
      </c>
      <c r="J16" s="22">
        <f>_xlfn.XLOOKUP(Tabela5[[#This Row],[VENDEDOR]],'[1]BASE PYTHON'!$H:$H,'[1]BASE PYTHON'!$I:$I,0)</f>
        <v>0</v>
      </c>
      <c r="K16" s="23">
        <f>Tabela5[[#This Row],[COMPROMISSO]]-Tabela5[[#This Row],[ATINGIDO]]</f>
        <v>16510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38</v>
      </c>
      <c r="W16" s="19">
        <f t="shared" si="0"/>
        <v>1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271100.4800000001</v>
      </c>
      <c r="E17" s="24">
        <f>Tabela13[[#This Row],[META A]]-Tabela13[[#This Row],[ATINGIDO]]</f>
        <v>-101100.4800000001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7700</v>
      </c>
      <c r="J17" s="22">
        <f>_xlfn.XLOOKUP(Tabela5[[#This Row],[VENDEDOR]],'[1]BASE PYTHON'!$H:$H,'[1]BASE PYTHON'!$I:$I,0)</f>
        <v>1173.79</v>
      </c>
      <c r="K17" s="23">
        <f>Tabela5[[#This Row],[COMPROMISSO]]-Tabela5[[#This Row],[ATINGIDO]]</f>
        <v>6526.21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4507.2</v>
      </c>
      <c r="Q17" s="2">
        <f t="shared" si="1"/>
        <v>-4507.2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51</v>
      </c>
      <c r="W17" s="19">
        <f t="shared" si="0"/>
        <v>-2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851393.40000000026</v>
      </c>
      <c r="E18" s="27">
        <f>Tabela13[[#This Row],[META A]]-Tabela13[[#This Row],[ATINGIDO]]</f>
        <v>98606.599999999744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15000</v>
      </c>
      <c r="J18" s="22">
        <f>_xlfn.XLOOKUP(Tabela5[[#This Row],[VENDEDOR]],'[1]BASE PYTHON'!$H:$H,'[1]BASE PYTHON'!$I:$I,0)</f>
        <v>0</v>
      </c>
      <c r="K18" s="23">
        <f>Tabela5[[#This Row],[COMPROMISSO]]-Tabela5[[#This Row],[ATINGIDO]]</f>
        <v>15000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45</v>
      </c>
      <c r="W18" s="19">
        <f t="shared" si="0"/>
        <v>0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127140.10000000006</v>
      </c>
      <c r="E19" s="24">
        <f>Tabela13[[#This Row],[META A]]-Tabela13[[#This Row],[ATINGIDO]]</f>
        <v>2859.899999999936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17000</v>
      </c>
      <c r="J19" s="22">
        <f>_xlfn.XLOOKUP(Tabela5[[#This Row],[VENDEDOR]],'[1]BASE PYTHON'!$H:$H,'[1]BASE PYTHON'!$I:$I,0)</f>
        <v>0</v>
      </c>
      <c r="K19" s="23">
        <f>Tabela5[[#This Row],[COMPROMISSO]]-Tabela5[[#This Row],[ATINGIDO]]</f>
        <v>17000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61</v>
      </c>
      <c r="W19" s="19">
        <f t="shared" si="0"/>
        <v>0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279492.74</v>
      </c>
      <c r="E20" s="27">
        <f>Tabela13[[#This Row],[META A]]-Tabela13[[#This Row],[ATINGIDO]]</f>
        <v>280507.26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21560</v>
      </c>
      <c r="J20" s="22">
        <f>_xlfn.XLOOKUP(Tabela5[[#This Row],[VENDEDOR]],'[1]BASE PYTHON'!$H:$H,'[1]BASE PYTHON'!$I:$I,0)</f>
        <v>698.4</v>
      </c>
      <c r="K20" s="23">
        <f>Tabela5[[#This Row],[COMPROMISSO]]-Tabela5[[#This Row],[ATINGIDO]]</f>
        <v>20861.599999999999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29</v>
      </c>
      <c r="W20" s="19">
        <f t="shared" si="0"/>
        <v>10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317008.29999999987</v>
      </c>
      <c r="E21" s="24">
        <f>Tabela13[[#This Row],[META A]]-Tabela13[[#This Row],[ATINGIDO]]</f>
        <v>97991.700000000128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9040</v>
      </c>
      <c r="J21" s="22">
        <f>_xlfn.XLOOKUP(Tabela5[[#This Row],[VENDEDOR]],'[1]BASE PYTHON'!$H:$H,'[1]BASE PYTHON'!$I:$I,0)</f>
        <v>484.6</v>
      </c>
      <c r="K21" s="23">
        <f>Tabela5[[#This Row],[COMPROMISSO]]-Tabela5[[#This Row],[ATINGIDO]]</f>
        <v>8555.4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275241.61999999976</v>
      </c>
      <c r="Q21" s="7">
        <f>O21-P21</f>
        <v>96349.289090909355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77785.479999999952</v>
      </c>
      <c r="E22" s="27">
        <f>Tabela13[[#This Row],[META A]]-Tabela13[[#This Row],[ATINGIDO]]</f>
        <v>44214.520000000048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16330</v>
      </c>
      <c r="J22" s="22">
        <f>_xlfn.XLOOKUP(Tabela5[[#This Row],[VENDEDOR]],'[1]BASE PYTHON'!$H:$H,'[1]BASE PYTHON'!$I:$I,0)</f>
        <v>4605.6499999999996</v>
      </c>
      <c r="K22" s="23">
        <f>Tabela5[[#This Row],[COMPROMISSO]]-Tabela5[[#This Row],[ATINGIDO]]</f>
        <v>11724.35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28</v>
      </c>
      <c r="W22" s="19">
        <f t="shared" si="2"/>
        <v>12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145450.10499999957</v>
      </c>
      <c r="E23" s="24">
        <f>Tabela13[[#This Row],[META A]]-Tabela13[[#This Row],[ATINGIDO]]</f>
        <v>49549.895000000426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14210</v>
      </c>
      <c r="J23" s="22">
        <f>_xlfn.XLOOKUP(Tabela5[[#This Row],[VENDEDOR]],'[1]BASE PYTHON'!$H:$H,'[1]BASE PYTHON'!$I:$I,0)</f>
        <v>1809.2900000000002</v>
      </c>
      <c r="K23" s="23">
        <f>Tabela5[[#This Row],[COMPROMISSO]]-Tabela5[[#This Row],[ATINGIDO]]</f>
        <v>12400.71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684697.14999999932</v>
      </c>
      <c r="Q23" s="7">
        <f>O23-P23</f>
        <v>-65378.968181817443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37</v>
      </c>
      <c r="W23" s="19">
        <f t="shared" si="2"/>
        <v>18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103489.22999999998</v>
      </c>
      <c r="E24" s="27">
        <f>Tabela13[[#This Row],[META A]]-Tabela13[[#This Row],[ATINGIDO]]</f>
        <v>36510.770000000019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13000</v>
      </c>
      <c r="J24" s="22">
        <f>_xlfn.XLOOKUP(Tabela5[[#This Row],[VENDEDOR]],'[1]BASE PYTHON'!$H:$H,'[1]BASE PYTHON'!$I:$I,0)</f>
        <v>4317.2999999999993</v>
      </c>
      <c r="K24" s="23">
        <f>Tabela5[[#This Row],[COMPROMISSO]]-Tabela5[[#This Row],[ATINGIDO]]</f>
        <v>8682.7000000000007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684913.79999999981</v>
      </c>
      <c r="Q24" s="7">
        <f>O24-P24</f>
        <v>-65595.618181817932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22</v>
      </c>
      <c r="W24" s="19">
        <f t="shared" si="2"/>
        <v>15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91018.129999999757</v>
      </c>
      <c r="E25" s="24">
        <f>Tabela13[[#This Row],[META A]]-Tabela13[[#This Row],[ATINGIDO]]</f>
        <v>51481.870000000243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13630</v>
      </c>
      <c r="J25" s="22">
        <f>_xlfn.XLOOKUP(Tabela5[[#This Row],[VENDEDOR]],'[1]BASE PYTHON'!$H:$H,'[1]BASE PYTHON'!$I:$I,0)</f>
        <v>1114.5999999999999</v>
      </c>
      <c r="K25" s="23">
        <f>Tabela5[[#This Row],[COMPROMISSO]]-Tabela5[[#This Row],[ATINGIDO]]</f>
        <v>12515.4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4507.2</v>
      </c>
      <c r="Q25" s="7">
        <f>O25-P25</f>
        <v>614810.98181818193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42</v>
      </c>
      <c r="W25" s="19">
        <f t="shared" si="2"/>
        <v>9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54684.800000000127</v>
      </c>
      <c r="E26" s="27">
        <f>Tabela13[[#This Row],[META A]]-Tabela13[[#This Row],[ATINGIDO]]</f>
        <v>35315.199999999873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7010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7010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26</v>
      </c>
      <c r="W26" s="19">
        <f t="shared" si="2"/>
        <v>9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182910.05999999956</v>
      </c>
      <c r="E27" s="24">
        <f>Tabela13[[#This Row],[META A]]-Tabela13[[#This Row],[ATINGIDO]]</f>
        <v>54589.940000000439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8230</v>
      </c>
      <c r="J27" s="22">
        <f>_xlfn.XLOOKUP(Tabela5[[#This Row],[VENDEDOR]],'[1]BASE PYTHON'!$H:$H,'[1]BASE PYTHON'!$I:$I,0)</f>
        <v>1736.0000000000002</v>
      </c>
      <c r="K27" s="23">
        <f>Tabela5[[#This Row],[COMPROMISSO]]-Tabela5[[#This Row],[ATINGIDO]]</f>
        <v>6494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249957.90999999936</v>
      </c>
      <c r="E28" s="27">
        <f>Tabela13[[#This Row],[META A]]-Tabela13[[#This Row],[ATINGIDO]]</f>
        <v>68542.090000000637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105736.07999999997</v>
      </c>
      <c r="E29" s="24">
        <f>Tabela13[[#This Row],[META A]]-Tabela13[[#This Row],[ATINGIDO]]</f>
        <v>69263.920000000027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101953.7499999999</v>
      </c>
      <c r="E30" s="27">
        <f>Tabela13[[#This Row],[META A]]-Tabela13[[#This Row],[ATINGIDO]]</f>
        <v>32546.250000000102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124187.51999999995</v>
      </c>
      <c r="E31" s="24">
        <f>Tabela13[[#This Row],[META A]]-Tabela13[[#This Row],[ATINGIDO]]</f>
        <v>42812.480000000054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187761.95999999973</v>
      </c>
      <c r="E32" s="27">
        <f>Tabela13[[#This Row],[META A]]-Tabela13[[#This Row],[ATINGIDO]]</f>
        <v>72238.04000000027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4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63292.430000000095</v>
      </c>
      <c r="E33" s="24">
        <f>Tabela13[[#This Row],[META A]]-Tabela13[[#This Row],[ATINGIDO]]</f>
        <v>36707.569999999905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699011.54000000225</v>
      </c>
      <c r="K33" s="7">
        <f t="shared" si="4"/>
        <v>-47761.540000002249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270</v>
      </c>
      <c r="W33" s="6">
        <f t="shared" si="3"/>
        <v>-97.727272727272748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33554.440000000017</v>
      </c>
      <c r="E34" s="27">
        <f>Tabela13[[#This Row],[META A]]-Tabela13[[#This Row],[ATINGIDO]]</f>
        <v>21445.559999999983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581802.48500000464</v>
      </c>
      <c r="K34" s="7">
        <f t="shared" si="4"/>
        <v>69447.514999995357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10</v>
      </c>
      <c r="W34" s="6">
        <f>U34-V34</f>
        <v>162.27272727272725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61645.780000000006</v>
      </c>
      <c r="E35" s="24">
        <f>Tabela13[[#This Row],[META A]]-Tabela13[[#This Row],[ATINGIDO]]</f>
        <v>11354.219999999994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22769.039999999997</v>
      </c>
      <c r="K35" s="7">
        <f>I35-J35</f>
        <v>628480.96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216793.47272727115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1103560.1899999958</v>
      </c>
      <c r="E41" s="7">
        <f t="shared" ref="E41:E43" si="5">C41-D41</f>
        <v>-86923.826363632106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1384150.9299999916</v>
      </c>
      <c r="E42" s="7">
        <f t="shared" si="5"/>
        <v>-113355.47545453697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1266985.5749999946</v>
      </c>
      <c r="E43" s="7">
        <f t="shared" si="5"/>
        <v>3809.8795454599895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27276.239999999998</v>
      </c>
      <c r="E44" s="7">
        <f t="shared" ref="E44" si="6">C44-D44</f>
        <v>1243519.2145454546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2026-07-27T12:02:56Z</dcterms:modified>
</cp:coreProperties>
</file>