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B9B4DFC-173C-4CB7-9CF0-F13CBCF695E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2" i="2"/>
  <c r="V31" i="2"/>
  <c r="V33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2" i="2"/>
  <c r="P21" i="2"/>
  <c r="D44" i="2"/>
  <c r="D40" i="2"/>
  <c r="J31" i="2"/>
  <c r="P24" i="2"/>
  <c r="J32" i="2"/>
  <c r="P25" i="2"/>
  <c r="D41" i="2"/>
  <c r="D43" i="2"/>
  <c r="J35" i="2"/>
  <c r="J34" i="2"/>
  <c r="P23" i="2"/>
  <c r="D42" i="2"/>
  <c r="J33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<sst xmlns="http://schemas.openxmlformats.org/spreadsheetml/2006/main" count="215" uniqueCount="54">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</sst>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42533.809999999976</v>
          </cell>
        </row>
        <row r="6">
          <cell r="E6" t="str">
            <v>CENTRO</v>
          </cell>
          <cell r="F6">
            <v>278485.97999999946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166.49</v>
          </cell>
          <cell r="K8" t="str">
            <v>CAMPINAS</v>
          </cell>
        </row>
        <row r="9">
          <cell r="E9" t="str">
            <v>INDAIATUBA</v>
          </cell>
          <cell r="F9">
            <v>53339.220000000008</v>
          </cell>
          <cell r="K9" t="str">
            <v>CENTRO</v>
          </cell>
        </row>
        <row r="10">
          <cell r="E10" t="str">
            <v>INTERLAGOS</v>
          </cell>
          <cell r="F10">
            <v>194214.78999999983</v>
          </cell>
          <cell r="K10" t="str">
            <v>INDAIATUBA</v>
          </cell>
        </row>
        <row r="11">
          <cell r="E11" t="str">
            <v>JUNDIAI</v>
          </cell>
          <cell r="F11">
            <v>56056.600000000086</v>
          </cell>
          <cell r="K11" t="str">
            <v>INTERLAGOS</v>
          </cell>
        </row>
        <row r="12">
          <cell r="E12" t="str">
            <v>KEY ABC</v>
          </cell>
          <cell r="F12">
            <v>260656.61999999991</v>
          </cell>
          <cell r="K12" t="str">
            <v>JUNDIAI</v>
          </cell>
        </row>
        <row r="13">
          <cell r="E13" t="str">
            <v>KEY CASA</v>
          </cell>
          <cell r="F13">
            <v>266593.28000000014</v>
          </cell>
          <cell r="K13" t="str">
            <v>LESTE</v>
          </cell>
        </row>
        <row r="14">
          <cell r="E14" t="str">
            <v>KEY INTERIOR</v>
          </cell>
          <cell r="F14">
            <v>851393.40000000026</v>
          </cell>
          <cell r="K14" t="str">
            <v>LESTE MOOCA</v>
          </cell>
        </row>
        <row r="15">
          <cell r="E15" t="str">
            <v>KEY PIRACICABA</v>
          </cell>
          <cell r="F15">
            <v>105736.07999999997</v>
          </cell>
          <cell r="K15" t="str">
            <v>LESTE PENHA</v>
          </cell>
        </row>
        <row r="16">
          <cell r="E16" t="str">
            <v>KEY SJC</v>
          </cell>
          <cell r="F16">
            <v>129498.10000000006</v>
          </cell>
          <cell r="K16" t="str">
            <v>LESTE TATUAPE</v>
          </cell>
        </row>
        <row r="17">
          <cell r="E17" t="str">
            <v>KEY SP</v>
          </cell>
          <cell r="F17">
            <v>279492.73999999993</v>
          </cell>
          <cell r="K17" t="str">
            <v>MOGI</v>
          </cell>
        </row>
        <row r="18">
          <cell r="E18" t="str">
            <v>KEY ZL</v>
          </cell>
          <cell r="F18">
            <v>317008.29999999987</v>
          </cell>
          <cell r="K18" t="str">
            <v>NORTE</v>
          </cell>
        </row>
        <row r="19">
          <cell r="E19" t="str">
            <v>LESTE</v>
          </cell>
          <cell r="F19">
            <v>77785.479999999952</v>
          </cell>
          <cell r="K19" t="str">
            <v>OSASCO</v>
          </cell>
        </row>
        <row r="20">
          <cell r="E20" t="str">
            <v>LESTE MOOCA</v>
          </cell>
          <cell r="F20">
            <v>145450.10499999954</v>
          </cell>
          <cell r="K20" t="str">
            <v>PIRITUBA</v>
          </cell>
        </row>
        <row r="21">
          <cell r="E21" t="str">
            <v>LESTE PENHA</v>
          </cell>
          <cell r="F21">
            <v>98883.580000000045</v>
          </cell>
          <cell r="K21" t="str">
            <v>SANTO ANDRE</v>
          </cell>
        </row>
        <row r="22">
          <cell r="E22" t="str">
            <v>LESTE TATUAPE</v>
          </cell>
          <cell r="F22">
            <v>91018.129999999757</v>
          </cell>
          <cell r="K22" t="str">
            <v>SBC</v>
          </cell>
        </row>
        <row r="23">
          <cell r="E23" t="str">
            <v>MOGI</v>
          </cell>
          <cell r="F23">
            <v>53511.010000000111</v>
          </cell>
          <cell r="K23" t="str">
            <v>SJC</v>
          </cell>
        </row>
        <row r="24">
          <cell r="E24" t="str">
            <v>NORTE</v>
          </cell>
          <cell r="F24">
            <v>182910.05999999956</v>
          </cell>
          <cell r="K24" t="str">
            <v>SJC/VALE</v>
          </cell>
        </row>
        <row r="25">
          <cell r="E25" t="str">
            <v>OSASCO</v>
          </cell>
          <cell r="F25">
            <v>249957.90999999957</v>
          </cell>
          <cell r="K25" t="str">
            <v>Total Geral</v>
          </cell>
        </row>
        <row r="26">
          <cell r="E26" t="str">
            <v>PIRITUBA</v>
          </cell>
          <cell r="F26">
            <v>101953.7499999999</v>
          </cell>
        </row>
        <row r="27">
          <cell r="E27" t="str">
            <v>SANTO ANDRE</v>
          </cell>
          <cell r="F27">
            <v>124187.51999999996</v>
          </cell>
        </row>
        <row r="28">
          <cell r="E28" t="str">
            <v>SBC</v>
          </cell>
          <cell r="F28">
            <v>187761.95999999973</v>
          </cell>
        </row>
        <row r="29">
          <cell r="E29" t="str">
            <v>SJC</v>
          </cell>
          <cell r="F29">
            <v>62177.830000000096</v>
          </cell>
        </row>
        <row r="30">
          <cell r="E30" t="str">
            <v>SJC/VALE</v>
          </cell>
          <cell r="F30">
            <v>33554.440000000017</v>
          </cell>
        </row>
        <row r="31">
          <cell r="E31" t="str">
            <v>VENDEDOR INTERNO 1</v>
          </cell>
          <cell r="F31">
            <v>57328.480000000025</v>
          </cell>
        </row>
        <row r="32">
          <cell r="E32" t="str">
            <v>Total Geral</v>
          </cell>
          <cell r="F32">
            <v>4302738.4949999396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300000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4302738.4949999992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1289761.5050000008</v>
      </c>
      <c r="D6" s="2"/>
      <c r="E6" s="4"/>
      <c r="F6" s="4"/>
      <c r="G6" s="4"/>
      <c r="H6" s="4" t="s">
        <v>2</v>
      </c>
      <c r="I6" s="7">
        <f>I4-I5</f>
        <v>300000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0.76937657487706734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42533.809999999976</v>
      </c>
      <c r="E10" s="27">
        <f>Tabela13[[#This Row],[META A]]-Tabela13[[#This Row],[ATINGIDO]]</f>
        <v>21966.190000000024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28600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28600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278485.97999999946</v>
      </c>
      <c r="E11" s="24">
        <f>Tabela13[[#This Row],[META A]]-Tabela13[[#This Row],[ATINGIDO]]</f>
        <v>46514.020000000542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25380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25380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166.49</v>
      </c>
      <c r="E12" s="27">
        <f>Tabela13[[#This Row],[META A]]-Tabela13[[#This Row],[ATINGIDO]]</f>
        <v>833.51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13570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13570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53339.220000000008</v>
      </c>
      <c r="E13" s="24">
        <f>Tabela13[[#This Row],[META A]]-Tabela13[[#This Row],[ATINGIDO]]</f>
        <v>36660.779999999992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25160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25160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194214.78999999983</v>
      </c>
      <c r="E14" s="27">
        <f>Tabela13[[#This Row],[META A]]-Tabela13[[#This Row],[ATINGIDO]]</f>
        <v>78785.210000000166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21160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21160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56056.600000000086</v>
      </c>
      <c r="E15" s="24">
        <f>Tabela13[[#This Row],[META A]]-Tabela13[[#This Row],[ATINGIDO]]</f>
        <v>21943.399999999914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26910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26910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260656.61999999991</v>
      </c>
      <c r="E16" s="27">
        <f>Tabela13[[#This Row],[META A]]-Tabela13[[#This Row],[ATINGIDO]]</f>
        <v>64343.380000000092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16510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16510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7700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7700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15000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15000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129498.10000000006</v>
      </c>
      <c r="E19" s="24">
        <f>Tabela13[[#This Row],[META A]]-Tabela13[[#This Row],[ATINGIDO]]</f>
        <v>501.89999999993597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17000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17000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279492.73999999993</v>
      </c>
      <c r="E20" s="27">
        <f>Tabela13[[#This Row],[META A]]-Tabela13[[#This Row],[ATINGIDO]]</f>
        <v>280507.26000000007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21560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21560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317008.29999999987</v>
      </c>
      <c r="E21" s="24">
        <f>Tabela13[[#This Row],[META A]]-Tabela13[[#This Row],[ATINGIDO]]</f>
        <v>97991.700000000128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9040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9040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2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77785.479999999952</v>
      </c>
      <c r="E22" s="27">
        <f>Tabela13[[#This Row],[META A]]-Tabela13[[#This Row],[ATINGIDO]]</f>
        <v>44214.520000000048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16330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16330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2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145450.10499999954</v>
      </c>
      <c r="E23" s="24">
        <f>Tabela13[[#This Row],[META A]]-Tabela13[[#This Row],[ATINGIDO]]</f>
        <v>49549.895000000455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14210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14210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98883.580000000045</v>
      </c>
      <c r="E24" s="27">
        <f>Tabela13[[#This Row],[META A]]-Tabela13[[#This Row],[ATINGIDO]]</f>
        <v>41116.419999999955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13000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13000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687271.79999999981</v>
      </c>
      <c r="Q24" s="7">
        <f>O24-P24</f>
        <v>-67953.618181817932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2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91018.129999999757</v>
      </c>
      <c r="E25" s="24">
        <f>Tabela13[[#This Row],[META A]]-Tabela13[[#This Row],[ATINGIDO]]</f>
        <v>51481.870000000243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13630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13630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2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53511.010000000111</v>
      </c>
      <c r="E26" s="27">
        <f>Tabela13[[#This Row],[META A]]-Tabela13[[#This Row],[ATINGIDO]]</f>
        <v>36488.989999999889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7010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7010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182910.05999999956</v>
      </c>
      <c r="E27" s="24">
        <f>Tabela13[[#This Row],[META A]]-Tabela13[[#This Row],[ATINGIDO]]</f>
        <v>54589.940000000439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8230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8230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249957.90999999957</v>
      </c>
      <c r="E28" s="27">
        <f>Tabela13[[#This Row],[META A]]-Tabela13[[#This Row],[ATINGIDO]]</f>
        <v>68542.090000000433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105736.07999999997</v>
      </c>
      <c r="E29" s="24">
        <f>Tabela13[[#This Row],[META A]]-Tabela13[[#This Row],[ATINGIDO]]</f>
        <v>69263.920000000027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101953.7499999999</v>
      </c>
      <c r="E30" s="27">
        <f>Tabela13[[#This Row],[META A]]-Tabela13[[#This Row],[ATINGIDO]]</f>
        <v>32546.250000000102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124187.51999999996</v>
      </c>
      <c r="E31" s="24">
        <f>Tabela13[[#This Row],[META A]]-Tabela13[[#This Row],[ATINGIDO]]</f>
        <v>42812.48000000004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187761.95999999973</v>
      </c>
      <c r="E32" s="27">
        <f>Tabela13[[#This Row],[META A]]-Tabela13[[#This Row],[ATINGIDO]]</f>
        <v>72238.04000000027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62177.830000000096</v>
      </c>
      <c r="E33" s="24">
        <f>Tabela13[[#This Row],[META A]]-Tabela13[[#This Row],[ATINGIDO]]</f>
        <v>37822.169999999904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699011.54000000306</v>
      </c>
      <c r="K33" s="7">
        <f t="shared" si="4"/>
        <v>-47761.540000003064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3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33554.440000000017</v>
      </c>
      <c r="E34" s="27">
        <f>Tabela13[[#This Row],[META A]]-Tabela13[[#This Row],[ATINGIDO]]</f>
        <v>21445.559999999983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581802.48500000464</v>
      </c>
      <c r="K34" s="7">
        <f t="shared" si="4"/>
        <v>69447.514999995357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57328.480000000025</v>
      </c>
      <c r="E35" s="24">
        <f>Tabela13[[#This Row],[META A]]-Tabela13[[#This Row],[ATINGIDO]]</f>
        <v>15671.519999999975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5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1384150.9299999892</v>
      </c>
      <c r="E42" s="7">
        <f t="shared" si="5"/>
        <v>-113355.47545453464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1269343.5749999946</v>
      </c>
      <c r="E43" s="7">
        <f t="shared" si="5"/>
        <v>1451.8795454599895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1270795.4545454546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2026-07-27T10:19:04Z</dcterms:modified>
</cp:coreProperties>
</file>