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93D7DC5E-6781-4346-8385-A1253241546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0" i="2"/>
  <c r="D30" i="2"/>
  <c r="C31" i="2"/>
  <c r="D31" i="2"/>
  <c r="C32" i="2"/>
  <c r="D32" i="2"/>
  <c r="C33" i="2"/>
  <c r="D33" i="2"/>
  <c r="C34" i="2"/>
  <c r="D34" i="2"/>
  <c r="C35" i="2"/>
  <c r="D35" i="2"/>
  <c r="C36" i="2"/>
  <c r="D36" i="2"/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21" i="2"/>
  <c r="P13" i="2"/>
  <c r="V34" i="2"/>
  <c r="P17" i="2"/>
  <c r="P11" i="2"/>
  <c r="P16" i="2"/>
  <c r="V30" i="2"/>
  <c r="P22" i="2"/>
  <c r="P15" i="2"/>
  <c r="P23" i="2"/>
  <c r="V31" i="2"/>
  <c r="P24" i="2"/>
  <c r="V32" i="2"/>
  <c r="P14" i="2"/>
  <c r="P25" i="2"/>
  <c r="P12" i="2"/>
  <c r="V33" i="2"/>
  <c r="Q11" i="2" l="1"/>
  <c r="Q17" i="2"/>
  <c r="Q16" i="2"/>
  <c r="Q15" i="2"/>
  <c r="Q14" i="2"/>
  <c r="Q13" i="2"/>
  <c r="Q12" i="2"/>
  <c r="E36" i="2"/>
  <c r="U5" i="2"/>
  <c r="C10" i="2"/>
  <c r="D10" i="2"/>
  <c r="E12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J32" i="2"/>
  <c r="D42" i="2"/>
  <c r="D41" i="2"/>
  <c r="J31" i="2"/>
  <c r="J34" i="2"/>
  <c r="J35" i="2"/>
  <c r="D43" i="2"/>
  <c r="J33" i="2"/>
  <c r="D44" i="2"/>
  <c r="D40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O21" i="2" l="1" a="1"/>
  <c r="O21" i="2" s="1"/>
  <c r="Q21" i="2" s="1"/>
  <c r="I34" i="2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I31" i="2" a="1"/>
  <c r="I31" i="2" s="1"/>
  <c r="K31" i="2" s="1"/>
  <c r="I33" i="2" a="1"/>
  <c r="I33" i="2" s="1"/>
  <c r="K33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19" i="2" l="1"/>
  <c r="W19" i="2" s="1"/>
  <c r="U18" i="2"/>
  <c r="W18" i="2" s="1"/>
  <c r="U21" i="2"/>
  <c r="W21" i="2" s="1"/>
  <c r="U23" i="2"/>
  <c r="W23" i="2" s="1"/>
  <c r="U25" i="2"/>
  <c r="W25" i="2" s="1"/>
  <c r="U11" i="2"/>
  <c r="W11" i="2" s="1"/>
  <c r="U22" i="2"/>
  <c r="W22" i="2" s="1"/>
  <c r="U16" i="2"/>
  <c r="W16" i="2" s="1"/>
  <c r="U15" i="2"/>
  <c r="W15" i="2" s="1"/>
  <c r="U17" i="2"/>
  <c r="W17" i="2" s="1"/>
  <c r="U13" i="2"/>
  <c r="W13" i="2" s="1"/>
  <c r="U14" i="2"/>
  <c r="W14" i="2" s="1"/>
  <c r="U20" i="2"/>
  <c r="W20" i="2" s="1"/>
  <c r="U12" i="2"/>
  <c r="W12" i="2" s="1"/>
  <c r="U24" i="2"/>
  <c r="W24" i="2" s="1"/>
  <c r="U26" i="2"/>
  <c r="W26" i="2" s="1"/>
  <c r="U10" i="2"/>
  <c r="W10" i="2" l="1"/>
  <c r="U4" i="2"/>
  <c r="U6" i="2" s="1"/>
  <c r="U7" i="2" s="1"/>
  <c r="O25" i="2" l="1" a="1"/>
  <c r="O25" i="2" s="1"/>
  <c r="Q25" i="2" s="1"/>
  <c r="I35" i="2" a="1"/>
  <c r="I35" i="2" s="1"/>
  <c r="K35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0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<sst xmlns="http://schemas.openxmlformats.org/spreadsheetml/2006/main" count="215" uniqueCount="54">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</sst>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05/08/2026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5208.12</v>
          </cell>
          <cell r="H5" t="str">
            <v>CENTRO</v>
          </cell>
          <cell r="I5">
            <v>3780.6</v>
          </cell>
        </row>
        <row r="6">
          <cell r="E6" t="str">
            <v>CENTRO</v>
          </cell>
          <cell r="F6">
            <v>51270.990000000027</v>
          </cell>
          <cell r="H6" t="str">
            <v>INDAIATUBA</v>
          </cell>
          <cell r="I6">
            <v>576.79999999999995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INTERLAGOS</v>
          </cell>
          <cell r="I7">
            <v>933.40000000000009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0</v>
          </cell>
          <cell r="H8" t="str">
            <v>JUNDIAI</v>
          </cell>
          <cell r="I8">
            <v>289.8</v>
          </cell>
          <cell r="K8" t="str">
            <v>CENTRO</v>
          </cell>
          <cell r="N8">
            <v>15</v>
          </cell>
        </row>
        <row r="9">
          <cell r="E9" t="str">
            <v>INDAIATUBA</v>
          </cell>
          <cell r="F9">
            <v>16739.159999999996</v>
          </cell>
          <cell r="H9" t="str">
            <v>LESTE PENHA</v>
          </cell>
          <cell r="I9">
            <v>908.8</v>
          </cell>
          <cell r="K9" t="str">
            <v>INDAIATUBA</v>
          </cell>
          <cell r="N9">
            <v>9</v>
          </cell>
        </row>
        <row r="10">
          <cell r="E10" t="str">
            <v>INTERLAGOS</v>
          </cell>
          <cell r="F10">
            <v>29342.740000000013</v>
          </cell>
          <cell r="H10" t="str">
            <v>Total Geral</v>
          </cell>
          <cell r="I10">
            <v>6489.3999999999978</v>
          </cell>
          <cell r="K10" t="str">
            <v>INTERLAGOS</v>
          </cell>
          <cell r="N10">
            <v>13</v>
          </cell>
        </row>
        <row r="11">
          <cell r="E11" t="str">
            <v>JUNDIAI</v>
          </cell>
          <cell r="F11">
            <v>11113.399999999998</v>
          </cell>
          <cell r="K11" t="str">
            <v>JUNDIAI</v>
          </cell>
          <cell r="N11">
            <v>3</v>
          </cell>
        </row>
        <row r="12">
          <cell r="E12" t="str">
            <v>KEY ABC</v>
          </cell>
          <cell r="F12">
            <v>11521.5</v>
          </cell>
          <cell r="K12" t="str">
            <v>LESTE MOOCA</v>
          </cell>
          <cell r="N12">
            <v>7</v>
          </cell>
        </row>
        <row r="13">
          <cell r="E13" t="str">
            <v>KEY CASA</v>
          </cell>
          <cell r="F13">
            <v>73565.290000000023</v>
          </cell>
          <cell r="K13" t="str">
            <v>LESTE PENHA</v>
          </cell>
          <cell r="N13">
            <v>3</v>
          </cell>
        </row>
        <row r="14">
          <cell r="E14" t="str">
            <v>KEY INTERIOR</v>
          </cell>
          <cell r="F14">
            <v>152169.9</v>
          </cell>
          <cell r="K14" t="str">
            <v>LESTE TATUAPE</v>
          </cell>
          <cell r="N14">
            <v>6</v>
          </cell>
        </row>
        <row r="15">
          <cell r="E15" t="str">
            <v>KEY PIRACICABA</v>
          </cell>
          <cell r="F15">
            <v>0</v>
          </cell>
          <cell r="K15" t="str">
            <v>MOGI</v>
          </cell>
          <cell r="N15">
            <v>1</v>
          </cell>
        </row>
        <row r="16">
          <cell r="E16" t="str">
            <v>KEY SJC</v>
          </cell>
          <cell r="F16">
            <v>1785.3999999999999</v>
          </cell>
          <cell r="K16" t="str">
            <v>NORTE</v>
          </cell>
          <cell r="N16">
            <v>12</v>
          </cell>
        </row>
        <row r="17">
          <cell r="E17" t="str">
            <v>KEY SP</v>
          </cell>
          <cell r="F17">
            <v>31364.199999999997</v>
          </cell>
          <cell r="K17" t="str">
            <v>OSASCO</v>
          </cell>
          <cell r="N17">
            <v>12</v>
          </cell>
        </row>
        <row r="18">
          <cell r="E18" t="str">
            <v>KEY ZL</v>
          </cell>
          <cell r="F18">
            <v>41755.370000000003</v>
          </cell>
          <cell r="K18" t="str">
            <v>PIRITUBA</v>
          </cell>
          <cell r="N18">
            <v>6</v>
          </cell>
        </row>
        <row r="19">
          <cell r="E19" t="str">
            <v>LESTE</v>
          </cell>
          <cell r="F19">
            <v>10319.129999999999</v>
          </cell>
          <cell r="K19" t="str">
            <v>SANTO ANDRE</v>
          </cell>
          <cell r="N19">
            <v>6</v>
          </cell>
        </row>
        <row r="20">
          <cell r="E20" t="str">
            <v>LESTE MOOCA</v>
          </cell>
          <cell r="F20">
            <v>22072.120000000003</v>
          </cell>
          <cell r="K20" t="str">
            <v>SBC</v>
          </cell>
          <cell r="N20">
            <v>8</v>
          </cell>
        </row>
        <row r="21">
          <cell r="E21" t="str">
            <v>LESTE PENHA</v>
          </cell>
          <cell r="F21">
            <v>11901.63</v>
          </cell>
          <cell r="K21" t="str">
            <v>SJC</v>
          </cell>
          <cell r="N21">
            <v>5</v>
          </cell>
        </row>
        <row r="22">
          <cell r="E22" t="str">
            <v>LESTE TATUAPE</v>
          </cell>
          <cell r="F22">
            <v>10565.189999999999</v>
          </cell>
          <cell r="K22" t="str">
            <v>SJC/VALE</v>
          </cell>
          <cell r="N22">
            <v>9</v>
          </cell>
        </row>
        <row r="23">
          <cell r="E23" t="str">
            <v>MOGI</v>
          </cell>
          <cell r="F23">
            <v>4552.17</v>
          </cell>
          <cell r="K23" t="str">
            <v>Total Geral</v>
          </cell>
          <cell r="N23">
            <v>115</v>
          </cell>
        </row>
        <row r="24">
          <cell r="E24" t="str">
            <v>NORTE</v>
          </cell>
          <cell r="F24">
            <v>40396.260000000024</v>
          </cell>
        </row>
        <row r="25">
          <cell r="E25" t="str">
            <v>OSASCO</v>
          </cell>
          <cell r="F25">
            <v>40740.69000000001</v>
          </cell>
        </row>
        <row r="26">
          <cell r="E26" t="str">
            <v>PIRITUBA</v>
          </cell>
          <cell r="F26">
            <v>15043.06</v>
          </cell>
        </row>
        <row r="27">
          <cell r="E27" t="str">
            <v>SANTO ANDRE</v>
          </cell>
          <cell r="F27">
            <v>22028.690000000006</v>
          </cell>
        </row>
        <row r="28">
          <cell r="E28" t="str">
            <v>SBC</v>
          </cell>
          <cell r="F28">
            <v>36686.350000000006</v>
          </cell>
        </row>
        <row r="29">
          <cell r="E29" t="str">
            <v>SJC</v>
          </cell>
          <cell r="F29">
            <v>7732.9699999999984</v>
          </cell>
        </row>
        <row r="30">
          <cell r="E30" t="str">
            <v>SJC/VALE</v>
          </cell>
          <cell r="F30">
            <v>7507.2</v>
          </cell>
        </row>
        <row r="31">
          <cell r="E31" t="str">
            <v>VENDEDOR INTERNO 1</v>
          </cell>
          <cell r="F31">
            <v>12732.099999999999</v>
          </cell>
        </row>
        <row r="32">
          <cell r="E32" t="str">
            <v>Total Geral</v>
          </cell>
          <cell r="F32">
            <v>668757.91000000283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4">
          <cell r="E94">
            <v>0</v>
          </cell>
          <cell r="F94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49"/>
    <tableColumn id="2" xr3:uid="{0B55D821-52F8-4CE2-9F16-C5BCDBCE53AC}" name="VENDEDOR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5"/>
    <tableColumn id="2" xr3:uid="{E2D85F5C-4525-4FA4-B813-A1322F5C254D}" name="VENDEDOR" dataDxfId="24"/>
    <tableColumn id="3" xr3:uid="{53C55BB3-DDD4-47EF-87D5-552E4D02B5BA}" name="META A" dataDxfId="23">
      <calculatedColumnFormula>_xlfn.XLOOKUP(Tabela2[[#This Row],[REFERENCIA]],'[1]BASE PYTHON'!$A$63:$A$79,[1]!#REF!)</calculatedColumnFormula>
    </tableColumn>
    <tableColumn id="4" xr3:uid="{018C7BF7-4C79-4668-95B2-CBF2E10B657D}" name="ATINGIDO" dataDxfId="22">
      <calculatedColumnFormula>_xlfn.XLOOKUP(Tabela2[[#This Row],[REFERENCIA]],'[1]BASE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REFERENCIA" dataDxfId="17"/>
    <tableColumn id="2" xr3:uid="{A71A6478-3B31-4F54-A10C-E6EC00E95E0B}" name="VENDEDOR" dataDxfId="16"/>
    <tableColumn id="3" xr3:uid="{9F5EDCDD-D442-4FBE-9C74-26084F24EFCB}" name="COMPROMISSO" dataDxfId="15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0" totalsRowDxfId="9"/>
    <tableColumn id="2" xr3:uid="{4F0BAF4D-D0FC-4B7C-8FF4-8DDD6505FDA1}" name="VENDEDOR" dataDxfId="8" totalsRowDxfId="7"/>
    <tableColumn id="3" xr3:uid="{CCB341E8-8BC2-4209-AEA0-D6F26BFCB356}" name="META A" dataDxfId="6" totalsRowDxfId="5" dataCellStyle="Moeda">
      <calculatedColumnFormula>_xlfn.XLOOKUP(Tabela13[[#This Row],[REFERENCIA]],[1]!Tabela2[VENDEDOR],[1]!Tabela2[META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130680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668757.91000000027</v>
      </c>
      <c r="D5" s="2"/>
      <c r="E5" s="4"/>
      <c r="F5" s="4"/>
      <c r="G5" s="4"/>
      <c r="H5" s="4" t="s">
        <v>1</v>
      </c>
      <c r="I5" s="7">
        <f>SUM(J10:J27)</f>
        <v>6489.4000000000005</v>
      </c>
      <c r="J5" s="4"/>
      <c r="K5" s="4"/>
      <c r="L5" s="4"/>
      <c r="M5" s="4"/>
      <c r="N5" s="4" t="s">
        <v>1</v>
      </c>
      <c r="O5" s="7">
        <f>SUM(P11:P17)</f>
        <v>126842.16000000003</v>
      </c>
      <c r="P5" s="4"/>
      <c r="Q5" s="4"/>
      <c r="R5" s="4"/>
      <c r="S5" s="4"/>
      <c r="T5" s="4" t="s">
        <v>1</v>
      </c>
      <c r="U5" s="4">
        <f>SUM(V10:V26)</f>
        <v>115</v>
      </c>
      <c r="V5" s="4"/>
      <c r="W5" s="4"/>
    </row>
    <row r="6" spans="1:23" x14ac:dyDescent="0.25">
      <c r="A6" s="4"/>
      <c r="B6" s="4" t="s">
        <v>2</v>
      </c>
      <c r="C6" s="2">
        <f>C4-C5</f>
        <v>5115742.09</v>
      </c>
      <c r="D6" s="2"/>
      <c r="E6" s="4"/>
      <c r="F6" s="4"/>
      <c r="G6" s="4"/>
      <c r="H6" s="4" t="s">
        <v>2</v>
      </c>
      <c r="I6" s="7">
        <f>I4-I5</f>
        <v>124190.6</v>
      </c>
      <c r="J6" s="4"/>
      <c r="K6" s="4"/>
      <c r="L6" s="4"/>
      <c r="M6" s="4"/>
      <c r="N6" s="4" t="s">
        <v>2</v>
      </c>
      <c r="O6" s="7">
        <f>O4-O5</f>
        <v>-126842.16000000003</v>
      </c>
      <c r="P6" s="4"/>
      <c r="Q6" s="4"/>
      <c r="R6" s="4"/>
      <c r="S6" s="4"/>
      <c r="T6" s="4" t="s">
        <v>2</v>
      </c>
      <c r="U6" s="4">
        <f>U4-U5</f>
        <v>668</v>
      </c>
      <c r="V6" s="4"/>
      <c r="W6" s="4"/>
    </row>
    <row r="7" spans="1:23" x14ac:dyDescent="0.25">
      <c r="A7" s="4"/>
      <c r="B7" s="4" t="s">
        <v>3</v>
      </c>
      <c r="C7" s="3">
        <f>1-(C6/C4)</f>
        <v>0.11561205117123352</v>
      </c>
      <c r="D7" s="2"/>
      <c r="E7" s="4"/>
      <c r="F7" s="4"/>
      <c r="G7" s="4"/>
      <c r="H7" s="4" t="s">
        <v>3</v>
      </c>
      <c r="I7" s="3">
        <f>1-(I6/I4)</f>
        <v>4.9658708295071907E-2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0.14687100893997451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A])</f>
        <v>64500</v>
      </c>
      <c r="D10" s="28">
        <f>_xlfn.XLOOKUP(Tabela13[[#This Row],[REFERENCIA]],'[1]BASE PYTHON'!$E:$E,'[1]BASE PYTHON'!$F:$F,0)</f>
        <v>5208.12</v>
      </c>
      <c r="E10" s="25">
        <f>Tabela13[[#This Row],[META A]]-Tabela13[[#This Row],[ATINGIDO]]</f>
        <v>59291.88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15870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15870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A])</f>
        <v>330000</v>
      </c>
      <c r="D11" s="28">
        <f>_xlfn.XLOOKUP(Tabela13[[#This Row],[REFERENCIA]],'[1]BASE PYTHON'!$E:$E,'[1]BASE PYTHON'!$F:$F,0)</f>
        <v>51270.990000000027</v>
      </c>
      <c r="E11" s="23">
        <f>Tabela13[[#This Row],[META A]]-Tabela13[[#This Row],[ATINGIDO]]</f>
        <v>278729.00999999995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14840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14840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11521.5</v>
      </c>
      <c r="Q11" s="2">
        <f>Tabela8[[#This Row],[COMPROMISSO]]-Tabela8[[#This Row],[ATINGIDO]]</f>
        <v>-11521.5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15</v>
      </c>
      <c r="W11" s="18">
        <f t="shared" ref="W11:W20" si="0">U11-V11</f>
        <v>39</v>
      </c>
    </row>
    <row r="12" spans="1:23" x14ac:dyDescent="0.25">
      <c r="A12" s="24" t="s">
        <v>51</v>
      </c>
      <c r="B12" s="24" t="s">
        <v>39</v>
      </c>
      <c r="C12" s="28">
        <f>_xlfn.XLOOKUP(Tabela13[[#This Row],[REFERENCIA]],[1]!Tabela2[VENDEDOR],[1]!Tabela2[META A])</f>
        <v>0</v>
      </c>
      <c r="D12" s="28">
        <f>_xlfn.XLOOKUP(Tabela13[[#This Row],[REFERENCIA]],'[1]BASE PYTHON'!$E:$E,'[1]BASE PYTHON'!$F:$F,0)</f>
        <v>0</v>
      </c>
      <c r="E12" s="25">
        <f>Tabela13[[#This Row],[META A]]-Tabela13[[#This Row],[ATINGIDO]]</f>
        <v>0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8740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8740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9</v>
      </c>
      <c r="W12" s="18">
        <f t="shared" si="0"/>
        <v>34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A])</f>
        <v>90000</v>
      </c>
      <c r="D13" s="28">
        <f>_xlfn.XLOOKUP(Tabela13[[#This Row],[REFERENCIA]],'[1]BASE PYTHON'!$E:$E,'[1]BASE PYTHON'!$F:$F,0)</f>
        <v>16739.159999999996</v>
      </c>
      <c r="E13" s="23">
        <f>Tabela13[[#This Row],[META A]]-Tabela13[[#This Row],[ATINGIDO]]</f>
        <v>73260.84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12070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12070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41755.370000000003</v>
      </c>
      <c r="Q13" s="2">
        <f>Tabela8[[#This Row],[COMPROMISSO]]-Tabela8[[#This Row],[ATINGIDO]]</f>
        <v>-41755.370000000003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13</v>
      </c>
      <c r="W13" s="18">
        <f t="shared" si="0"/>
        <v>48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A])</f>
        <v>273000</v>
      </c>
      <c r="D14" s="28">
        <f>_xlfn.XLOOKUP(Tabela13[[#This Row],[REFERENCIA]],'[1]BASE PYTHON'!$E:$E,'[1]BASE PYTHON'!$F:$F,0)</f>
        <v>29342.740000000013</v>
      </c>
      <c r="E14" s="25">
        <f>Tabela13[[#This Row],[META A]]-Tabela13[[#This Row],[ATINGIDO]]</f>
        <v>243657.25999999998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3240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3240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0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3</v>
      </c>
      <c r="W14" s="18">
        <f t="shared" si="0"/>
        <v>26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A])</f>
        <v>78000</v>
      </c>
      <c r="D15" s="28">
        <f>_xlfn.XLOOKUP(Tabela13[[#This Row],[REFERENCIA]],'[1]BASE PYTHON'!$E:$E,'[1]BASE PYTHON'!$F:$F,0)</f>
        <v>11113.399999999998</v>
      </c>
      <c r="E15" s="23">
        <f>Tabela13[[#This Row],[META A]]-Tabela13[[#This Row],[ATINGIDO]]</f>
        <v>66886.600000000006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16930</v>
      </c>
      <c r="J15" s="21">
        <f>_xlfn.XLOOKUP(Tabela5[[#This Row],[REFERENCIA]],'[1]BASE PYTHON'!$H:$H,'[1]BASE PYTHON'!$I:$I,0)</f>
        <v>3780.6</v>
      </c>
      <c r="K15" s="22">
        <f>Tabela5[[#This Row],[COMPROMISSO]]-Tabela5[[#This Row],[ATINGIDO]]</f>
        <v>13149.4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0</v>
      </c>
      <c r="Q15" s="2">
        <f>Tabela8[[#This Row],[COMPROMISSO]]-Tabela8[[#This Row],[ATINGIDO]]</f>
        <v>0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A])</f>
        <v>350000</v>
      </c>
      <c r="D16" s="28">
        <f>_xlfn.XLOOKUP(Tabela13[[#This Row],[REFERENCIA]],'[1]BASE PYTHON'!$E:$E,'[1]BASE PYTHON'!$F:$F,0)</f>
        <v>11521.5</v>
      </c>
      <c r="E16" s="25">
        <f>Tabela13[[#This Row],[META A]]-Tabela13[[#This Row],[ATINGIDO]]</f>
        <v>338478.5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10910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10910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</v>
      </c>
      <c r="W16" s="18">
        <f t="shared" si="0"/>
        <v>40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A])</f>
        <v>420000</v>
      </c>
      <c r="D17" s="28">
        <f>_xlfn.XLOOKUP(Tabela13[[#This Row],[REFERENCIA]],'[1]BASE PYTHON'!$E:$E,'[1]BASE PYTHON'!$F:$F,0)</f>
        <v>73565.290000000023</v>
      </c>
      <c r="E17" s="23">
        <f>Tabela13[[#This Row],[META A]]-Tabela13[[#This Row],[ATINGIDO]]</f>
        <v>346434.70999999996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3650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3650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73565.290000000023</v>
      </c>
      <c r="Q17" s="2">
        <f>Tabela8[[#This Row],[COMPROMISSO]]-Tabela8[[#This Row],[ATINGIDO]]</f>
        <v>-73565.290000000023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7</v>
      </c>
      <c r="W17" s="18">
        <f t="shared" si="0"/>
        <v>44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A])</f>
        <v>980000</v>
      </c>
      <c r="D18" s="28">
        <f>_xlfn.XLOOKUP(Tabela13[[#This Row],[REFERENCIA]],'[1]BASE PYTHON'!$E:$E,'[1]BASE PYTHON'!$F:$F,0)</f>
        <v>152169.9</v>
      </c>
      <c r="E18" s="25">
        <f>Tabela13[[#This Row],[META A]]-Tabela13[[#This Row],[ATINGIDO]]</f>
        <v>827830.1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3800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3800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12</v>
      </c>
      <c r="W18" s="18">
        <f t="shared" si="0"/>
        <v>35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A])</f>
        <v>142000</v>
      </c>
      <c r="D19" s="28">
        <f>_xlfn.XLOOKUP(Tabela13[[#This Row],[REFERENCIA]],'[1]BASE PYTHON'!$E:$E,'[1]BASE PYTHON'!$F:$F,0)</f>
        <v>1785.3999999999999</v>
      </c>
      <c r="E19" s="23">
        <f>Tabela13[[#This Row],[META A]]-Tabela13[[#This Row],[ATINGIDO]]</f>
        <v>140214.6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9620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9620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12</v>
      </c>
      <c r="W19" s="18">
        <f t="shared" si="0"/>
        <v>51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A])</f>
        <v>560000</v>
      </c>
      <c r="D20" s="28">
        <f>_xlfn.XLOOKUP(Tabela13[[#This Row],[REFERENCIA]],'[1]BASE PYTHON'!$E:$E,'[1]BASE PYTHON'!$F:$F,0)</f>
        <v>31364.199999999997</v>
      </c>
      <c r="E20" s="25">
        <f>Tabela13[[#This Row],[META A]]-Tabela13[[#This Row],[ATINGIDO]]</f>
        <v>528635.80000000005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10440</v>
      </c>
      <c r="J20" s="21">
        <f>_xlfn.XLOOKUP(Tabela5[[#This Row],[REFERENCIA]],'[1]BASE PYTHON'!$H:$H,'[1]BASE PYTHON'!$I:$I,0)</f>
        <v>933.40000000000009</v>
      </c>
      <c r="K20" s="22">
        <f>Tabela5[[#This Row],[COMPROMISSO]]-Tabela5[[#This Row],[ATINGIDO]]</f>
        <v>9506.6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3</v>
      </c>
      <c r="W20" s="18">
        <f t="shared" si="0"/>
        <v>38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A])</f>
        <v>425000</v>
      </c>
      <c r="D21" s="28">
        <f>_xlfn.XLOOKUP(Tabela13[[#This Row],[REFERENCIA]],'[1]BASE PYTHON'!$E:$E,'[1]BASE PYTHON'!$F:$F,0)</f>
        <v>41755.370000000003</v>
      </c>
      <c r="E21" s="23">
        <f>Tabela13[[#This Row],[META A]]-Tabela13[[#This Row],[ATINGIDO]]</f>
        <v>383244.63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4030</v>
      </c>
      <c r="J21" s="21">
        <f>_xlfn.XLOOKUP(Tabela5[[#This Row],[REFERENCIA]],'[1]BASE PYTHON'!$H:$H,'[1]BASE PYTHON'!$I:$I,0)</f>
        <v>289.8</v>
      </c>
      <c r="K21" s="22">
        <f>Tabela5[[#This Row],[COMPROMISSO]]-Tabela5[[#This Row],[ATINGIDO]]</f>
        <v>3740.2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GETPIVOTDATA("[Measures].[Soma de TOTAL 3]",'[1]BASE PYTHON'!$P$32,"[Intervalo 2].[SEMANA]","[Intervalo 2].[SEMANA].&amp;[1]")</f>
        <v>126842.16000000005</v>
      </c>
      <c r="Q21" s="7">
        <f>O21-P21</f>
        <v>558157.84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6</v>
      </c>
      <c r="W21" s="18">
        <f t="shared" ref="W21:W26" si="1">U21-V21</f>
        <v>38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A])</f>
        <v>122000</v>
      </c>
      <c r="D22" s="28">
        <f>_xlfn.XLOOKUP(Tabela13[[#This Row],[REFERENCIA]],'[1]BASE PYTHON'!$E:$E,'[1]BASE PYTHON'!$F:$F,0)</f>
        <v>10319.129999999999</v>
      </c>
      <c r="E22" s="25">
        <f>Tabela13[[#This Row],[META A]]-Tabela13[[#This Row],[ATINGIDO]]</f>
        <v>111680.87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4070</v>
      </c>
      <c r="J22" s="21">
        <f>_xlfn.XLOOKUP(Tabela5[[#This Row],[REFERENCIA]],'[1]BASE PYTHON'!$H:$H,'[1]BASE PYTHON'!$I:$I,0)</f>
        <v>908.8</v>
      </c>
      <c r="K22" s="22">
        <f>Tabela5[[#This Row],[COMPROMISSO]]-Tabela5[[#This Row],[ATINGIDO]]</f>
        <v>3161.2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 t="e">
        <f>GETPIVOTDATA("[Measures].[Soma de TOTAL 3]",'[1]BASE PYTHON'!$P$32,"[Intervalo 2].[SEMANA]","[Intervalo 2].[SEMANA].&amp;[2]")</f>
        <v>#REF!</v>
      </c>
      <c r="Q22" s="7" t="e">
        <f>O22-P22</f>
        <v>#REF!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6</v>
      </c>
      <c r="W22" s="18">
        <f t="shared" si="1"/>
        <v>34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A])</f>
        <v>200000</v>
      </c>
      <c r="D23" s="28">
        <f>_xlfn.XLOOKUP(Tabela13[[#This Row],[REFERENCIA]],'[1]BASE PYTHON'!$E:$E,'[1]BASE PYTHON'!$F:$F,0)</f>
        <v>22072.120000000003</v>
      </c>
      <c r="E23" s="23">
        <f>Tabela13[[#This Row],[META A]]-Tabela13[[#This Row],[ATINGIDO]]</f>
        <v>177927.88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3200</v>
      </c>
      <c r="J23" s="21">
        <f>_xlfn.XLOOKUP(Tabela5[[#This Row],[REFERENCIA]],'[1]BASE PYTHON'!$H:$H,'[1]BASE PYTHON'!$I:$I,0)</f>
        <v>576.79999999999995</v>
      </c>
      <c r="K23" s="22">
        <f>Tabela5[[#This Row],[COMPROMISSO]]-Tabela5[[#This Row],[ATINGIDO]]</f>
        <v>2623.2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 t="e">
        <f>GETPIVOTDATA("[Measures].[Soma de TOTAL 3]",'[1]BASE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8</v>
      </c>
      <c r="W23" s="18">
        <f t="shared" si="1"/>
        <v>47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A])</f>
        <v>145000</v>
      </c>
      <c r="D24" s="28">
        <f>_xlfn.XLOOKUP(Tabela13[[#This Row],[REFERENCIA]],'[1]BASE PYTHON'!$E:$E,'[1]BASE PYTHON'!$F:$F,0)</f>
        <v>11901.63</v>
      </c>
      <c r="E24" s="25">
        <f>Tabela13[[#This Row],[META A]]-Tabela13[[#This Row],[ATINGIDO]]</f>
        <v>133098.37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1980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1980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 t="e">
        <f>GETPIVOTDATA("[Measures].[Soma de TOTAL 3]",'[1]BASE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5</v>
      </c>
      <c r="W24" s="18">
        <f t="shared" si="1"/>
        <v>32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A])</f>
        <v>147000</v>
      </c>
      <c r="D25" s="28">
        <f>_xlfn.XLOOKUP(Tabela13[[#This Row],[REFERENCIA]],'[1]BASE PYTHON'!$E:$E,'[1]BASE PYTHON'!$F:$F,0)</f>
        <v>10565.189999999999</v>
      </c>
      <c r="E25" s="23">
        <f>Tabela13[[#This Row],[META A]]-Tabela13[[#This Row],[ATINGIDO]]</f>
        <v>136434.81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3660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3660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 t="e">
        <f>GETPIVOTDATA("[Measures].[Soma de TOTAL 3]",'[1]BASE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6</v>
      </c>
      <c r="W25" s="18">
        <f t="shared" si="1"/>
        <v>47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A])</f>
        <v>90000</v>
      </c>
      <c r="D26" s="28">
        <f>_xlfn.XLOOKUP(Tabela13[[#This Row],[REFERENCIA]],'[1]BASE PYTHON'!$E:$E,'[1]BASE PYTHON'!$F:$F,0)</f>
        <v>4552.17</v>
      </c>
      <c r="E26" s="25">
        <f>Tabela13[[#This Row],[META A]]-Tabela13[[#This Row],[ATINGIDO]]</f>
        <v>85447.83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1090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1090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9</v>
      </c>
      <c r="W26" s="18">
        <f t="shared" si="1"/>
        <v>29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A])</f>
        <v>242000</v>
      </c>
      <c r="D27" s="28">
        <f>_xlfn.XLOOKUP(Tabela13[[#This Row],[REFERENCIA]],'[1]BASE PYTHON'!$E:$E,'[1]BASE PYTHON'!$F:$F,0)</f>
        <v>40396.260000000024</v>
      </c>
      <c r="E27" s="23">
        <f>Tabela13[[#This Row],[META A]]-Tabela13[[#This Row],[ATINGIDO]]</f>
        <v>201603.74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2540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2540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A])</f>
        <v>323500</v>
      </c>
      <c r="D28" s="28">
        <f>_xlfn.XLOOKUP(Tabela13[[#This Row],[REFERENCIA]],'[1]BASE PYTHON'!$E:$E,'[1]BASE PYTHON'!$F:$F,0)</f>
        <v>40740.69000000001</v>
      </c>
      <c r="E28" s="25">
        <f>Tabela13[[#This Row],[META A]]-Tabela13[[#This Row],[ATINGIDO]]</f>
        <v>282759.31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A])</f>
        <v>139500</v>
      </c>
      <c r="D30" s="28">
        <f>_xlfn.XLOOKUP(Tabela13[[#This Row],[REFERENCIA]],'[1]BASE PYTHON'!$E:$E,'[1]BASE PYTHON'!$F:$F,0)</f>
        <v>15043.06</v>
      </c>
      <c r="E30" s="25">
        <f>Tabela13[[#This Row],[META A]]-Tabela13[[#This Row],[ATINGIDO]]</f>
        <v>124456.94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115</v>
      </c>
      <c r="W30" s="6">
        <f>U30-V30</f>
        <v>71.428571428571416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A])</f>
        <v>167000</v>
      </c>
      <c r="D31" s="28">
        <f>_xlfn.XLOOKUP(Tabela13[[#This Row],[REFERENCIA]],'[1]BASE PYTHON'!$E:$E,'[1]BASE PYTHON'!$F:$F,0)</f>
        <v>22028.690000000006</v>
      </c>
      <c r="E31" s="23">
        <f>Tabela13[[#This Row],[META A]]-Tabela13[[#This Row],[ATINGIDO]]</f>
        <v>144971.31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340424.72000000102</v>
      </c>
      <c r="K31" s="7">
        <f>I31-J31</f>
        <v>351599.08952380845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0</v>
      </c>
      <c r="W31" s="6">
        <f t="shared" ref="W31:W33" si="2">U31-V31</f>
        <v>186.42857142857142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A])</f>
        <v>265000</v>
      </c>
      <c r="D32" s="28">
        <f>_xlfn.XLOOKUP(Tabela13[[#This Row],[REFERENCIA]],'[1]BASE PYTHON'!$E:$E,'[1]BASE PYTHON'!$F:$F,0)</f>
        <v>36686.350000000006</v>
      </c>
      <c r="E32" s="25">
        <f>Tabela13[[#This Row],[META A]]-Tabela13[[#This Row],[ATINGIDO]]</f>
        <v>228313.65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0</v>
      </c>
      <c r="K32" s="7">
        <f t="shared" ref="K32:K34" si="3">I32-J32</f>
        <v>692023.80952380947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A])</f>
        <v>100000</v>
      </c>
      <c r="D33" s="28">
        <f>_xlfn.XLOOKUP(Tabela13[[#This Row],[REFERENCIA]],'[1]BASE PYTHON'!$E:$E,'[1]BASE PYTHON'!$F:$F,0)</f>
        <v>7732.9699999999984</v>
      </c>
      <c r="E33" s="23">
        <f>Tabela13[[#This Row],[META A]]-Tabela13[[#This Row],[ATINGIDO]]</f>
        <v>92267.03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A])</f>
        <v>55000</v>
      </c>
      <c r="D34" s="28">
        <f>_xlfn.XLOOKUP(Tabela13[[#This Row],[REFERENCIA]],'[1]BASE PYTHON'!$E:$E,'[1]BASE PYTHON'!$F:$F,0)</f>
        <v>7507.2</v>
      </c>
      <c r="E34" s="25">
        <f>Tabela13[[#This Row],[META A]]-Tabela13[[#This Row],[ATINGIDO]]</f>
        <v>47492.800000000003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A])</f>
        <v>75000</v>
      </c>
      <c r="D35" s="28">
        <f>_xlfn.XLOOKUP(Tabela13[[#This Row],[REFERENCIA]],'[1]BASE PYTHON'!$E:$E,'[1]BASE PYTHON'!$F:$F,0)</f>
        <v>12732.099999999999</v>
      </c>
      <c r="E35" s="23">
        <f>Tabela13[[#This Row],[META A]]-Tabela13[[#This Row],[ATINGIDO]]</f>
        <v>62267.9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668757.91000000283</v>
      </c>
      <c r="E40" s="7">
        <f>C40-D40</f>
        <v>708503.99476190202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0</v>
      </c>
      <c r="E41" s="7">
        <f t="shared" ref="E41:E43" si="4">C41-D41</f>
        <v>1377261.9047619049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2026-08-05T11:28:55Z</dcterms:modified>
</cp:coreProperties>
</file>