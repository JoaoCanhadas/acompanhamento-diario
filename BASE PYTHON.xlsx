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ECBE4B7-4CBE-4BBB-AC3C-8B8812D3731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5" i="2"/>
  <c r="P24" i="2"/>
  <c r="P23" i="2"/>
  <c r="P22" i="2"/>
  <c r="P21" i="2"/>
  <c r="P17" i="2"/>
  <c r="V33" i="2"/>
  <c r="V31" i="2"/>
  <c r="P11" i="2"/>
  <c r="P13" i="2"/>
  <c r="P12" i="2"/>
  <c r="P14" i="2"/>
  <c r="V34" i="2"/>
  <c r="P15" i="2"/>
  <c r="V30" i="2"/>
  <c r="V32" i="2"/>
  <c r="P16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4" i="2"/>
  <c r="J34" i="2"/>
  <c r="D43" i="2"/>
  <c r="J31" i="2"/>
  <c r="J33" i="2"/>
  <c r="J35" i="2"/>
  <c r="D41" i="2"/>
  <c r="D42" i="2"/>
  <c r="J32" i="2"/>
  <c r="D40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<sst xmlns="http://schemas.openxmlformats.org/spreadsheetml/2006/main" count="215" uniqueCount="54">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</sst>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%20JB.xlsm" TargetMode="External"/><Relationship Id="rId1" Type="http://schemas.openxmlformats.org/officeDocument/2006/relationships/externalLinkPath" Target="file:///C:\Users\acom3\Downloads\Conversor%20CX%20vs%20KG%20JB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308466.07999999967</v>
          </cell>
          <cell r="H6" t="str">
            <v>CENTRO</v>
          </cell>
          <cell r="I6">
            <v>6572.8099999999995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5424.9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70583.370000000039</v>
          </cell>
          <cell r="H9" t="str">
            <v>INTERLAGOS</v>
          </cell>
          <cell r="I9">
            <v>1714.1000000000001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214342.25999999989</v>
          </cell>
          <cell r="H10" t="str">
            <v>JUNDIAI</v>
          </cell>
          <cell r="I10">
            <v>3104.2000000000007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66475.08000000006</v>
          </cell>
          <cell r="H11" t="str">
            <v>KEY SP</v>
          </cell>
          <cell r="I11">
            <v>2080.6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281298.46999999997</v>
          </cell>
          <cell r="H12" t="str">
            <v>KEY ZL</v>
          </cell>
          <cell r="I12">
            <v>1947.8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289653.48000000004</v>
          </cell>
          <cell r="H13" t="str">
            <v>LESTE</v>
          </cell>
          <cell r="I13">
            <v>954.5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LESTE MOOCA</v>
          </cell>
          <cell r="I14">
            <v>2571.2000000000003</v>
          </cell>
          <cell r="K14" t="str">
            <v>LESTE MOOCA</v>
          </cell>
          <cell r="N14">
            <v>52</v>
          </cell>
        </row>
        <row r="15">
          <cell r="E15" t="str">
            <v>KEY PIRACICABA</v>
          </cell>
          <cell r="F15">
            <v>107460.07999999997</v>
          </cell>
          <cell r="H15" t="str">
            <v>LESTE PENHA</v>
          </cell>
          <cell r="I15">
            <v>3370.9000000000005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H16" t="str">
            <v>LESTE TATUAPE</v>
          </cell>
          <cell r="I16">
            <v>2888</v>
          </cell>
          <cell r="K16" t="str">
            <v>LESTE TATUAPE</v>
          </cell>
          <cell r="N16">
            <v>45</v>
          </cell>
        </row>
        <row r="17">
          <cell r="E17" t="str">
            <v>KEY SP</v>
          </cell>
          <cell r="F17">
            <v>302147.56999999995</v>
          </cell>
          <cell r="H17" t="str">
            <v>MOGI</v>
          </cell>
          <cell r="I17">
            <v>809.65000000000009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337504.09999999957</v>
          </cell>
          <cell r="H18" t="str">
            <v>NORTE</v>
          </cell>
          <cell r="I18">
            <v>3003.9500000000003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88229.859999999913</v>
          </cell>
          <cell r="H19" t="str">
            <v>OSASCO</v>
          </cell>
          <cell r="I19">
            <v>1646.54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158238.83499999947</v>
          </cell>
          <cell r="H20" t="str">
            <v>PIRITUBA</v>
          </cell>
          <cell r="I20">
            <v>1448.9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114396.30999999997</v>
          </cell>
          <cell r="H21" t="str">
            <v>SANTO ANDRE</v>
          </cell>
          <cell r="I21">
            <v>2539.15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114697.97999999966</v>
          </cell>
          <cell r="H22" t="str">
            <v>SJC</v>
          </cell>
          <cell r="I22">
            <v>571.9799999999999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62719.520000000179</v>
          </cell>
          <cell r="H23" t="str">
            <v>SJC/VALE</v>
          </cell>
          <cell r="I23">
            <v>1149.2500000000002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207898.06999999942</v>
          </cell>
          <cell r="H24" t="str">
            <v>VENDEDOR INTERNO 1</v>
          </cell>
          <cell r="I24">
            <v>552</v>
          </cell>
          <cell r="K24" t="str">
            <v>SJC/VALE</v>
          </cell>
          <cell r="N24">
            <v>29</v>
          </cell>
        </row>
        <row r="25">
          <cell r="E25" t="str">
            <v>OSASCO</v>
          </cell>
          <cell r="F25">
            <v>272980.00499999948</v>
          </cell>
          <cell r="H25" t="str">
            <v>Total Geral</v>
          </cell>
          <cell r="I25">
            <v>42936.029999999977</v>
          </cell>
          <cell r="K25" t="str">
            <v>Total Geral</v>
          </cell>
          <cell r="N25">
            <v>652</v>
          </cell>
        </row>
        <row r="26">
          <cell r="E26" t="str">
            <v>PIRITUBA</v>
          </cell>
          <cell r="F26">
            <v>110152.5499999999</v>
          </cell>
        </row>
        <row r="27">
          <cell r="E27" t="str">
            <v>SANTO ANDRE</v>
          </cell>
          <cell r="F27">
            <v>138670.31999999995</v>
          </cell>
        </row>
        <row r="28">
          <cell r="E28" t="str">
            <v>SBC</v>
          </cell>
          <cell r="F28">
            <v>207544.25999999981</v>
          </cell>
        </row>
        <row r="29">
          <cell r="E29" t="str">
            <v>SJC</v>
          </cell>
          <cell r="F29">
            <v>72954.970000000059</v>
          </cell>
        </row>
        <row r="30">
          <cell r="E30" t="str">
            <v>SJC/VALE</v>
          </cell>
          <cell r="F30">
            <v>37894.420000000027</v>
          </cell>
        </row>
        <row r="31">
          <cell r="E31" t="str">
            <v>VENDEDOR INTERNO 1</v>
          </cell>
          <cell r="F31">
            <v>66562.880000000019</v>
          </cell>
        </row>
        <row r="32">
          <cell r="E32" t="str">
            <v>Total Geral</v>
          </cell>
          <cell r="F32">
            <v>4750933.8499999354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32">
          <cell r="P32" t="str">
            <v>Soma de TOTAL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J4" zoomScaleNormal="100" workbookViewId="0">
      <selection activeCell="P26" sqref="P26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4750933.8499999968</v>
      </c>
      <c r="D5" s="2"/>
      <c r="E5" s="4"/>
      <c r="F5" s="4"/>
      <c r="G5" s="4"/>
      <c r="H5" s="4" t="s">
        <v>1</v>
      </c>
      <c r="I5" s="7">
        <f>SUM(J10:J27)</f>
        <v>38856.630000000005</v>
      </c>
      <c r="J5" s="4"/>
      <c r="K5" s="4"/>
      <c r="L5" s="4"/>
      <c r="M5" s="4"/>
      <c r="N5" s="4" t="s">
        <v>1</v>
      </c>
      <c r="O5" s="7">
        <f>SUM(P11:P17)</f>
        <v>177400.28</v>
      </c>
      <c r="P5" s="4"/>
      <c r="Q5" s="4"/>
      <c r="R5" s="4"/>
      <c r="S5" s="4"/>
      <c r="T5" s="4" t="s">
        <v>1</v>
      </c>
      <c r="U5" s="4">
        <f>SUM(V10:V26)</f>
        <v>652</v>
      </c>
      <c r="V5" s="4"/>
      <c r="W5" s="4"/>
    </row>
    <row r="6" spans="1:23" x14ac:dyDescent="0.25">
      <c r="A6" s="4"/>
      <c r="B6" s="4" t="s">
        <v>2</v>
      </c>
      <c r="C6" s="2">
        <f>C4-C5</f>
        <v>841566.15000000317</v>
      </c>
      <c r="D6" s="2"/>
      <c r="E6" s="4"/>
      <c r="F6" s="4"/>
      <c r="G6" s="4"/>
      <c r="H6" s="4" t="s">
        <v>2</v>
      </c>
      <c r="I6" s="7">
        <f>I4-I5</f>
        <v>161143.37</v>
      </c>
      <c r="J6" s="4"/>
      <c r="K6" s="4"/>
      <c r="L6" s="4"/>
      <c r="M6" s="4"/>
      <c r="N6" s="4" t="s">
        <v>2</v>
      </c>
      <c r="O6" s="7">
        <f>O4-O5</f>
        <v>431099.72</v>
      </c>
      <c r="P6" s="4"/>
      <c r="Q6" s="4"/>
      <c r="R6" s="4"/>
      <c r="S6" s="4"/>
      <c r="T6" s="4" t="s">
        <v>2</v>
      </c>
      <c r="U6" s="4">
        <f>U4-U5</f>
        <v>106</v>
      </c>
      <c r="V6" s="4"/>
      <c r="W6" s="4"/>
    </row>
    <row r="7" spans="1:23" x14ac:dyDescent="0.25">
      <c r="A7" s="4"/>
      <c r="B7" s="4" t="s">
        <v>3</v>
      </c>
      <c r="C7" s="3">
        <f>1-(C6/C4)</f>
        <v>0.84951879302637401</v>
      </c>
      <c r="D7" s="2"/>
      <c r="E7" s="4"/>
      <c r="F7" s="4"/>
      <c r="G7" s="4"/>
      <c r="H7" s="4" t="s">
        <v>3</v>
      </c>
      <c r="I7" s="3">
        <f>1-(I6/I4)</f>
        <v>0.19428315000000007</v>
      </c>
      <c r="J7" s="4"/>
      <c r="K7" s="4"/>
      <c r="L7" s="4"/>
      <c r="M7" s="4"/>
      <c r="N7" s="4" t="s">
        <v>3</v>
      </c>
      <c r="O7" s="3">
        <f>1-(O6/O4)</f>
        <v>0.29153702547247329</v>
      </c>
      <c r="P7" s="4"/>
      <c r="Q7" s="4"/>
      <c r="R7" s="4"/>
      <c r="S7" s="4"/>
      <c r="T7" s="4" t="s">
        <v>3</v>
      </c>
      <c r="U7" s="3">
        <f>1-(U6/U4)</f>
        <v>0.86015831134564646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1646.54</v>
      </c>
      <c r="K10" s="23">
        <f>Tabela5[[#This Row],[COMPROMISSO]]-Tabela5[[#This Row],[ATINGIDO]]</f>
        <v>18053.46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308466.07999999967</v>
      </c>
      <c r="E11" s="24">
        <f>Tabela13[[#This Row],[META A]]-Tabela13[[#This Row],[ATINGIDO]]</f>
        <v>16533.920000000333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3003.9500000000003</v>
      </c>
      <c r="K11" s="23">
        <f>Tabela5[[#This Row],[COMPROMISSO]]-Tabela5[[#This Row],[ATINGIDO]]</f>
        <v>11936.05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20641.849999999999</v>
      </c>
      <c r="Q11" s="2">
        <f>Tabela8[[#This Row],[COMPROMISSO]]-Tabela8[[#This Row],[ATINGIDO]]</f>
        <v>-20641.849999999999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1724</v>
      </c>
      <c r="Q12" s="2">
        <f>Tabela8[[#This Row],[COMPROMISSO]]-Tabela8[[#This Row],[ATINGIDO]]</f>
        <v>67276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70583.370000000039</v>
      </c>
      <c r="E13" s="24">
        <f>Tabela13[[#This Row],[META A]]-Tabela13[[#This Row],[ATINGIDO]]</f>
        <v>19416.629999999961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20495.8</v>
      </c>
      <c r="Q13" s="2">
        <f>Tabela8[[#This Row],[COMPROMISSO]]-Tabela8[[#This Row],[ATINGIDO]]</f>
        <v>118004.2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214342.25999999989</v>
      </c>
      <c r="E14" s="27">
        <f>Tabela13[[#This Row],[META A]]-Tabela13[[#This Row],[ATINGIDO]]</f>
        <v>58657.740000000107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2888</v>
      </c>
      <c r="K14" s="23">
        <f>Tabela5[[#This Row],[COMPROMISSO]]-Tabela5[[#This Row],[ATINGIDO]]</f>
        <v>7442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66475.08000000006</v>
      </c>
      <c r="E15" s="24">
        <f>Tabela13[[#This Row],[META A]]-Tabela13[[#This Row],[ATINGIDO]]</f>
        <v>11524.91999999994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6572.8099999999995</v>
      </c>
      <c r="K15" s="23">
        <f>Tabela5[[#This Row],[COMPROMISSO]]-Tabela5[[#This Row],[ATINGIDO]]</f>
        <v>19107.190000000002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22654.829999999998</v>
      </c>
      <c r="Q15" s="2">
        <f>Tabela8[[#This Row],[COMPROMISSO]]-Tabela8[[#This Row],[ATINGIDO]]</f>
        <v>127345.17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281298.46999999997</v>
      </c>
      <c r="E16" s="27">
        <f>Tabela13[[#This Row],[META A]]-Tabela13[[#This Row],[ATINGIDO]]</f>
        <v>43701.530000000028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2539.15</v>
      </c>
      <c r="K16" s="23">
        <f>Tabela5[[#This Row],[COMPROMISSO]]-Tabela5[[#This Row],[ATINGIDO]]</f>
        <v>7150.85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289653.48000000004</v>
      </c>
      <c r="E17" s="24">
        <f>Tabela13[[#This Row],[META A]]-Tabela13[[#This Row],[ATINGIDO]]</f>
        <v>-119653.48000000004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809.65000000000009</v>
      </c>
      <c r="K17" s="23">
        <f>Tabela5[[#This Row],[COMPROMISSO]]-Tabela5[[#This Row],[ATINGIDO]]</f>
        <v>6450.35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52</v>
      </c>
      <c r="W17" s="19">
        <f t="shared" si="0"/>
        <v>-3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954.5</v>
      </c>
      <c r="K18" s="23">
        <f>Tabela5[[#This Row],[COMPROMISSO]]-Tabela5[[#This Row],[ATINGIDO]]</f>
        <v>9085.5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2571.2000000000003</v>
      </c>
      <c r="K19" s="23">
        <f>Tabela5[[#This Row],[COMPROMISSO]]-Tabela5[[#This Row],[ATINGIDO]]</f>
        <v>7608.7999999999993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1714.1000000000001</v>
      </c>
      <c r="K20" s="23">
        <f>Tabela5[[#This Row],[COMPROMISSO]]-Tabela5[[#This Row],[ATINGIDO]]</f>
        <v>11525.9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337504.09999999957</v>
      </c>
      <c r="E21" s="24">
        <f>Tabela13[[#This Row],[META A]]-Tabela13[[#This Row],[ATINGIDO]]</f>
        <v>77495.900000000431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3104.2000000000007</v>
      </c>
      <c r="K21" s="23">
        <f>Tabela5[[#This Row],[COMPROMISSO]]-Tabela5[[#This Row],[ATINGIDO]]</f>
        <v>4735.7999999999993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3]",'[2]BASE PYTHON'!$P$32,"[Intervalo 2].[SEMANA]","[Intervalo 2].[SEMANA].&amp;[1]")</f>
        <v>266634.81999999977</v>
      </c>
      <c r="Q21" s="7">
        <f>O21-P21</f>
        <v>104956.08909090934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88229.859999999913</v>
      </c>
      <c r="E22" s="27">
        <f>Tabela13[[#This Row],[META A]]-Tabela13[[#This Row],[ATINGIDO]]</f>
        <v>33770.140000000087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3370.9000000000005</v>
      </c>
      <c r="K22" s="23">
        <f>Tabela5[[#This Row],[COMPROMISSO]]-Tabela5[[#This Row],[ATINGIDO]]</f>
        <v>6379.0999999999995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3]",'[2]BASE PYTHON'!$P$32,"[Intervalo 2].[SEMANA]","[Intervalo 2].[SEMANA].&amp;[2]")</f>
        <v>519801.59000000026</v>
      </c>
      <c r="Q22" s="7">
        <f>O22-P22</f>
        <v>-24347.044545454788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158238.83499999947</v>
      </c>
      <c r="E23" s="24">
        <f>Tabela13[[#This Row],[META A]]-Tabela13[[#This Row],[ATINGIDO]]</f>
        <v>36761.165000000532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5424.9</v>
      </c>
      <c r="K23" s="23">
        <f>Tabela5[[#This Row],[COMPROMISSO]]-Tabela5[[#This Row],[ATINGIDO]]</f>
        <v>1335.1000000000004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3]",'[2]BASE PYTHON'!$P$32,"[Intervalo 2].[SEMANA]","[Intervalo 2].[SEMANA].&amp;[3]")</f>
        <v>660546.04999999935</v>
      </c>
      <c r="Q23" s="7">
        <f>O23-P23</f>
        <v>-41227.868181817466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1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114396.30999999997</v>
      </c>
      <c r="E24" s="27">
        <f>Tabela13[[#This Row],[META A]]-Tabela13[[#This Row],[ATINGIDO]]</f>
        <v>25603.690000000031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552</v>
      </c>
      <c r="K24" s="23">
        <f>Tabela5[[#This Row],[COMPROMISSO]]-Tabela5[[#This Row],[ATINGIDO]]</f>
        <v>2738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3]",'[2]BASE PYTHON'!$P$32,"[Intervalo 2].[SEMANA]","[Intervalo 2].[SEMANA].&amp;[4]")</f>
        <v>655301.98</v>
      </c>
      <c r="Q24" s="7">
        <f>O24-P24</f>
        <v>-35983.7981818181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114697.97999999966</v>
      </c>
      <c r="E25" s="24">
        <f>Tabela13[[#This Row],[META A]]-Tabela13[[#This Row],[ATINGIDO]]</f>
        <v>27802.020000000339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571.9799999999999</v>
      </c>
      <c r="K25" s="23">
        <f>Tabela5[[#This Row],[COMPROMISSO]]-Tabela5[[#This Row],[ATINGIDO]]</f>
        <v>4788.0200000000004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3]",'[2]BASE PYTHON'!$P$32,"[Intervalo 2].[SEMANA]","[Intervalo 2].[SEMANA].&amp;[5]")</f>
        <v>186986.13000000009</v>
      </c>
      <c r="Q25" s="7">
        <f>O25-P25</f>
        <v>432332.05181818176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45</v>
      </c>
      <c r="W25" s="19">
        <f t="shared" si="1"/>
        <v>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62719.520000000179</v>
      </c>
      <c r="E26" s="27">
        <f>Tabela13[[#This Row],[META A]]-Tabela13[[#This Row],[ATINGIDO]]</f>
        <v>27280.479999999821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1149.2500000000002</v>
      </c>
      <c r="K26" s="23">
        <f>Tabela5[[#This Row],[COMPROMISSO]]-Tabela5[[#This Row],[ATINGIDO]]</f>
        <v>2520.75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29</v>
      </c>
      <c r="W26" s="19">
        <f t="shared" si="1"/>
        <v>6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207898.06999999942</v>
      </c>
      <c r="E27" s="24">
        <f>Tabela13[[#This Row],[META A]]-Tabela13[[#This Row],[ATINGIDO]]</f>
        <v>29601.930000000575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272980.00499999948</v>
      </c>
      <c r="E28" s="27">
        <f>Tabela13[[#This Row],[META A]]-Tabela13[[#This Row],[ATINGIDO]]</f>
        <v>45519.995000000519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138670.31999999995</v>
      </c>
      <c r="E31" s="24">
        <f>Tabela13[[#This Row],[META A]]-Tabela13[[#This Row],[ATINGIDO]]</f>
        <v>28329.680000000051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207544.25999999981</v>
      </c>
      <c r="E32" s="27">
        <f>Tabela13[[#This Row],[META A]]-Tabela13[[#This Row],[ATINGIDO]]</f>
        <v>52455.740000000194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72954.970000000059</v>
      </c>
      <c r="E33" s="24">
        <f>Tabela13[[#This Row],[META A]]-Tabela13[[#This Row],[ATINGIDO]]</f>
        <v>27045.029999999941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37894.420000000027</v>
      </c>
      <c r="E34" s="27">
        <f>Tabela13[[#This Row],[META A]]-Tabela13[[#This Row],[ATINGIDO]]</f>
        <v>17105.579999999973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107</v>
      </c>
      <c r="W34" s="6">
        <f>U34-V34</f>
        <v>65.272727272727252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66562.880000000019</v>
      </c>
      <c r="E35" s="24">
        <f>Tabela13[[#This Row],[META A]]-Tabela13[[#This Row],[ATINGIDO]]</f>
        <v>6437.1199999999808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273525.02500000026</v>
      </c>
      <c r="K35" s="7">
        <f>I35-J35</f>
        <v>377724.97499999974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450976.30500000063</v>
      </c>
      <c r="E44" s="7">
        <f t="shared" ref="E44" si="5">C44-D44</f>
        <v>819819.14954545395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2026-07-28T13:51:22Z</dcterms:modified>
</cp:coreProperties>
</file>