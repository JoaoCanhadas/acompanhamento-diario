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24D37A4-C358-402B-91D2-ED35B189986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3" i="2"/>
  <c r="V32" i="2"/>
  <c r="V30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5" i="2"/>
  <c r="P24" i="2"/>
  <c r="P23" i="2"/>
  <c r="D41" i="2"/>
  <c r="J33" i="2"/>
  <c r="J34" i="2"/>
  <c r="D40" i="2"/>
  <c r="P21" i="2"/>
  <c r="J35" i="2"/>
  <c r="J31" i="2"/>
  <c r="J32" i="2"/>
  <c r="D42" i="2"/>
  <c r="D43" i="2"/>
  <c r="P22" i="2"/>
  <c r="D39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<sst xmlns="http://schemas.openxmlformats.org/spreadsheetml/2006/main" count="213" uniqueCount="54">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</sst>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26930.750000000011</v>
          </cell>
          <cell r="H5" t="str">
            <v>CAMPINAS</v>
          </cell>
          <cell r="I5">
            <v>1304.31</v>
          </cell>
        </row>
        <row r="6">
          <cell r="E6" t="str">
            <v>CENTRO</v>
          </cell>
          <cell r="F6">
            <v>181896.29</v>
          </cell>
          <cell r="H6" t="str">
            <v>CENTRO</v>
          </cell>
          <cell r="I6">
            <v>6844.6999999999989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2016.5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100.09</v>
          </cell>
          <cell r="H8" t="str">
            <v>INTERLAGOS</v>
          </cell>
          <cell r="I8">
            <v>2353.0999999999995</v>
          </cell>
          <cell r="K8" t="str">
            <v>CENTRO</v>
          </cell>
          <cell r="N8">
            <v>34</v>
          </cell>
        </row>
        <row r="9">
          <cell r="E9" t="str">
            <v>INDAIATUBA</v>
          </cell>
          <cell r="F9">
            <v>36891.44000000001</v>
          </cell>
          <cell r="H9" t="str">
            <v>JUNDIAI</v>
          </cell>
          <cell r="I9">
            <v>781.7600000000001</v>
          </cell>
          <cell r="K9" t="str">
            <v>INDAIATUBA</v>
          </cell>
          <cell r="N9">
            <v>29</v>
          </cell>
        </row>
        <row r="10">
          <cell r="E10" t="str">
            <v>INTERLAGOS</v>
          </cell>
          <cell r="F10">
            <v>111316.87999999987</v>
          </cell>
          <cell r="H10" t="str">
            <v>KEY ABC</v>
          </cell>
          <cell r="I10">
            <v>13637.5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40012.410000000025</v>
          </cell>
          <cell r="H11" t="str">
            <v>KEY SP</v>
          </cell>
          <cell r="I11">
            <v>11566.400000000001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174575.71999999997</v>
          </cell>
          <cell r="H12" t="str">
            <v>KEY ZL</v>
          </cell>
          <cell r="I12">
            <v>3075.6</v>
          </cell>
          <cell r="K12" t="str">
            <v>LESTE PENHA</v>
          </cell>
          <cell r="N12">
            <v>16</v>
          </cell>
        </row>
        <row r="13">
          <cell r="E13" t="str">
            <v>KEY CASA</v>
          </cell>
          <cell r="F13">
            <v>161197.35999999999</v>
          </cell>
          <cell r="H13" t="str">
            <v>LESTE</v>
          </cell>
          <cell r="I13">
            <v>856.4</v>
          </cell>
          <cell r="K13" t="str">
            <v>LESTE TATUAPE</v>
          </cell>
          <cell r="N13">
            <v>23</v>
          </cell>
        </row>
        <row r="14">
          <cell r="E14" t="str">
            <v>KEY INTERIOR</v>
          </cell>
          <cell r="F14">
            <v>513142.70000000019</v>
          </cell>
          <cell r="H14" t="str">
            <v>LESTE MOOCA</v>
          </cell>
          <cell r="I14">
            <v>1293</v>
          </cell>
          <cell r="K14" t="str">
            <v>NORTE</v>
          </cell>
          <cell r="N14">
            <v>30</v>
          </cell>
        </row>
        <row r="15">
          <cell r="E15" t="str">
            <v>KEY PIRACICABA</v>
          </cell>
          <cell r="F15">
            <v>60082.260000000017</v>
          </cell>
          <cell r="H15" t="str">
            <v>LESTE PENHA</v>
          </cell>
          <cell r="I15">
            <v>996.34999999999991</v>
          </cell>
          <cell r="K15" t="str">
            <v>OSASCO</v>
          </cell>
          <cell r="N15">
            <v>45</v>
          </cell>
        </row>
        <row r="16">
          <cell r="E16" t="str">
            <v>KEY SJC</v>
          </cell>
          <cell r="F16">
            <v>36418.899999999994</v>
          </cell>
          <cell r="H16" t="str">
            <v>LESTE TATUAPE</v>
          </cell>
          <cell r="I16">
            <v>1434.75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181399.52000000014</v>
          </cell>
          <cell r="H17" t="str">
            <v>MOGI</v>
          </cell>
          <cell r="I17">
            <v>2197.6</v>
          </cell>
          <cell r="K17" t="str">
            <v>SANTO ANDRE</v>
          </cell>
          <cell r="N17">
            <v>21</v>
          </cell>
        </row>
        <row r="18">
          <cell r="E18" t="str">
            <v>KEY ZL</v>
          </cell>
          <cell r="F18">
            <v>206904.88</v>
          </cell>
          <cell r="H18" t="str">
            <v>NORTE</v>
          </cell>
          <cell r="I18">
            <v>9723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50153.310000000019</v>
          </cell>
          <cell r="H19" t="str">
            <v>OSASCO</v>
          </cell>
          <cell r="I19">
            <v>3754.1</v>
          </cell>
          <cell r="K19" t="str">
            <v>Total Geral</v>
          </cell>
          <cell r="N19">
            <v>285</v>
          </cell>
        </row>
        <row r="20">
          <cell r="E20" t="str">
            <v>LESTE MOOCA</v>
          </cell>
          <cell r="F20">
            <v>88647.899999999878</v>
          </cell>
          <cell r="H20" t="str">
            <v>PIRITUBA</v>
          </cell>
          <cell r="I20">
            <v>2872.3700000000003</v>
          </cell>
        </row>
        <row r="21">
          <cell r="E21" t="str">
            <v>LESTE PENHA</v>
          </cell>
          <cell r="F21">
            <v>65392.23</v>
          </cell>
          <cell r="H21" t="str">
            <v>SANTO ANDRE</v>
          </cell>
          <cell r="I21">
            <v>853.1</v>
          </cell>
        </row>
        <row r="22">
          <cell r="E22" t="str">
            <v>LESTE TATUAPE</v>
          </cell>
          <cell r="F22">
            <v>53035.3100000001</v>
          </cell>
          <cell r="H22" t="str">
            <v>SBC</v>
          </cell>
          <cell r="I22">
            <v>5748.5499999999984</v>
          </cell>
        </row>
        <row r="23">
          <cell r="E23" t="str">
            <v>MOGI</v>
          </cell>
          <cell r="F23">
            <v>30794.440000000057</v>
          </cell>
          <cell r="H23" t="str">
            <v>SJC</v>
          </cell>
          <cell r="I23">
            <v>1202.75</v>
          </cell>
        </row>
        <row r="24">
          <cell r="E24" t="str">
            <v>NORTE</v>
          </cell>
          <cell r="F24">
            <v>124836.28999999983</v>
          </cell>
          <cell r="H24" t="str">
            <v>SJC/VALE</v>
          </cell>
          <cell r="I24">
            <v>665.54</v>
          </cell>
        </row>
        <row r="25">
          <cell r="E25" t="str">
            <v>OSASCO</v>
          </cell>
          <cell r="F25">
            <v>165483.18</v>
          </cell>
          <cell r="H25" t="str">
            <v>VENDEDOR INTERNO 1</v>
          </cell>
          <cell r="I25">
            <v>1040.82</v>
          </cell>
        </row>
        <row r="26">
          <cell r="E26" t="str">
            <v>PIRITUBA</v>
          </cell>
          <cell r="F26">
            <v>68864.489999999962</v>
          </cell>
          <cell r="H26" t="str">
            <v>Total Geral</v>
          </cell>
          <cell r="I26">
            <v>74218.2</v>
          </cell>
        </row>
        <row r="27">
          <cell r="E27" t="str">
            <v>SANTO ANDRE</v>
          </cell>
          <cell r="F27">
            <v>77338.629999999946</v>
          </cell>
        </row>
        <row r="28">
          <cell r="E28" t="str">
            <v>SBC</v>
          </cell>
          <cell r="F28">
            <v>126422.29999999987</v>
          </cell>
        </row>
        <row r="29">
          <cell r="E29" t="str">
            <v>SJC</v>
          </cell>
          <cell r="F29">
            <v>44063.920000000042</v>
          </cell>
        </row>
        <row r="30">
          <cell r="E30" t="str">
            <v>SJC/VALE</v>
          </cell>
          <cell r="F30">
            <v>20737.710000000003</v>
          </cell>
        </row>
        <row r="31">
          <cell r="E31" t="str">
            <v>VENDEDOR INTERNO 1</v>
          </cell>
          <cell r="F31">
            <v>38431.760000000009</v>
          </cell>
        </row>
        <row r="32">
          <cell r="E32" t="str">
            <v>Total Geral</v>
          </cell>
          <cell r="F32">
            <v>2685899.6099999631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I14" sqref="I1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2624988.4099999992</v>
      </c>
      <c r="D5" s="2"/>
      <c r="E5" s="4"/>
      <c r="F5" s="4"/>
      <c r="G5" s="4"/>
      <c r="H5" s="4" t="s">
        <v>1</v>
      </c>
      <c r="I5" s="7">
        <f>SUM(J10:J27)</f>
        <v>45938.7</v>
      </c>
      <c r="J5" s="4"/>
      <c r="K5" s="4"/>
      <c r="L5" s="4"/>
      <c r="M5" s="4"/>
      <c r="N5" s="4" t="s">
        <v>1</v>
      </c>
      <c r="O5" s="7">
        <f>SUM(P11:P17)</f>
        <v>28279.5</v>
      </c>
      <c r="P5" s="4"/>
      <c r="Q5" s="4"/>
      <c r="R5" s="4"/>
      <c r="S5" s="4"/>
      <c r="T5" s="4" t="s">
        <v>1</v>
      </c>
      <c r="U5" s="4">
        <f>SUM(V10:V26)</f>
        <v>285</v>
      </c>
      <c r="V5" s="4"/>
      <c r="W5" s="4"/>
    </row>
    <row r="6" spans="1:23" x14ac:dyDescent="0.25">
      <c r="A6" s="4"/>
      <c r="B6" s="4" t="s">
        <v>2</v>
      </c>
      <c r="C6" s="2">
        <f>C4-C5</f>
        <v>2966511.5900000008</v>
      </c>
      <c r="D6" s="2"/>
      <c r="E6" s="4"/>
      <c r="F6" s="4"/>
      <c r="G6" s="4"/>
      <c r="H6" s="4" t="s">
        <v>2</v>
      </c>
      <c r="I6" s="7">
        <f>I4-I5</f>
        <v>104074.3</v>
      </c>
      <c r="J6" s="4"/>
      <c r="K6" s="4"/>
      <c r="L6" s="4"/>
      <c r="M6" s="4"/>
      <c r="N6" s="4" t="s">
        <v>2</v>
      </c>
      <c r="O6" s="7">
        <f>O4-O5</f>
        <v>-28279.5</v>
      </c>
      <c r="P6" s="4"/>
      <c r="Q6" s="4"/>
      <c r="R6" s="4"/>
      <c r="S6" s="4"/>
      <c r="T6" s="4" t="s">
        <v>2</v>
      </c>
      <c r="U6" s="4">
        <f>U4-U5</f>
        <v>473</v>
      </c>
      <c r="V6" s="4"/>
      <c r="W6" s="4"/>
    </row>
    <row r="7" spans="1:23" x14ac:dyDescent="0.25">
      <c r="A7" s="4"/>
      <c r="B7" s="4" t="s">
        <v>3</v>
      </c>
      <c r="C7" s="3">
        <f>1-(C6/C4)</f>
        <v>0.46946050433693987</v>
      </c>
      <c r="D7" s="2"/>
      <c r="E7" s="4"/>
      <c r="F7" s="4"/>
      <c r="G7" s="4"/>
      <c r="H7" s="4" t="s">
        <v>3</v>
      </c>
      <c r="I7" s="3">
        <f>1-(I6/I4)</f>
        <v>0.30623145994013845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0.37598944591029027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26930.750000000011</v>
      </c>
      <c r="E10" s="27">
        <f>Tabela13[[#This Row],[META A]]-Tabela13[[#This Row],[ATINGIDO]]</f>
        <v>37569.249999999985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3754.1</v>
      </c>
      <c r="K10" s="23">
        <f>Tabela5[[#This Row],[COMPROMISSO]]-Tabela5[[#This Row],[ATINGIDO]]</f>
        <v>13245.9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181896.29</v>
      </c>
      <c r="E11" s="24">
        <f>Tabela13[[#This Row],[META A]]-Tabela13[[#This Row],[ATINGIDO]]</f>
        <v>143103.71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9723</v>
      </c>
      <c r="K11" s="23">
        <f>Tabela5[[#This Row],[COMPROMISSO]]-Tabela5[[#This Row],[ATINGIDO]]</f>
        <v>2127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13637.5</v>
      </c>
      <c r="Q11" s="2">
        <f>O11-P11</f>
        <v>-13637.5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34</v>
      </c>
      <c r="W11" s="19">
        <f t="shared" ref="W11:W20" si="0">U11-V11</f>
        <v>18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100.09</v>
      </c>
      <c r="E12" s="27">
        <f>Tabela13[[#This Row],[META A]]-Tabela13[[#This Row],[ATINGIDO]]</f>
        <v>899.91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2872.3700000000003</v>
      </c>
      <c r="K12" s="23">
        <f>Tabela5[[#This Row],[COMPROMISSO]]-Tabela5[[#This Row],[ATINGIDO]]</f>
        <v>6127.6299999999992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29</v>
      </c>
      <c r="W12" s="19">
        <f t="shared" si="0"/>
        <v>12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36891.44000000001</v>
      </c>
      <c r="E13" s="24">
        <f>Tabela13[[#This Row],[META A]]-Tabela13[[#This Row],[ATINGIDO]]</f>
        <v>53108.55999999999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5748.5499999999984</v>
      </c>
      <c r="K13" s="23">
        <f>Tabela5[[#This Row],[COMPROMISSO]]-Tabela5[[#This Row],[ATINGIDO]]</f>
        <v>9251.4500000000007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3075.6</v>
      </c>
      <c r="Q13" s="2">
        <f t="shared" ref="Q13:Q17" si="1">O13-P13</f>
        <v>-3075.6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111316.87999999987</v>
      </c>
      <c r="E14" s="27">
        <f>Tabela13[[#This Row],[META A]]-Tabela13[[#This Row],[ATINGIDO]]</f>
        <v>161683.12000000011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1434.75</v>
      </c>
      <c r="K14" s="23">
        <f>Tabela5[[#This Row],[COMPROMISSO]]-Tabela5[[#This Row],[ATINGIDO]]</f>
        <v>3889.25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40012.410000000025</v>
      </c>
      <c r="E15" s="24">
        <f>Tabela13[[#This Row],[META A]]-Tabela13[[#This Row],[ATINGIDO]]</f>
        <v>37987.589999999975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6844.6999999999989</v>
      </c>
      <c r="K15" s="23">
        <f>Tabela5[[#This Row],[COMPROMISSO]]-Tabela5[[#This Row],[ATINGIDO]]</f>
        <v>9155.3000000000011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11566.400000000001</v>
      </c>
      <c r="Q15" s="2">
        <f t="shared" si="1"/>
        <v>-11566.400000000001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174575.71999999997</v>
      </c>
      <c r="E16" s="27">
        <f>Tabela13[[#This Row],[META A]]-Tabela13[[#This Row],[ATINGIDO]]</f>
        <v>150424.28000000003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853.1</v>
      </c>
      <c r="K16" s="23">
        <f>Tabela5[[#This Row],[COMPROMISSO]]-Tabela5[[#This Row],[ATINGIDO]]</f>
        <v>11956.9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161197.35999999999</v>
      </c>
      <c r="E17" s="24">
        <f>Tabela13[[#This Row],[META A]]-Tabela13[[#This Row],[ATINGIDO]]</f>
        <v>8802.640000000014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2197.6</v>
      </c>
      <c r="K17" s="23">
        <f>Tabela5[[#This Row],[COMPROMISSO]]-Tabela5[[#This Row],[ATINGIDO]]</f>
        <v>946.40000000000009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856.4</v>
      </c>
      <c r="K18" s="23">
        <f>Tabela5[[#This Row],[COMPROMISSO]]-Tabela5[[#This Row],[ATINGIDO]]</f>
        <v>5359.6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30</v>
      </c>
      <c r="W18" s="19">
        <f t="shared" si="0"/>
        <v>15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36418.899999999994</v>
      </c>
      <c r="E19" s="24">
        <f>Tabela13[[#This Row],[META A]]-Tabela13[[#This Row],[ATINGIDO]]</f>
        <v>93581.1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1293</v>
      </c>
      <c r="K19" s="23">
        <f>Tabela5[[#This Row],[COMPROMISSO]]-Tabela5[[#This Row],[ATINGIDO]]</f>
        <v>9577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45</v>
      </c>
      <c r="W19" s="19">
        <f t="shared" si="0"/>
        <v>16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181399.52000000014</v>
      </c>
      <c r="E20" s="27">
        <f>Tabela13[[#This Row],[META A]]-Tabela13[[#This Row],[ATINGIDO]]</f>
        <v>378600.47999999986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2353.0999999999995</v>
      </c>
      <c r="K20" s="23">
        <f>Tabela5[[#This Row],[COMPROMISSO]]-Tabela5[[#This Row],[ATINGIDO]]</f>
        <v>10646.900000000001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16</v>
      </c>
      <c r="W20" s="19">
        <f t="shared" si="0"/>
        <v>23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206904.88</v>
      </c>
      <c r="E21" s="24">
        <f>Tabela13[[#This Row],[META A]]-Tabela13[[#This Row],[ATINGIDO]]</f>
        <v>208095.12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781.7600000000001</v>
      </c>
      <c r="K21" s="23">
        <f>Tabela5[[#This Row],[COMPROMISSO]]-Tabela5[[#This Row],[ATINGIDO]]</f>
        <v>4238.24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50153.310000000019</v>
      </c>
      <c r="E22" s="27">
        <f>Tabela13[[#This Row],[META A]]-Tabela13[[#This Row],[ATINGIDO]]</f>
        <v>71846.689999999973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996.34999999999991</v>
      </c>
      <c r="K22" s="23">
        <f>Tabela5[[#This Row],[COMPROMISSO]]-Tabela5[[#This Row],[ATINGIDO]]</f>
        <v>7107.65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520408.39000000031</v>
      </c>
      <c r="Q22" s="7">
        <f>O22-P22</f>
        <v>-24953.844545454835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21</v>
      </c>
      <c r="W22" s="19">
        <f t="shared" si="2"/>
        <v>19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88647.899999999878</v>
      </c>
      <c r="E23" s="24">
        <f>Tabela13[[#This Row],[META A]]-Tabela13[[#This Row],[ATINGIDO]]</f>
        <v>106352.10000000012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2016.5</v>
      </c>
      <c r="K23" s="23">
        <f>Tabela5[[#This Row],[COMPROMISSO]]-Tabela5[[#This Row],[ATINGIDO]]</f>
        <v>3238.5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486595.86999999976</v>
      </c>
      <c r="Q23" s="7">
        <f>O23-P23</f>
        <v>132722.31181818212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65392.23</v>
      </c>
      <c r="E24" s="27">
        <f>Tabela13[[#This Row],[META A]]-Tabela13[[#This Row],[ATINGIDO]]</f>
        <v>74607.76999999999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1040.82</v>
      </c>
      <c r="K24" s="23">
        <f>Tabela5[[#This Row],[COMPROMISSO]]-Tabela5[[#This Row],[ATINGIDO]]</f>
        <v>2069.1800000000003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53035.3100000001</v>
      </c>
      <c r="E25" s="24">
        <f>Tabela13[[#This Row],[META A]]-Tabela13[[#This Row],[ATINGIDO]]</f>
        <v>89464.6899999999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1202.75</v>
      </c>
      <c r="K25" s="23">
        <f>Tabela5[[#This Row],[COMPROMISSO]]-Tabela5[[#This Row],[ATINGIDO]]</f>
        <v>2367.25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23</v>
      </c>
      <c r="W25" s="19">
        <f t="shared" si="2"/>
        <v>28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30794.440000000057</v>
      </c>
      <c r="E26" s="27">
        <f>Tabela13[[#This Row],[META A]]-Tabela13[[#This Row],[ATINGIDO]]</f>
        <v>59205.559999999939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665.54</v>
      </c>
      <c r="K26" s="23">
        <f>Tabela5[[#This Row],[COMPROMISSO]]-Tabela5[[#This Row],[ATINGIDO]]</f>
        <v>1776.46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124836.28999999983</v>
      </c>
      <c r="E27" s="24">
        <f>Tabela13[[#This Row],[META A]]-Tabela13[[#This Row],[ATINGIDO]]</f>
        <v>112663.71000000017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1304.31</v>
      </c>
      <c r="K27" s="23">
        <f>Tabela5[[#This Row],[COMPROMISSO]]-Tabela5[[#This Row],[ATINGIDO]]</f>
        <v>993.69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165483.18</v>
      </c>
      <c r="E28" s="27">
        <f>Tabela13[[#This Row],[META A]]-Tabela13[[#This Row],[ATINGIDO]]</f>
        <v>153016.82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0</v>
      </c>
      <c r="E29" s="24">
        <f>Tabela13[[#This Row],[META A]]-Tabela13[[#This Row],[ATINGIDO]]</f>
        <v>175000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68864.489999999962</v>
      </c>
      <c r="E30" s="27">
        <f>Tabela13[[#This Row],[META A]]-Tabela13[[#This Row],[ATINGIDO]]</f>
        <v>65635.510000000038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77338.629999999946</v>
      </c>
      <c r="E31" s="24">
        <f>Tabela13[[#This Row],[META A]]-Tabela13[[#This Row],[ATINGIDO]]</f>
        <v>89661.370000000054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256807.39999999982</v>
      </c>
      <c r="K31" s="7">
        <f>I31-J31</f>
        <v>133942.60000000018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126422.29999999987</v>
      </c>
      <c r="E32" s="27">
        <f>Tabela13[[#This Row],[META A]]-Tabela13[[#This Row],[ATINGIDO]]</f>
        <v>133577.70000000013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501987.34000000299</v>
      </c>
      <c r="K32" s="7">
        <f t="shared" ref="K32:K34" si="4">I32-J32</f>
        <v>19012.659999997006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145</v>
      </c>
      <c r="W32" s="6">
        <f t="shared" si="3"/>
        <v>27.272727272727252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44063.920000000042</v>
      </c>
      <c r="E33" s="24">
        <f>Tabela13[[#This Row],[META A]]-Tabela13[[#This Row],[ATINGIDO]]</f>
        <v>55936.079999999958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503806.60000000341</v>
      </c>
      <c r="K33" s="7">
        <f t="shared" si="4"/>
        <v>147443.39999999659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20737.710000000003</v>
      </c>
      <c r="E34" s="27">
        <f>Tabela13[[#This Row],[META A]]-Tabela13[[#This Row],[ATINGIDO]]</f>
        <v>34262.289999999994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38431.760000000009</v>
      </c>
      <c r="E35" s="24">
        <f>Tabela13[[#This Row],[META A]]-Tabela13[[#This Row],[ATINGIDO]]</f>
        <v>34568.239999999991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545873.70000000158</v>
      </c>
      <c r="E39" s="7">
        <f>C39-D39</f>
        <v>-155123.70000000158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1104662.189999996</v>
      </c>
      <c r="E40" s="7">
        <f t="shared" ref="E40:E42" si="5">C40-D40</f>
        <v>-583662.18999999599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1035363.7200000017</v>
      </c>
      <c r="E41" s="7">
        <f t="shared" si="5"/>
        <v>-384113.72000000172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2026-07-16T13:52:52Z</dcterms:modified>
</cp:coreProperties>
</file>