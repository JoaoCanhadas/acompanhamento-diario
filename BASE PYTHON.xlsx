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41D3ECA-2D17-4FF9-BEAA-6C9210CA898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1" i="2"/>
  <c r="V34" i="2"/>
  <c r="V32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1" i="2"/>
  <c r="J32" i="2"/>
  <c r="P24" i="2"/>
  <c r="J35" i="2"/>
  <c r="D43" i="2"/>
  <c r="D42" i="2"/>
  <c r="P21" i="2"/>
  <c r="P25" i="2"/>
  <c r="D41" i="2"/>
  <c r="J34" i="2"/>
  <c r="P23" i="2"/>
  <c r="J33" i="2"/>
  <c r="P22" i="2"/>
  <c r="D40" i="2"/>
  <c r="D4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<sst xmlns="http://schemas.openxmlformats.org/spreadsheetml/2006/main" count="215" uniqueCount="54">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</sst>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44701.00999999998</v>
          </cell>
          <cell r="H5" t="str">
            <v>CAMPINAS</v>
          </cell>
          <cell r="I5">
            <v>2167.1999999999998</v>
          </cell>
        </row>
        <row r="6">
          <cell r="E6" t="str">
            <v>CENTRO</v>
          </cell>
          <cell r="F6">
            <v>289021.59999999939</v>
          </cell>
          <cell r="H6" t="str">
            <v>CENTRO</v>
          </cell>
          <cell r="I6">
            <v>10535.620000000003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3284.2900000000004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INTERLAGOS</v>
          </cell>
          <cell r="I8">
            <v>8743.57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56623.509999999995</v>
          </cell>
          <cell r="H9" t="str">
            <v>JUNDIAI</v>
          </cell>
          <cell r="I9">
            <v>4273</v>
          </cell>
          <cell r="K9" t="str">
            <v>CENTRO</v>
          </cell>
          <cell r="N9">
            <v>48</v>
          </cell>
        </row>
        <row r="10">
          <cell r="E10" t="str">
            <v>INTERLAGOS</v>
          </cell>
          <cell r="F10">
            <v>202958.35999999984</v>
          </cell>
          <cell r="H10" t="str">
            <v>KEY CASA</v>
          </cell>
          <cell r="I10">
            <v>5039.8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60329.600000000086</v>
          </cell>
          <cell r="H11" t="str">
            <v>KEY INTERIOR</v>
          </cell>
          <cell r="I11">
            <v>8959.8000000000011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260656.61999999994</v>
          </cell>
          <cell r="H12" t="str">
            <v>LESTE</v>
          </cell>
          <cell r="I12">
            <v>6331.1000000000013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271633.08000000071</v>
          </cell>
          <cell r="H13" t="str">
            <v>LESTE MOOCA</v>
          </cell>
          <cell r="I13">
            <v>6873.2999999999993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860353.2000000003</v>
          </cell>
          <cell r="H14" t="str">
            <v>LESTE PENHA</v>
          </cell>
          <cell r="I14">
            <v>5633.5499999999993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105736.07999999997</v>
          </cell>
          <cell r="H15" t="str">
            <v>LESTE TATUAPE</v>
          </cell>
          <cell r="I15">
            <v>2747.48</v>
          </cell>
          <cell r="K15" t="str">
            <v>LESTE PENHA</v>
          </cell>
          <cell r="N15">
            <v>29</v>
          </cell>
        </row>
        <row r="16">
          <cell r="E16" t="str">
            <v>KEY SJC</v>
          </cell>
          <cell r="F16">
            <v>127140.10000000006</v>
          </cell>
          <cell r="H16" t="str">
            <v>MOGI</v>
          </cell>
          <cell r="I16">
            <v>2579.3600000000006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279492.74</v>
          </cell>
          <cell r="H17" t="str">
            <v>NORTE</v>
          </cell>
          <cell r="I17">
            <v>808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317008.29999999993</v>
          </cell>
          <cell r="H18" t="str">
            <v>OSASCO</v>
          </cell>
          <cell r="I18">
            <v>9307.83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84116.579999999944</v>
          </cell>
          <cell r="H19" t="str">
            <v>PIRITUBA</v>
          </cell>
          <cell r="I19">
            <v>1227.2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152323.40499999953</v>
          </cell>
          <cell r="H20" t="str">
            <v>SANTO ANDRE</v>
          </cell>
          <cell r="I20">
            <v>4882.75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104517.12999999998</v>
          </cell>
          <cell r="H21" t="str">
            <v>SBC</v>
          </cell>
          <cell r="I21">
            <v>277.7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93765.609999999739</v>
          </cell>
          <cell r="H22" t="str">
            <v>SJC</v>
          </cell>
          <cell r="I22">
            <v>7505.3599999999988</v>
          </cell>
          <cell r="K22" t="str">
            <v>SBC</v>
          </cell>
          <cell r="N22">
            <v>38</v>
          </cell>
        </row>
        <row r="23">
          <cell r="E23" t="str">
            <v>MOGI</v>
          </cell>
          <cell r="F23">
            <v>56090.370000000141</v>
          </cell>
          <cell r="H23" t="str">
            <v>SJC/VALE</v>
          </cell>
          <cell r="I23">
            <v>1119.3700000000001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183718.05999999959</v>
          </cell>
          <cell r="H24" t="str">
            <v>VENDEDOR INTERNO 1</v>
          </cell>
          <cell r="I24">
            <v>5952.3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259265.73999999935</v>
          </cell>
          <cell r="H25" t="str">
            <v>Total Geral</v>
          </cell>
          <cell r="I25">
            <v>98248.579999999987</v>
          </cell>
          <cell r="K25" t="str">
            <v>Total Geral</v>
          </cell>
          <cell r="N25">
            <v>629</v>
          </cell>
        </row>
        <row r="26">
          <cell r="E26" t="str">
            <v>PIRITUBA</v>
          </cell>
          <cell r="F26">
            <v>103180.94999999991</v>
          </cell>
        </row>
        <row r="27">
          <cell r="E27" t="str">
            <v>SANTO ANDRE</v>
          </cell>
          <cell r="F27">
            <v>129070.26999999997</v>
          </cell>
        </row>
        <row r="28">
          <cell r="E28" t="str">
            <v>SBC</v>
          </cell>
          <cell r="F28">
            <v>188039.65999999977</v>
          </cell>
        </row>
        <row r="29">
          <cell r="E29" t="str">
            <v>SJC</v>
          </cell>
          <cell r="F29">
            <v>69683.190000000075</v>
          </cell>
        </row>
        <row r="30">
          <cell r="E30" t="str">
            <v>SJC/VALE</v>
          </cell>
          <cell r="F30">
            <v>34673.810000000019</v>
          </cell>
        </row>
        <row r="31">
          <cell r="E31" t="str">
            <v>VENDEDOR INTERNO 1</v>
          </cell>
          <cell r="F31">
            <v>63280.780000000013</v>
          </cell>
        </row>
        <row r="32">
          <cell r="E32" t="str">
            <v>Total Geral</v>
          </cell>
          <cell r="F32">
            <v>4398629.0749999415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4398629.0749999983</v>
      </c>
      <c r="D5" s="2"/>
      <c r="E5" s="4"/>
      <c r="F5" s="4"/>
      <c r="G5" s="4"/>
      <c r="H5" s="4" t="s">
        <v>1</v>
      </c>
      <c r="I5" s="7">
        <f>SUM(J10:J27)</f>
        <v>84248.979999999981</v>
      </c>
      <c r="J5" s="4"/>
      <c r="K5" s="4"/>
      <c r="L5" s="4"/>
      <c r="M5" s="4"/>
      <c r="N5" s="4" t="s">
        <v>1</v>
      </c>
      <c r="O5" s="7">
        <f>SUM(P11:P17)</f>
        <v>13999.600000000002</v>
      </c>
      <c r="P5" s="4"/>
      <c r="Q5" s="4"/>
      <c r="R5" s="4"/>
      <c r="S5" s="4"/>
      <c r="T5" s="4" t="s">
        <v>1</v>
      </c>
      <c r="U5" s="4">
        <f>SUM(V10:V26)</f>
        <v>629</v>
      </c>
      <c r="V5" s="4"/>
      <c r="W5" s="4"/>
    </row>
    <row r="6" spans="1:23" x14ac:dyDescent="0.25">
      <c r="A6" s="4"/>
      <c r="B6" s="4" t="s">
        <v>2</v>
      </c>
      <c r="C6" s="2">
        <f>C4-C5</f>
        <v>1193870.9250000017</v>
      </c>
      <c r="D6" s="2"/>
      <c r="E6" s="4"/>
      <c r="F6" s="4"/>
      <c r="G6" s="4"/>
      <c r="H6" s="4" t="s">
        <v>2</v>
      </c>
      <c r="I6" s="7">
        <f>I4-I5</f>
        <v>215751.02000000002</v>
      </c>
      <c r="J6" s="4"/>
      <c r="K6" s="4"/>
      <c r="L6" s="4"/>
      <c r="M6" s="4"/>
      <c r="N6" s="4" t="s">
        <v>2</v>
      </c>
      <c r="O6" s="7">
        <f>O4-O5</f>
        <v>-13999.600000000002</v>
      </c>
      <c r="P6" s="4"/>
      <c r="Q6" s="4"/>
      <c r="R6" s="4"/>
      <c r="S6" s="4"/>
      <c r="T6" s="4" t="s">
        <v>2</v>
      </c>
      <c r="U6" s="4">
        <f>U4-U5</f>
        <v>129</v>
      </c>
      <c r="V6" s="4"/>
      <c r="W6" s="4"/>
    </row>
    <row r="7" spans="1:23" x14ac:dyDescent="0.25">
      <c r="A7" s="4"/>
      <c r="B7" s="4" t="s">
        <v>3</v>
      </c>
      <c r="C7" s="3">
        <f>1-(C6/C4)</f>
        <v>0.78652285650424647</v>
      </c>
      <c r="D7" s="2"/>
      <c r="E7" s="4"/>
      <c r="F7" s="4"/>
      <c r="G7" s="4"/>
      <c r="H7" s="4" t="s">
        <v>3</v>
      </c>
      <c r="I7" s="3">
        <f>1-(I6/I4)</f>
        <v>0.28082993333333328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0.82981530343007914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44701.00999999998</v>
      </c>
      <c r="E10" s="27">
        <f>Tabela13[[#This Row],[META A]]-Tabela13[[#This Row],[ATINGIDO]]</f>
        <v>19798.99000000002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28600</v>
      </c>
      <c r="J10" s="22">
        <f>_xlfn.XLOOKUP(Tabela5[[#This Row],[VENDEDOR]],'[1]BASE PYTHON'!$H:$H,'[1]BASE PYTHON'!$I:$I,0)</f>
        <v>9307.83</v>
      </c>
      <c r="K10" s="23">
        <f>Tabela5[[#This Row],[COMPROMISSO]]-Tabela5[[#This Row],[ATINGIDO]]</f>
        <v>19292.169999999998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289021.59999999939</v>
      </c>
      <c r="E11" s="24">
        <f>Tabela13[[#This Row],[META A]]-Tabela13[[#This Row],[ATINGIDO]]</f>
        <v>35978.400000000605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25380</v>
      </c>
      <c r="J11" s="22">
        <f>_xlfn.XLOOKUP(Tabela5[[#This Row],[VENDEDOR]],'[1]BASE PYTHON'!$H:$H,'[1]BASE PYTHON'!$I:$I,0)</f>
        <v>808</v>
      </c>
      <c r="K11" s="23">
        <f>Tabela5[[#This Row],[COMPROMISSO]]-Tabela5[[#This Row],[ATINGIDO]]</f>
        <v>24572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48</v>
      </c>
      <c r="W11" s="19">
        <f t="shared" ref="W11:W20" si="0">U11-V11</f>
        <v>4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13570</v>
      </c>
      <c r="J12" s="22">
        <f>_xlfn.XLOOKUP(Tabela5[[#This Row],[VENDEDOR]],'[1]BASE PYTHON'!$H:$H,'[1]BASE PYTHON'!$I:$I,0)</f>
        <v>1227.2</v>
      </c>
      <c r="K12" s="23">
        <f>Tabela5[[#This Row],[COMPROMISSO]]-Tabela5[[#This Row],[ATINGIDO]]</f>
        <v>12342.8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56623.509999999995</v>
      </c>
      <c r="E13" s="24">
        <f>Tabela13[[#This Row],[META A]]-Tabela13[[#This Row],[ATINGIDO]]</f>
        <v>33376.490000000005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25160</v>
      </c>
      <c r="J13" s="22">
        <f>_xlfn.XLOOKUP(Tabela5[[#This Row],[VENDEDOR]],'[1]BASE PYTHON'!$H:$H,'[1]BASE PYTHON'!$I:$I,0)</f>
        <v>277.7</v>
      </c>
      <c r="K13" s="23">
        <f>Tabela5[[#This Row],[COMPROMISSO]]-Tabela5[[#This Row],[ATINGIDO]]</f>
        <v>24882.3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202958.35999999984</v>
      </c>
      <c r="E14" s="27">
        <f>Tabela13[[#This Row],[META A]]-Tabela13[[#This Row],[ATINGIDO]]</f>
        <v>70041.640000000159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21160</v>
      </c>
      <c r="J14" s="22">
        <f>_xlfn.XLOOKUP(Tabela5[[#This Row],[VENDEDOR]],'[1]BASE PYTHON'!$H:$H,'[1]BASE PYTHON'!$I:$I,0)</f>
        <v>2747.48</v>
      </c>
      <c r="K14" s="23">
        <f>Tabela5[[#This Row],[COMPROMISSO]]-Tabela5[[#This Row],[ATINGIDO]]</f>
        <v>18412.52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8959.8000000000011</v>
      </c>
      <c r="Q14" s="2">
        <f t="shared" si="1"/>
        <v>-8959.8000000000011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60329.600000000086</v>
      </c>
      <c r="E15" s="24">
        <f>Tabela13[[#This Row],[META A]]-Tabela13[[#This Row],[ATINGIDO]]</f>
        <v>17670.399999999914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26910</v>
      </c>
      <c r="J15" s="22">
        <f>_xlfn.XLOOKUP(Tabela5[[#This Row],[VENDEDOR]],'[1]BASE PYTHON'!$H:$H,'[1]BASE PYTHON'!$I:$I,0)</f>
        <v>10535.620000000003</v>
      </c>
      <c r="K15" s="23">
        <f>Tabela5[[#This Row],[COMPROMISSO]]-Tabela5[[#This Row],[ATINGIDO]]</f>
        <v>16374.379999999997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260656.61999999994</v>
      </c>
      <c r="E16" s="27">
        <f>Tabela13[[#This Row],[META A]]-Tabela13[[#This Row],[ATINGIDO]]</f>
        <v>64343.380000000063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16510</v>
      </c>
      <c r="J16" s="22">
        <f>_xlfn.XLOOKUP(Tabela5[[#This Row],[VENDEDOR]],'[1]BASE PYTHON'!$H:$H,'[1]BASE PYTHON'!$I:$I,0)</f>
        <v>4882.75</v>
      </c>
      <c r="K16" s="23">
        <f>Tabela5[[#This Row],[COMPROMISSO]]-Tabela5[[#This Row],[ATINGIDO]]</f>
        <v>11627.25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271633.08000000071</v>
      </c>
      <c r="E17" s="24">
        <f>Tabela13[[#This Row],[META A]]-Tabela13[[#This Row],[ATINGIDO]]</f>
        <v>-101633.08000000071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7700</v>
      </c>
      <c r="J17" s="22">
        <f>_xlfn.XLOOKUP(Tabela5[[#This Row],[VENDEDOR]],'[1]BASE PYTHON'!$H:$H,'[1]BASE PYTHON'!$I:$I,0)</f>
        <v>2579.3600000000006</v>
      </c>
      <c r="K17" s="23">
        <f>Tabela5[[#This Row],[COMPROMISSO]]-Tabela5[[#This Row],[ATINGIDO]]</f>
        <v>5120.6399999999994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5039.8</v>
      </c>
      <c r="Q17" s="2">
        <f t="shared" si="1"/>
        <v>-5039.8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860353.2000000003</v>
      </c>
      <c r="E18" s="27">
        <f>Tabela13[[#This Row],[META A]]-Tabela13[[#This Row],[ATINGIDO]]</f>
        <v>89646.799999999697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15000</v>
      </c>
      <c r="J18" s="22">
        <f>_xlfn.XLOOKUP(Tabela5[[#This Row],[VENDEDOR]],'[1]BASE PYTHON'!$H:$H,'[1]BASE PYTHON'!$I:$I,0)</f>
        <v>6331.1000000000013</v>
      </c>
      <c r="K18" s="23">
        <f>Tabela5[[#This Row],[COMPROMISSO]]-Tabela5[[#This Row],[ATINGIDO]]</f>
        <v>8668.8999999999978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17000</v>
      </c>
      <c r="J19" s="22">
        <f>_xlfn.XLOOKUP(Tabela5[[#This Row],[VENDEDOR]],'[1]BASE PYTHON'!$H:$H,'[1]BASE PYTHON'!$I:$I,0)</f>
        <v>6873.2999999999993</v>
      </c>
      <c r="K19" s="23">
        <f>Tabela5[[#This Row],[COMPROMISSO]]-Tabela5[[#This Row],[ATINGIDO]]</f>
        <v>10126.700000000001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279492.74</v>
      </c>
      <c r="E20" s="27">
        <f>Tabela13[[#This Row],[META A]]-Tabela13[[#This Row],[ATINGIDO]]</f>
        <v>280507.26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21560</v>
      </c>
      <c r="J20" s="22">
        <f>_xlfn.XLOOKUP(Tabela5[[#This Row],[VENDEDOR]],'[1]BASE PYTHON'!$H:$H,'[1]BASE PYTHON'!$I:$I,0)</f>
        <v>8743.57</v>
      </c>
      <c r="K20" s="23">
        <f>Tabela5[[#This Row],[COMPROMISSO]]-Tabela5[[#This Row],[ATINGIDO]]</f>
        <v>12816.43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29</v>
      </c>
      <c r="W20" s="19">
        <f t="shared" si="0"/>
        <v>10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317008.29999999993</v>
      </c>
      <c r="E21" s="24">
        <f>Tabela13[[#This Row],[META A]]-Tabela13[[#This Row],[ATINGIDO]]</f>
        <v>97991.70000000007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9040</v>
      </c>
      <c r="J21" s="22">
        <f>_xlfn.XLOOKUP(Tabela5[[#This Row],[VENDEDOR]],'[1]BASE PYTHON'!$H:$H,'[1]BASE PYTHON'!$I:$I,0)</f>
        <v>4273</v>
      </c>
      <c r="K21" s="23">
        <f>Tabela5[[#This Row],[COMPROMISSO]]-Tabela5[[#This Row],[ATINGIDO]]</f>
        <v>4767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84116.579999999944</v>
      </c>
      <c r="E22" s="27">
        <f>Tabela13[[#This Row],[META A]]-Tabela13[[#This Row],[ATINGIDO]]</f>
        <v>37883.420000000056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16330</v>
      </c>
      <c r="J22" s="22">
        <f>_xlfn.XLOOKUP(Tabela5[[#This Row],[VENDEDOR]],'[1]BASE PYTHON'!$H:$H,'[1]BASE PYTHON'!$I:$I,0)</f>
        <v>5633.5499999999993</v>
      </c>
      <c r="K22" s="23">
        <f>Tabela5[[#This Row],[COMPROMISSO]]-Tabela5[[#This Row],[ATINGIDO]]</f>
        <v>10696.45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152323.40499999953</v>
      </c>
      <c r="E23" s="24">
        <f>Tabela13[[#This Row],[META A]]-Tabela13[[#This Row],[ATINGIDO]]</f>
        <v>42676.595000000467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14210</v>
      </c>
      <c r="J23" s="22">
        <f>_xlfn.XLOOKUP(Tabela5[[#This Row],[VENDEDOR]],'[1]BASE PYTHON'!$H:$H,'[1]BASE PYTHON'!$I:$I,0)</f>
        <v>3284.2900000000004</v>
      </c>
      <c r="K23" s="23">
        <f>Tabela5[[#This Row],[COMPROMISSO]]-Tabela5[[#This Row],[ATINGIDO]]</f>
        <v>10925.71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38</v>
      </c>
      <c r="W23" s="19">
        <f t="shared" si="2"/>
        <v>17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104517.12999999998</v>
      </c>
      <c r="E24" s="27">
        <f>Tabela13[[#This Row],[META A]]-Tabela13[[#This Row],[ATINGIDO]]</f>
        <v>35482.870000000024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13000</v>
      </c>
      <c r="J24" s="22">
        <f>_xlfn.XLOOKUP(Tabela5[[#This Row],[VENDEDOR]],'[1]BASE PYTHON'!$H:$H,'[1]BASE PYTHON'!$I:$I,0)</f>
        <v>5952.3</v>
      </c>
      <c r="K24" s="23">
        <f>Tabela5[[#This Row],[COMPROMISSO]]-Tabela5[[#This Row],[ATINGIDO]]</f>
        <v>7047.7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684913.79999999981</v>
      </c>
      <c r="Q24" s="7">
        <f>O24-P24</f>
        <v>-65595.618181817932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93765.609999999739</v>
      </c>
      <c r="E25" s="24">
        <f>Tabela13[[#This Row],[META A]]-Tabela13[[#This Row],[ATINGIDO]]</f>
        <v>48734.390000000261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13630</v>
      </c>
      <c r="J25" s="22">
        <f>_xlfn.XLOOKUP(Tabela5[[#This Row],[VENDEDOR]],'[1]BASE PYTHON'!$H:$H,'[1]BASE PYTHON'!$I:$I,0)</f>
        <v>7505.3599999999988</v>
      </c>
      <c r="K25" s="23">
        <f>Tabela5[[#This Row],[COMPROMISSO]]-Tabela5[[#This Row],[ATINGIDO]]</f>
        <v>6124.6400000000012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13999.6</v>
      </c>
      <c r="Q25" s="7">
        <f>O25-P25</f>
        <v>605318.5818181819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56090.370000000141</v>
      </c>
      <c r="E26" s="27">
        <f>Tabela13[[#This Row],[META A]]-Tabela13[[#This Row],[ATINGIDO]]</f>
        <v>33909.629999999859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7010</v>
      </c>
      <c r="J26" s="22">
        <f>_xlfn.XLOOKUP(Tabela5[[#This Row],[VENDEDOR]],'[1]BASE PYTHON'!$H:$H,'[1]BASE PYTHON'!$I:$I,0)</f>
        <v>1119.3700000000001</v>
      </c>
      <c r="K26" s="23">
        <f>Tabela5[[#This Row],[COMPROMISSO]]-Tabela5[[#This Row],[ATINGIDO]]</f>
        <v>5890.63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183718.05999999959</v>
      </c>
      <c r="E27" s="24">
        <f>Tabela13[[#This Row],[META A]]-Tabela13[[#This Row],[ATINGIDO]]</f>
        <v>53781.94000000041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8230</v>
      </c>
      <c r="J27" s="22">
        <f>_xlfn.XLOOKUP(Tabela5[[#This Row],[VENDEDOR]],'[1]BASE PYTHON'!$H:$H,'[1]BASE PYTHON'!$I:$I,0)</f>
        <v>2167.1999999999998</v>
      </c>
      <c r="K27" s="23">
        <f>Tabela5[[#This Row],[COMPROMISSO]]-Tabela5[[#This Row],[ATINGIDO]]</f>
        <v>6062.8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259265.73999999935</v>
      </c>
      <c r="E28" s="27">
        <f>Tabela13[[#This Row],[META A]]-Tabela13[[#This Row],[ATINGIDO]]</f>
        <v>59234.26000000065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103180.94999999991</v>
      </c>
      <c r="E30" s="27">
        <f>Tabela13[[#This Row],[META A]]-Tabela13[[#This Row],[ATINGIDO]]</f>
        <v>31319.05000000009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129070.26999999997</v>
      </c>
      <c r="E31" s="24">
        <f>Tabela13[[#This Row],[META A]]-Tabela13[[#This Row],[ATINGIDO]]</f>
        <v>37929.730000000025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188039.65999999977</v>
      </c>
      <c r="E32" s="27">
        <f>Tabela13[[#This Row],[META A]]-Tabela13[[#This Row],[ATINGIDO]]</f>
        <v>71960.340000000229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69683.190000000075</v>
      </c>
      <c r="E33" s="24">
        <f>Tabela13[[#This Row],[META A]]-Tabela13[[#This Row],[ATINGIDO]]</f>
        <v>30316.809999999925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34673.810000000019</v>
      </c>
      <c r="E34" s="27">
        <f>Tabela13[[#This Row],[META A]]-Tabela13[[#This Row],[ATINGIDO]]</f>
        <v>20326.189999999981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36</v>
      </c>
      <c r="W34" s="6">
        <f>U34-V34</f>
        <v>136.27272727272725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63280.780000000013</v>
      </c>
      <c r="E35" s="24">
        <f>Tabela13[[#This Row],[META A]]-Tabela13[[#This Row],[ATINGIDO]]</f>
        <v>9719.2199999999866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84248.980000000025</v>
      </c>
      <c r="K35" s="7">
        <f>I35-J35</f>
        <v>567001.02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1384150.9299999916</v>
      </c>
      <c r="E42" s="7">
        <f t="shared" si="5"/>
        <v>-113355.47545453697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1266985.5749999946</v>
      </c>
      <c r="E43" s="7">
        <f t="shared" si="5"/>
        <v>3809.8795454599895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98248.579999999973</v>
      </c>
      <c r="E44" s="7">
        <f t="shared" ref="E44" si="6">C44-D44</f>
        <v>1172546.8745454545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2026-07-27T13:38:18Z</dcterms:modified>
</cp:coreProperties>
</file>