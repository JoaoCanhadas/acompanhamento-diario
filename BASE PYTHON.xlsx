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3F53383-7349-4D53-98DA-D050322DA3C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0" i="2"/>
  <c r="V34" i="2"/>
  <c r="V33" i="2"/>
  <c r="V31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0" i="2"/>
  <c r="J31" i="2"/>
  <c r="D43" i="2"/>
  <c r="P23" i="2"/>
  <c r="P25" i="2"/>
  <c r="J34" i="2"/>
  <c r="D41" i="2"/>
  <c r="P24" i="2"/>
  <c r="J33" i="2"/>
  <c r="P21" i="2"/>
  <c r="D44" i="2"/>
  <c r="J35" i="2"/>
  <c r="J32" i="2"/>
  <c r="P22" i="2"/>
  <c r="D4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<sst xmlns="http://schemas.openxmlformats.org/spreadsheetml/2006/main" count="215" uniqueCount="54">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</sst>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42191.789999999979</v>
          </cell>
          <cell r="H5" t="str">
            <v>CAMPINAS</v>
          </cell>
          <cell r="I5">
            <v>172.4</v>
          </cell>
        </row>
        <row r="6">
          <cell r="E6" t="str">
            <v>CENTRO</v>
          </cell>
          <cell r="F6">
            <v>275216.97999999952</v>
          </cell>
          <cell r="H6" t="str">
            <v>CENTRO</v>
          </cell>
          <cell r="I6">
            <v>1135.8000000000002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369.06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944.8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52933.22</v>
          </cell>
          <cell r="H9" t="str">
            <v>JUNDIAI</v>
          </cell>
          <cell r="I9">
            <v>850.84999999999991</v>
          </cell>
          <cell r="K9" t="str">
            <v>CENTRO</v>
          </cell>
          <cell r="N9">
            <v>45</v>
          </cell>
        </row>
        <row r="10">
          <cell r="E10" t="str">
            <v>INTERLAGOS</v>
          </cell>
          <cell r="F10">
            <v>188884.53999999983</v>
          </cell>
          <cell r="H10" t="str">
            <v>KEY ZL</v>
          </cell>
          <cell r="I10">
            <v>4793.2</v>
          </cell>
          <cell r="K10" t="str">
            <v>INDAIATUBA</v>
          </cell>
          <cell r="N10">
            <v>36</v>
          </cell>
        </row>
        <row r="11">
          <cell r="E11" t="str">
            <v>JUNDIAI</v>
          </cell>
          <cell r="F11">
            <v>53872.330000000082</v>
          </cell>
          <cell r="H11" t="str">
            <v>LESTE PENHA</v>
          </cell>
          <cell r="I11">
            <v>318.69000000000005</v>
          </cell>
          <cell r="K11" t="str">
            <v>INTERLAGOS</v>
          </cell>
          <cell r="N11">
            <v>53</v>
          </cell>
        </row>
        <row r="12">
          <cell r="E12" t="str">
            <v>KEY ABC</v>
          </cell>
          <cell r="F12">
            <v>258976.11999999994</v>
          </cell>
          <cell r="H12" t="str">
            <v>LESTE TATUAPE</v>
          </cell>
          <cell r="I12">
            <v>348</v>
          </cell>
          <cell r="K12" t="str">
            <v>JUNDIAI</v>
          </cell>
          <cell r="N12">
            <v>22</v>
          </cell>
        </row>
        <row r="13">
          <cell r="E13" t="str">
            <v>KEY CASA</v>
          </cell>
          <cell r="F13">
            <v>266593.28000000014</v>
          </cell>
          <cell r="H13" t="str">
            <v>MOGI</v>
          </cell>
          <cell r="I13">
            <v>574.44000000000005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NORTE</v>
          </cell>
          <cell r="I14">
            <v>2191.9899999999998</v>
          </cell>
          <cell r="K14" t="str">
            <v>LESTE MOOCA</v>
          </cell>
          <cell r="N14">
            <v>50</v>
          </cell>
        </row>
        <row r="15">
          <cell r="E15" t="str">
            <v>KEY PIRACICABA</v>
          </cell>
          <cell r="F15">
            <v>105736.07999999996</v>
          </cell>
          <cell r="H15" t="str">
            <v>OSASCO</v>
          </cell>
          <cell r="I15">
            <v>1568.75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PIRITUBA</v>
          </cell>
          <cell r="I16">
            <v>608.4</v>
          </cell>
          <cell r="K16" t="str">
            <v>LESTE TATUAPE</v>
          </cell>
          <cell r="N16">
            <v>39</v>
          </cell>
        </row>
        <row r="17">
          <cell r="E17" t="str">
            <v>KEY SP</v>
          </cell>
          <cell r="F17">
            <v>288608.1399999999</v>
          </cell>
          <cell r="H17" t="str">
            <v>SANTO ANDRE</v>
          </cell>
          <cell r="I17">
            <v>622.5</v>
          </cell>
          <cell r="K17" t="str">
            <v>MOGI</v>
          </cell>
          <cell r="N17">
            <v>37</v>
          </cell>
        </row>
        <row r="18">
          <cell r="E18" t="str">
            <v>KEY ZL</v>
          </cell>
          <cell r="F18">
            <v>292453.89999999991</v>
          </cell>
          <cell r="H18" t="str">
            <v>SJC</v>
          </cell>
          <cell r="I18">
            <v>322.89999999999998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74178.729999999981</v>
          </cell>
          <cell r="H19" t="str">
            <v>SJC/VALE</v>
          </cell>
          <cell r="I19">
            <v>0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139594.11499999967</v>
          </cell>
          <cell r="H20" t="str">
            <v>VENDEDOR INTERNO 1</v>
          </cell>
          <cell r="I20">
            <v>3175.8700000000003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97882.230000000083</v>
          </cell>
          <cell r="H21" t="str">
            <v>Total Geral</v>
          </cell>
          <cell r="I21">
            <v>17997.649999999994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86659.229999999792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52202.910000000105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179448.2599999996</v>
          </cell>
          <cell r="K24" t="str">
            <v>SJC/VALE</v>
          </cell>
          <cell r="N24">
            <v>25</v>
          </cell>
        </row>
        <row r="25">
          <cell r="E25" t="str">
            <v>OSASCO</v>
          </cell>
          <cell r="F25">
            <v>246441.17999999938</v>
          </cell>
          <cell r="K25" t="str">
            <v>Total Geral</v>
          </cell>
          <cell r="N25">
            <v>609</v>
          </cell>
        </row>
        <row r="26">
          <cell r="E26" t="str">
            <v>PIRITUBA</v>
          </cell>
          <cell r="F26">
            <v>98943.04999999993</v>
          </cell>
        </row>
        <row r="27">
          <cell r="E27" t="str">
            <v>SANTO ANDRE</v>
          </cell>
          <cell r="F27">
            <v>123914.48999999995</v>
          </cell>
        </row>
        <row r="28">
          <cell r="E28" t="str">
            <v>SBC</v>
          </cell>
          <cell r="F28">
            <v>185314.89999999973</v>
          </cell>
        </row>
        <row r="29">
          <cell r="E29" t="str">
            <v>SJC</v>
          </cell>
          <cell r="F29">
            <v>62057.930000000102</v>
          </cell>
        </row>
        <row r="30">
          <cell r="E30" t="str">
            <v>SJC/VALE</v>
          </cell>
          <cell r="F30">
            <v>31876.060000000023</v>
          </cell>
        </row>
        <row r="31">
          <cell r="E31" t="str">
            <v>VENDEDOR INTERNO 1</v>
          </cell>
          <cell r="F31">
            <v>57028.48000000001</v>
          </cell>
        </row>
        <row r="32">
          <cell r="E32" t="str">
            <v>Total Geral</v>
          </cell>
          <cell r="F32">
            <v>4227856.1649999414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/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50"/>
    <tableColumn id="2" xr3:uid="{0B55D821-52F8-4CE2-9F16-C5BCDBCE53AC}" name="REFERENCIA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6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6"/>
    <tableColumn id="2" xr3:uid="{E2D85F5C-4525-4FA4-B813-A1322F5C254D}" name="REFERENCIA" dataDxfId="25"/>
    <tableColumn id="3" xr3:uid="{53C55BB3-DDD4-47EF-87D5-552E4D02B5BA}" name="META A" dataDxfId="24">
      <calculatedColumnFormula>_xlfn.XLOOKUP(Tabela2[[#This Row],[VENDEDOR]],[1]!Tabela5[VENDEDOR],[1]!Tabela5[META A])</calculatedColumnFormula>
    </tableColumn>
    <tableColumn id="4" xr3:uid="{018C7BF7-4C79-4668-95B2-CBF2E10B657D}" name="ATINGIDO" dataDxfId="23">
      <calculatedColumnFormula>_xlfn.XLOOKUP(Tabela2[[#This Row],[VENDEDOR]],'[1]BASE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VENDEDOR" dataDxfId="18"/>
    <tableColumn id="2" xr3:uid="{A71A6478-3B31-4F54-A10C-E6EC00E95E0B}" name="REFERENCIA" dataDxfId="17"/>
    <tableColumn id="3" xr3:uid="{9F5EDCDD-D442-4FBE-9C74-26084F24EFCB}" name="COMPROMISSO" dataDxfId="16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1" totalsRowDxfId="10"/>
    <tableColumn id="2" xr3:uid="{4F0BAF4D-D0FC-4B7C-8FF4-8DDD6505FDA1}" name="REFERENCIA" dataDxfId="9" totalsRowDxfId="8"/>
    <tableColumn id="3" xr3:uid="{CCB341E8-8BC2-4209-AEA0-D6F26BFCB356}" name="META A" dataDxfId="7" totalsRowDxfId="6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5" totalsRowDxfId="4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A16" zoomScaleNormal="100" workbookViewId="0">
      <selection activeCell="C41" sqref="C41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4227856.1649999991</v>
      </c>
      <c r="D5" s="2"/>
      <c r="E5" s="4"/>
      <c r="F5" s="4"/>
      <c r="G5" s="4"/>
      <c r="H5" s="4" t="s">
        <v>1</v>
      </c>
      <c r="I5" s="7">
        <f>SUM(J10:J27)</f>
        <v>13204.449999999999</v>
      </c>
      <c r="J5" s="4"/>
      <c r="K5" s="4"/>
      <c r="L5" s="4"/>
      <c r="M5" s="4"/>
      <c r="N5" s="4" t="s">
        <v>1</v>
      </c>
      <c r="O5" s="7">
        <f>SUM(P11:P17)</f>
        <v>4793.2</v>
      </c>
      <c r="P5" s="4"/>
      <c r="Q5" s="4"/>
      <c r="R5" s="4"/>
      <c r="S5" s="4"/>
      <c r="T5" s="4" t="s">
        <v>1</v>
      </c>
      <c r="U5" s="4">
        <f>SUM(V10:V26)</f>
        <v>609</v>
      </c>
      <c r="V5" s="4"/>
      <c r="W5" s="4"/>
    </row>
    <row r="6" spans="1:23" x14ac:dyDescent="0.25">
      <c r="A6" s="4"/>
      <c r="B6" s="4" t="s">
        <v>2</v>
      </c>
      <c r="C6" s="2">
        <f>C4-C5</f>
        <v>1364643.8350000009</v>
      </c>
      <c r="D6" s="2"/>
      <c r="E6" s="4"/>
      <c r="F6" s="4"/>
      <c r="G6" s="4"/>
      <c r="H6" s="4" t="s">
        <v>2</v>
      </c>
      <c r="I6" s="7">
        <f>I4-I5</f>
        <v>116795.55</v>
      </c>
      <c r="J6" s="4"/>
      <c r="K6" s="4"/>
      <c r="L6" s="4"/>
      <c r="M6" s="4"/>
      <c r="N6" s="4" t="s">
        <v>2</v>
      </c>
      <c r="O6" s="7">
        <f>O4-O5</f>
        <v>-4793.2</v>
      </c>
      <c r="P6" s="4"/>
      <c r="Q6" s="4"/>
      <c r="R6" s="4"/>
      <c r="S6" s="4"/>
      <c r="T6" s="4" t="s">
        <v>2</v>
      </c>
      <c r="U6" s="4">
        <f>U4-U5</f>
        <v>149</v>
      </c>
      <c r="V6" s="4"/>
      <c r="W6" s="4"/>
    </row>
    <row r="7" spans="1:23" x14ac:dyDescent="0.25">
      <c r="A7" s="4"/>
      <c r="B7" s="4" t="s">
        <v>3</v>
      </c>
      <c r="C7" s="3">
        <f>1-(C6/C4)</f>
        <v>0.7559867974966471</v>
      </c>
      <c r="D7" s="2"/>
      <c r="E7" s="4"/>
      <c r="F7" s="4"/>
      <c r="G7" s="4"/>
      <c r="H7" s="4" t="s">
        <v>3</v>
      </c>
      <c r="I7" s="3">
        <f>1-(I6/I4)</f>
        <v>0.10157269230769228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0.80343007915567277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42191.789999999979</v>
      </c>
      <c r="E10" s="27">
        <f>Tabela13[[#This Row],[META A]]-Tabela13[[#This Row],[ATINGIDO]]</f>
        <v>22308.210000000021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1568.75</v>
      </c>
      <c r="K10" s="23">
        <f>Tabela5[[#This Row],[COMPROMISSO]]-Tabela5[[#This Row],[ATINGIDO]]</f>
        <v>10521.25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275216.97999999952</v>
      </c>
      <c r="E11" s="24">
        <f>Tabela13[[#This Row],[META A]]-Tabela13[[#This Row],[ATINGIDO]]</f>
        <v>49783.020000000484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2191.9899999999998</v>
      </c>
      <c r="K11" s="23">
        <f>Tabela5[[#This Row],[COMPROMISSO]]-Tabela5[[#This Row],[ATINGIDO]]</f>
        <v>8808.01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45</v>
      </c>
      <c r="W11" s="19">
        <f t="shared" ref="W11:W20" si="0">U11-V11</f>
        <v>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608.4</v>
      </c>
      <c r="K12" s="23">
        <f>Tabela5[[#This Row],[COMPROMISSO]]-Tabela5[[#This Row],[ATINGIDO]]</f>
        <v>4791.6000000000004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36</v>
      </c>
      <c r="W12" s="19">
        <f t="shared" si="0"/>
        <v>5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52933.22</v>
      </c>
      <c r="E13" s="24">
        <f>Tabela13[[#This Row],[META A]]-Tabela13[[#This Row],[ATINGIDO]]</f>
        <v>37066.78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4793.2</v>
      </c>
      <c r="Q13" s="2">
        <f t="shared" ref="Q13:Q17" si="1">O13-P13</f>
        <v>-4793.2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53</v>
      </c>
      <c r="W13" s="19">
        <f t="shared" si="0"/>
        <v>6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188884.53999999983</v>
      </c>
      <c r="E14" s="27">
        <f>Tabela13[[#This Row],[META A]]-Tabela13[[#This Row],[ATINGIDO]]</f>
        <v>84115.460000000166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348</v>
      </c>
      <c r="K14" s="23">
        <f>Tabela5[[#This Row],[COMPROMISSO]]-Tabela5[[#This Row],[ATINGIDO]]</f>
        <v>3492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22</v>
      </c>
      <c r="W14" s="19">
        <f t="shared" si="0"/>
        <v>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53872.330000000082</v>
      </c>
      <c r="E15" s="24">
        <f>Tabela13[[#This Row],[META A]]-Tabela13[[#This Row],[ATINGIDO]]</f>
        <v>24127.669999999918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1135.8000000000002</v>
      </c>
      <c r="K15" s="23">
        <f>Tabela5[[#This Row],[COMPROMISSO]]-Tabela5[[#This Row],[ATINGIDO]]</f>
        <v>13864.2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258976.11999999994</v>
      </c>
      <c r="E16" s="27">
        <f>Tabela13[[#This Row],[META A]]-Tabela13[[#This Row],[ATINGIDO]]</f>
        <v>66023.880000000063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622.5</v>
      </c>
      <c r="K16" s="23">
        <f>Tabela5[[#This Row],[COMPROMISSO]]-Tabela5[[#This Row],[ATINGIDO]]</f>
        <v>9217.5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37</v>
      </c>
      <c r="W16" s="19">
        <f t="shared" si="0"/>
        <v>2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574.44000000000005</v>
      </c>
      <c r="K17" s="23">
        <f>Tabela5[[#This Row],[COMPROMISSO]]-Tabela5[[#This Row],[ATINGIDO]]</f>
        <v>4275.5599999999995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50</v>
      </c>
      <c r="W17" s="19">
        <f t="shared" si="0"/>
        <v>-1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6840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7120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288608.1399999999</v>
      </c>
      <c r="E20" s="27">
        <f>Tabela13[[#This Row],[META A]]-Tabela13[[#This Row],[ATINGIDO]]</f>
        <v>271391.8600000001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944.8</v>
      </c>
      <c r="K20" s="23">
        <f>Tabela5[[#This Row],[COMPROMISSO]]-Tabela5[[#This Row],[ATINGIDO]]</f>
        <v>14055.2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292453.89999999991</v>
      </c>
      <c r="E21" s="24">
        <f>Tabela13[[#This Row],[META A]]-Tabela13[[#This Row],[ATINGIDO]]</f>
        <v>122546.10000000009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850.84999999999991</v>
      </c>
      <c r="K21" s="23">
        <f>Tabela5[[#This Row],[COMPROMISSO]]-Tabela5[[#This Row],[ATINGIDO]]</f>
        <v>4249.1499999999996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74178.729999999981</v>
      </c>
      <c r="E22" s="27">
        <f>Tabela13[[#This Row],[META A]]-Tabela13[[#This Row],[ATINGIDO]]</f>
        <v>47821.270000000019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318.69000000000005</v>
      </c>
      <c r="K22" s="23">
        <f>Tabela5[[#This Row],[COMPROMISSO]]-Tabela5[[#This Row],[ATINGIDO]]</f>
        <v>3001.31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139594.11499999967</v>
      </c>
      <c r="E23" s="24">
        <f>Tabela13[[#This Row],[META A]]-Tabela13[[#This Row],[ATINGIDO]]</f>
        <v>55405.885000000329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369.06</v>
      </c>
      <c r="K23" s="23">
        <f>Tabela5[[#This Row],[COMPROMISSO]]-Tabela5[[#This Row],[ATINGIDO]]</f>
        <v>3640.94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97882.230000000083</v>
      </c>
      <c r="E24" s="27">
        <f>Tabela13[[#This Row],[META A]]-Tabela13[[#This Row],[ATINGIDO]]</f>
        <v>42117.769999999917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3175.8700000000003</v>
      </c>
      <c r="K24" s="23">
        <f>Tabela5[[#This Row],[COMPROMISSO]]-Tabela5[[#This Row],[ATINGIDO]]</f>
        <v>1524.1299999999997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654875.09999999986</v>
      </c>
      <c r="Q24" s="7">
        <f>O24-P24</f>
        <v>-35556.918181817979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86659.229999999792</v>
      </c>
      <c r="E25" s="24">
        <f>Tabela13[[#This Row],[META A]]-Tabela13[[#This Row],[ATINGIDO]]</f>
        <v>55840.770000000208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322.89999999999998</v>
      </c>
      <c r="K25" s="23">
        <f>Tabela5[[#This Row],[COMPROMISSO]]-Tabela5[[#This Row],[ATINGIDO]]</f>
        <v>2367.1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39</v>
      </c>
      <c r="W25" s="19">
        <f t="shared" si="2"/>
        <v>12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52202.910000000105</v>
      </c>
      <c r="E26" s="27">
        <f>Tabela13[[#This Row],[META A]]-Tabela13[[#This Row],[ATINGIDO]]</f>
        <v>37797.089999999895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3530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25</v>
      </c>
      <c r="W26" s="19">
        <f t="shared" si="2"/>
        <v>10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179448.2599999996</v>
      </c>
      <c r="E27" s="24">
        <f>Tabela13[[#This Row],[META A]]-Tabela13[[#This Row],[ATINGIDO]]</f>
        <v>58051.740000000398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172.4</v>
      </c>
      <c r="K27" s="23">
        <f>Tabela5[[#This Row],[COMPROMISSO]]-Tabela5[[#This Row],[ATINGIDO]]</f>
        <v>2497.6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246441.17999999938</v>
      </c>
      <c r="E28" s="27">
        <f>Tabela13[[#This Row],[META A]]-Tabela13[[#This Row],[ATINGIDO]]</f>
        <v>72058.820000000618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98943.04999999993</v>
      </c>
      <c r="E30" s="27">
        <f>Tabela13[[#This Row],[META A]]-Tabela13[[#This Row],[ATINGIDO]]</f>
        <v>35556.95000000007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123914.48999999995</v>
      </c>
      <c r="E31" s="24">
        <f>Tabela13[[#This Row],[META A]]-Tabela13[[#This Row],[ATINGIDO]]</f>
        <v>43085.510000000053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62057.930000000102</v>
      </c>
      <c r="E33" s="24">
        <f>Tabela13[[#This Row],[META A]]-Tabela13[[#This Row],[ATINGIDO]]</f>
        <v>37942.069999999898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699081.54000000225</v>
      </c>
      <c r="K33" s="7">
        <f t="shared" si="4"/>
        <v>-47831.540000002249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247</v>
      </c>
      <c r="W33" s="6">
        <f t="shared" si="3"/>
        <v>-74.727272727272748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31876.060000000023</v>
      </c>
      <c r="E34" s="27">
        <f>Tabela13[[#This Row],[META A]]-Tabela13[[#This Row],[ATINGIDO]]</f>
        <v>23123.939999999977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539262.25500000373</v>
      </c>
      <c r="K34" s="7">
        <f t="shared" si="4"/>
        <v>111987.74499999627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57028.48000000001</v>
      </c>
      <c r="E35" s="24">
        <f>Tabela13[[#This Row],[META A]]-Tabela13[[#This Row],[ATINGIDO]]</f>
        <v>15971.51999999999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-113425.47545453697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1194391.2450000006</v>
      </c>
      <c r="E43" s="7">
        <f t="shared" si="5"/>
        <v>76404.20954545401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1270795.4545454546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2026-07-24T13:55:16Z</dcterms:modified>
</cp:coreProperties>
</file>